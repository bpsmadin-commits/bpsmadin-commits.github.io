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D:\WASIL\"/>
    </mc:Choice>
  </mc:AlternateContent>
  <xr:revisionPtr revIDLastSave="0" documentId="13_ncr:1_{936A3DB2-3A3A-471D-9991-7C82BB61B4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LS - SIFIR F" sheetId="125" r:id="rId1"/>
    <sheet name="KLS - SIFIR G" sheetId="126" r:id="rId2"/>
    <sheet name="KLS - I M MDTA" sheetId="127" r:id="rId3"/>
    <sheet name="KLS - I i MDTA" sheetId="128" r:id="rId4"/>
    <sheet name="KLS - I J MDTA" sheetId="129" r:id="rId5"/>
    <sheet name="KLS - I K MDTA" sheetId="130" r:id="rId6"/>
    <sheet name="KLS - I L MDTA" sheetId="131" r:id="rId7"/>
    <sheet name="KLS - II J MDTA" sheetId="132" r:id="rId8"/>
    <sheet name="KLS - II K MDTA" sheetId="133" r:id="rId9"/>
    <sheet name="KLS - II L MDTA" sheetId="134" r:id="rId10"/>
    <sheet name="KLS - II M MDTA" sheetId="135" r:id="rId11"/>
    <sheet name="KLS - II N MDTA" sheetId="136" r:id="rId12"/>
    <sheet name="KLS - III P MDTA" sheetId="137" r:id="rId13"/>
    <sheet name="KLS - III M MDTA" sheetId="138" r:id="rId14"/>
    <sheet name="KLS - III L MDTA" sheetId="139" r:id="rId15"/>
    <sheet name="KLS - III N MDTA" sheetId="140" r:id="rId16"/>
    <sheet name="KLS - III O MDTA" sheetId="141" r:id="rId17"/>
    <sheet name="KLS - IV J MDTA" sheetId="142" r:id="rId18"/>
    <sheet name="KLS - IV K MDTA" sheetId="143" r:id="rId19"/>
    <sheet name="KLS - IV N MDTA" sheetId="144" r:id="rId20"/>
    <sheet name="KLS - IV L MDTA" sheetId="145" r:id="rId21"/>
    <sheet name="KLS - IV M MDTA" sheetId="146" r:id="rId22"/>
    <sheet name="KLS - V G MDTA" sheetId="147" r:id="rId23"/>
    <sheet name="KLS - V H MDTA" sheetId="148" r:id="rId24"/>
    <sheet name="KLS - V i MDTA" sheetId="149" r:id="rId25"/>
    <sheet name="KLS - V J MDTA" sheetId="150" r:id="rId26"/>
    <sheet name="KLS - VI G MDTA" sheetId="151" r:id="rId27"/>
    <sheet name="KLS - VI H MDTA" sheetId="152" r:id="rId28"/>
    <sheet name="KLS - VI i MDTA" sheetId="153" r:id="rId29"/>
    <sheet name="KLS - VI J MDTA" sheetId="154" r:id="rId30"/>
    <sheet name="KLS - I D MDTW" sheetId="155" r:id="rId31"/>
    <sheet name="KLS - I E MDTW" sheetId="156" r:id="rId32"/>
    <sheet name="KLS - I F MDTW" sheetId="157" r:id="rId33"/>
    <sheet name="KLS - II D MDTW" sheetId="158" r:id="rId34"/>
    <sheet name="KLS - II E MDTW" sheetId="159" r:id="rId35"/>
    <sheet name="KLS - III C MDTW" sheetId="160" r:id="rId36"/>
  </sheets>
  <definedNames>
    <definedName name="_xlnm._FilterDatabase" localSheetId="0" hidden="1">'KLS - SIFIR F'!$A$6:$P$6</definedName>
    <definedName name="_xlnm.Print_Titles" localSheetId="30">'KLS - I D MDTW'!$6:$6</definedName>
    <definedName name="_xlnm.Print_Titles" localSheetId="31">'KLS - I E MDTW'!$6:$6</definedName>
    <definedName name="_xlnm.Print_Titles" localSheetId="32">'KLS - I F MDTW'!$6:$6</definedName>
    <definedName name="_xlnm.Print_Titles" localSheetId="3">'KLS - I i MDTA'!$6:$6</definedName>
    <definedName name="_xlnm.Print_Titles" localSheetId="4">'KLS - I J MDTA'!$6:$6</definedName>
    <definedName name="_xlnm.Print_Titles" localSheetId="5">'KLS - I K MDTA'!$6:$6</definedName>
    <definedName name="_xlnm.Print_Titles" localSheetId="6">'KLS - I L MDTA'!$6:$6</definedName>
    <definedName name="_xlnm.Print_Titles" localSheetId="2">'KLS - I M MDTA'!$6:$6</definedName>
    <definedName name="_xlnm.Print_Titles" localSheetId="33">'KLS - II D MDTW'!$6:$6</definedName>
    <definedName name="_xlnm.Print_Titles" localSheetId="34">'KLS - II E MDTW'!$6:$6</definedName>
    <definedName name="_xlnm.Print_Titles" localSheetId="7">'KLS - II J MDTA'!$6:$6</definedName>
    <definedName name="_xlnm.Print_Titles" localSheetId="8">'KLS - II K MDTA'!$6:$6</definedName>
    <definedName name="_xlnm.Print_Titles" localSheetId="9">'KLS - II L MDTA'!$6:$6</definedName>
    <definedName name="_xlnm.Print_Titles" localSheetId="10">'KLS - II M MDTA'!$6:$6</definedName>
    <definedName name="_xlnm.Print_Titles" localSheetId="11">'KLS - II N MDTA'!$6:$6</definedName>
    <definedName name="_xlnm.Print_Titles" localSheetId="35">'KLS - III C MDTW'!$6:$6</definedName>
    <definedName name="_xlnm.Print_Titles" localSheetId="14">'KLS - III L MDTA'!$6:$6</definedName>
    <definedName name="_xlnm.Print_Titles" localSheetId="13">'KLS - III M MDTA'!$6:$6</definedName>
    <definedName name="_xlnm.Print_Titles" localSheetId="15">'KLS - III N MDTA'!$6:$6</definedName>
    <definedName name="_xlnm.Print_Titles" localSheetId="16">'KLS - III O MDTA'!$6:$6</definedName>
    <definedName name="_xlnm.Print_Titles" localSheetId="12">'KLS - III P MDTA'!$6:$6</definedName>
    <definedName name="_xlnm.Print_Titles" localSheetId="17">'KLS - IV J MDTA'!$6:$6</definedName>
    <definedName name="_xlnm.Print_Titles" localSheetId="18">'KLS - IV K MDTA'!$6:$6</definedName>
    <definedName name="_xlnm.Print_Titles" localSheetId="20">'KLS - IV L MDTA'!$6:$6</definedName>
    <definedName name="_xlnm.Print_Titles" localSheetId="21">'KLS - IV M MDTA'!$6:$6</definedName>
    <definedName name="_xlnm.Print_Titles" localSheetId="19">'KLS - IV N MDTA'!$6:$6</definedName>
    <definedName name="_xlnm.Print_Titles" localSheetId="0">'KLS - SIFIR F'!$6:$6</definedName>
    <definedName name="_xlnm.Print_Titles" localSheetId="1">'KLS - SIFIR G'!$6:$6</definedName>
    <definedName name="_xlnm.Print_Titles" localSheetId="22">'KLS - V G MDTA'!$6:$6</definedName>
    <definedName name="_xlnm.Print_Titles" localSheetId="23">'KLS - V H MDTA'!$6:$6</definedName>
    <definedName name="_xlnm.Print_Titles" localSheetId="24">'KLS - V i MDTA'!$6:$6</definedName>
    <definedName name="_xlnm.Print_Titles" localSheetId="25">'KLS - V J MDTA'!$6:$6</definedName>
    <definedName name="_xlnm.Print_Titles" localSheetId="26">'KLS - VI G MDTA'!$6:$6</definedName>
    <definedName name="_xlnm.Print_Titles" localSheetId="27">'KLS - VI H MDTA'!$6:$6</definedName>
    <definedName name="_xlnm.Print_Titles" localSheetId="28">'KLS - VI i MDTA'!$6:$6</definedName>
    <definedName name="_xlnm.Print_Titles" localSheetId="29">'KLS - VI J MDTA'!$6:$6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147" l="1"/>
  <c r="P7" i="147"/>
  <c r="N39" i="125"/>
  <c r="S76" i="160"/>
  <c r="T76" i="160" s="1"/>
  <c r="S79" i="160"/>
  <c r="T79" i="160" s="1"/>
  <c r="S12" i="160"/>
  <c r="T12" i="160" s="1"/>
  <c r="S27" i="160"/>
  <c r="T27" i="160" s="1"/>
  <c r="S77" i="160"/>
  <c r="T77" i="160" s="1"/>
  <c r="S59" i="160"/>
  <c r="T59" i="160" s="1"/>
  <c r="S69" i="160"/>
  <c r="T69" i="160" s="1"/>
  <c r="S50" i="160"/>
  <c r="T50" i="160" s="1"/>
  <c r="S37" i="160"/>
  <c r="T37" i="160" s="1"/>
  <c r="S38" i="160"/>
  <c r="T38" i="160" s="1"/>
  <c r="S54" i="160"/>
  <c r="T54" i="160" s="1"/>
  <c r="S68" i="160"/>
  <c r="T68" i="160" s="1"/>
  <c r="S60" i="160"/>
  <c r="T60" i="160" s="1"/>
  <c r="S89" i="160"/>
  <c r="T89" i="160" s="1"/>
  <c r="S64" i="160"/>
  <c r="T64" i="160" s="1"/>
  <c r="S71" i="160"/>
  <c r="T71" i="160" s="1"/>
  <c r="S61" i="160"/>
  <c r="T61" i="160" s="1"/>
  <c r="S63" i="160"/>
  <c r="T63" i="160" s="1"/>
  <c r="S48" i="160"/>
  <c r="T48" i="160" s="1"/>
  <c r="S72" i="160"/>
  <c r="T72" i="160" s="1"/>
  <c r="S8" i="160"/>
  <c r="T8" i="160" s="1"/>
  <c r="S42" i="160"/>
  <c r="T42" i="160" s="1"/>
  <c r="S35" i="160"/>
  <c r="T35" i="160" s="1"/>
  <c r="S88" i="160"/>
  <c r="T88" i="160" s="1"/>
  <c r="S47" i="160"/>
  <c r="T47" i="160" s="1"/>
  <c r="S26" i="160"/>
  <c r="T26" i="160" s="1"/>
  <c r="S23" i="160"/>
  <c r="T23" i="160" s="1"/>
  <c r="S81" i="160"/>
  <c r="T81" i="160" s="1"/>
  <c r="S67" i="160"/>
  <c r="T67" i="160" s="1"/>
  <c r="S56" i="160"/>
  <c r="T56" i="160" s="1"/>
  <c r="S13" i="160"/>
  <c r="T13" i="160" s="1"/>
  <c r="S29" i="160"/>
  <c r="T29" i="160" s="1"/>
  <c r="S28" i="160"/>
  <c r="T28" i="160" s="1"/>
  <c r="S33" i="160"/>
  <c r="T33" i="160" s="1"/>
  <c r="S25" i="160"/>
  <c r="T25" i="160" s="1"/>
  <c r="S24" i="160"/>
  <c r="T24" i="160" s="1"/>
  <c r="S58" i="160"/>
  <c r="T58" i="160" s="1"/>
  <c r="S62" i="160"/>
  <c r="T62" i="160" s="1"/>
  <c r="S55" i="160"/>
  <c r="T55" i="160" s="1"/>
  <c r="S70" i="160"/>
  <c r="T70" i="160" s="1"/>
  <c r="S36" i="160"/>
  <c r="T36" i="160" s="1"/>
  <c r="S17" i="160"/>
  <c r="T17" i="160" s="1"/>
  <c r="S87" i="160"/>
  <c r="T87" i="160" s="1"/>
  <c r="S22" i="160"/>
  <c r="T22" i="160" s="1"/>
  <c r="S34" i="160"/>
  <c r="T34" i="160" s="1"/>
  <c r="S14" i="160"/>
  <c r="T14" i="160" s="1"/>
  <c r="S21" i="160"/>
  <c r="T21" i="160" s="1"/>
  <c r="S43" i="160"/>
  <c r="T43" i="160" s="1"/>
  <c r="S9" i="160"/>
  <c r="T9" i="160" s="1"/>
  <c r="S46" i="160"/>
  <c r="T46" i="160" s="1"/>
  <c r="S53" i="160"/>
  <c r="T53" i="160" s="1"/>
  <c r="S74" i="160"/>
  <c r="T74" i="160" s="1"/>
  <c r="S10" i="160"/>
  <c r="T10" i="160" s="1"/>
  <c r="S51" i="160"/>
  <c r="T51" i="160" s="1"/>
  <c r="S7" i="160"/>
  <c r="T7" i="160" s="1"/>
  <c r="S39" i="160"/>
  <c r="T39" i="160" s="1"/>
  <c r="S57" i="160"/>
  <c r="T57" i="160" s="1"/>
  <c r="S18" i="160"/>
  <c r="T18" i="160" s="1"/>
  <c r="S41" i="160"/>
  <c r="T41" i="160" s="1"/>
  <c r="S52" i="160"/>
  <c r="T52" i="160" s="1"/>
  <c r="S40" i="160"/>
  <c r="T40" i="160" s="1"/>
  <c r="S45" i="160"/>
  <c r="T45" i="160" s="1"/>
  <c r="S65" i="160"/>
  <c r="T65" i="160" s="1"/>
  <c r="S49" i="160"/>
  <c r="T49" i="160" s="1"/>
  <c r="S16" i="160"/>
  <c r="T16" i="160" s="1"/>
  <c r="S86" i="160"/>
  <c r="T86" i="160" s="1"/>
  <c r="S85" i="160"/>
  <c r="T85" i="160" s="1"/>
  <c r="S73" i="160"/>
  <c r="T73" i="160" s="1"/>
  <c r="S19" i="160"/>
  <c r="T19" i="160" s="1"/>
  <c r="S44" i="160"/>
  <c r="T44" i="160" s="1"/>
  <c r="S66" i="160"/>
  <c r="T66" i="160" s="1"/>
  <c r="S31" i="160"/>
  <c r="T31" i="160" s="1"/>
  <c r="S75" i="160"/>
  <c r="T75" i="160" s="1"/>
  <c r="S84" i="160"/>
  <c r="T84" i="160" s="1"/>
  <c r="S20" i="160"/>
  <c r="T20" i="160" s="1"/>
  <c r="S30" i="160"/>
  <c r="T30" i="160" s="1"/>
  <c r="S32" i="160"/>
  <c r="T32" i="160" s="1"/>
  <c r="S11" i="160"/>
  <c r="T11" i="160" s="1"/>
  <c r="S78" i="160"/>
  <c r="T78" i="160" s="1"/>
  <c r="S15" i="160"/>
  <c r="T15" i="160" s="1"/>
  <c r="S82" i="160"/>
  <c r="T82" i="160" s="1"/>
  <c r="S83" i="160"/>
  <c r="T83" i="160" s="1"/>
  <c r="S80" i="160"/>
  <c r="T80" i="160" s="1"/>
  <c r="S23" i="159"/>
  <c r="T23" i="159" s="1"/>
  <c r="U23" i="159" s="1"/>
  <c r="S62" i="159"/>
  <c r="T62" i="159" s="1"/>
  <c r="S16" i="159"/>
  <c r="T16" i="159" s="1"/>
  <c r="S51" i="159"/>
  <c r="T51" i="159" s="1"/>
  <c r="S49" i="159"/>
  <c r="T49" i="159" s="1"/>
  <c r="S33" i="159"/>
  <c r="T33" i="159" s="1"/>
  <c r="S21" i="159"/>
  <c r="T21" i="159" s="1"/>
  <c r="S52" i="159"/>
  <c r="T52" i="159" s="1"/>
  <c r="S44" i="159"/>
  <c r="T44" i="159" s="1"/>
  <c r="S32" i="159"/>
  <c r="T32" i="159" s="1"/>
  <c r="S54" i="159"/>
  <c r="T54" i="159" s="1"/>
  <c r="S41" i="159"/>
  <c r="T41" i="159" s="1"/>
  <c r="S29" i="159"/>
  <c r="T29" i="159" s="1"/>
  <c r="S39" i="159"/>
  <c r="T39" i="159" s="1"/>
  <c r="S31" i="159"/>
  <c r="T31" i="159" s="1"/>
  <c r="S27" i="159"/>
  <c r="T27" i="159" s="1"/>
  <c r="S10" i="159"/>
  <c r="T10" i="159" s="1"/>
  <c r="S35" i="159"/>
  <c r="T35" i="159" s="1"/>
  <c r="S61" i="159"/>
  <c r="T61" i="159" s="1"/>
  <c r="S56" i="159"/>
  <c r="T56" i="159" s="1"/>
  <c r="S40" i="159"/>
  <c r="T40" i="159" s="1"/>
  <c r="S37" i="159"/>
  <c r="T37" i="159" s="1"/>
  <c r="S18" i="159"/>
  <c r="T18" i="159" s="1"/>
  <c r="S36" i="159"/>
  <c r="T36" i="159" s="1"/>
  <c r="S14" i="159"/>
  <c r="T14" i="159" s="1"/>
  <c r="S46" i="159"/>
  <c r="T46" i="159" s="1"/>
  <c r="S38" i="159"/>
  <c r="T38" i="159" s="1"/>
  <c r="S30" i="159"/>
  <c r="T30" i="159" s="1"/>
  <c r="S55" i="159"/>
  <c r="T55" i="159" s="1"/>
  <c r="S53" i="159"/>
  <c r="T53" i="159" s="1"/>
  <c r="S22" i="159"/>
  <c r="T22" i="159" s="1"/>
  <c r="S9" i="159"/>
  <c r="T9" i="159" s="1"/>
  <c r="S26" i="159"/>
  <c r="T26" i="159" s="1"/>
  <c r="S60" i="159"/>
  <c r="T60" i="159" s="1"/>
  <c r="S7" i="159"/>
  <c r="T7" i="159" s="1"/>
  <c r="S25" i="159"/>
  <c r="T25" i="159" s="1"/>
  <c r="S13" i="159"/>
  <c r="T13" i="159" s="1"/>
  <c r="S24" i="159"/>
  <c r="T24" i="159" s="1"/>
  <c r="S19" i="159"/>
  <c r="T19" i="159" s="1"/>
  <c r="S48" i="159"/>
  <c r="T48" i="159" s="1"/>
  <c r="S42" i="159"/>
  <c r="T42" i="159" s="1"/>
  <c r="S34" i="159"/>
  <c r="T34" i="159" s="1"/>
  <c r="S59" i="159"/>
  <c r="T59" i="159" s="1"/>
  <c r="S45" i="159"/>
  <c r="T45" i="159" s="1"/>
  <c r="S43" i="159"/>
  <c r="T43" i="159" s="1"/>
  <c r="S8" i="159"/>
  <c r="T8" i="159" s="1"/>
  <c r="S28" i="159"/>
  <c r="T28" i="159" s="1"/>
  <c r="S50" i="159"/>
  <c r="T50" i="159" s="1"/>
  <c r="S15" i="159"/>
  <c r="T15" i="159" s="1"/>
  <c r="S12" i="159"/>
  <c r="T12" i="159" s="1"/>
  <c r="S11" i="159"/>
  <c r="T11" i="159" s="1"/>
  <c r="S47" i="159"/>
  <c r="T47" i="159" s="1"/>
  <c r="S57" i="159"/>
  <c r="T57" i="159" s="1"/>
  <c r="S17" i="159"/>
  <c r="T17" i="159" s="1"/>
  <c r="S20" i="159"/>
  <c r="T20" i="159" s="1"/>
  <c r="S58" i="159"/>
  <c r="T58" i="159" s="1"/>
  <c r="S69" i="158"/>
  <c r="T69" i="158" s="1"/>
  <c r="U69" i="158" s="1"/>
  <c r="S8" i="158"/>
  <c r="T8" i="158" s="1"/>
  <c r="S55" i="158"/>
  <c r="T55" i="158" s="1"/>
  <c r="S57" i="158"/>
  <c r="T57" i="158" s="1"/>
  <c r="S68" i="158"/>
  <c r="T68" i="158" s="1"/>
  <c r="S54" i="158"/>
  <c r="T54" i="158" s="1"/>
  <c r="S36" i="158"/>
  <c r="T36" i="158" s="1"/>
  <c r="S28" i="158"/>
  <c r="T28" i="158" s="1"/>
  <c r="S22" i="158"/>
  <c r="T22" i="158" s="1"/>
  <c r="S19" i="158"/>
  <c r="T19" i="158" s="1"/>
  <c r="S51" i="158"/>
  <c r="T51" i="158" s="1"/>
  <c r="S31" i="158"/>
  <c r="T31" i="158" s="1"/>
  <c r="S27" i="158"/>
  <c r="T27" i="158" s="1"/>
  <c r="S14" i="158"/>
  <c r="T14" i="158" s="1"/>
  <c r="S18" i="158"/>
  <c r="T18" i="158" s="1"/>
  <c r="S11" i="158"/>
  <c r="T11" i="158" s="1"/>
  <c r="S12" i="158"/>
  <c r="T12" i="158" s="1"/>
  <c r="S49" i="158"/>
  <c r="T49" i="158" s="1"/>
  <c r="S15" i="158"/>
  <c r="T15" i="158" s="1"/>
  <c r="S59" i="158"/>
  <c r="T59" i="158" s="1"/>
  <c r="S30" i="158"/>
  <c r="T30" i="158" s="1"/>
  <c r="S35" i="158"/>
  <c r="T35" i="158" s="1"/>
  <c r="S21" i="158"/>
  <c r="T21" i="158" s="1"/>
  <c r="S38" i="158"/>
  <c r="T38" i="158" s="1"/>
  <c r="S17" i="158"/>
  <c r="T17" i="158" s="1"/>
  <c r="S47" i="158"/>
  <c r="T47" i="158" s="1"/>
  <c r="S67" i="158"/>
  <c r="T67" i="158" s="1"/>
  <c r="S43" i="158"/>
  <c r="T43" i="158" s="1"/>
  <c r="S20" i="158"/>
  <c r="T20" i="158" s="1"/>
  <c r="S23" i="158"/>
  <c r="T23" i="158" s="1"/>
  <c r="S42" i="158"/>
  <c r="T42" i="158" s="1"/>
  <c r="S25" i="158"/>
  <c r="T25" i="158" s="1"/>
  <c r="S37" i="158"/>
  <c r="T37" i="158" s="1"/>
  <c r="S13" i="158"/>
  <c r="T13" i="158" s="1"/>
  <c r="S61" i="158"/>
  <c r="T61" i="158" s="1"/>
  <c r="S48" i="158"/>
  <c r="T48" i="158" s="1"/>
  <c r="S7" i="158"/>
  <c r="T7" i="158" s="1"/>
  <c r="S62" i="158"/>
  <c r="T62" i="158" s="1"/>
  <c r="S56" i="158"/>
  <c r="T56" i="158" s="1"/>
  <c r="S29" i="158"/>
  <c r="T29" i="158" s="1"/>
  <c r="S10" i="158"/>
  <c r="T10" i="158" s="1"/>
  <c r="S9" i="158"/>
  <c r="T9" i="158" s="1"/>
  <c r="S16" i="158"/>
  <c r="T16" i="158" s="1"/>
  <c r="S40" i="158"/>
  <c r="T40" i="158" s="1"/>
  <c r="S34" i="158"/>
  <c r="T34" i="158" s="1"/>
  <c r="S65" i="158"/>
  <c r="T65" i="158" s="1"/>
  <c r="S64" i="158"/>
  <c r="T64" i="158" s="1"/>
  <c r="S39" i="158"/>
  <c r="T39" i="158" s="1"/>
  <c r="S58" i="158"/>
  <c r="T58" i="158" s="1"/>
  <c r="S32" i="158"/>
  <c r="T32" i="158" s="1"/>
  <c r="S26" i="158"/>
  <c r="T26" i="158" s="1"/>
  <c r="S24" i="158"/>
  <c r="T24" i="158" s="1"/>
  <c r="S33" i="158"/>
  <c r="T33" i="158" s="1"/>
  <c r="S41" i="158"/>
  <c r="T41" i="158" s="1"/>
  <c r="S60" i="158"/>
  <c r="T60" i="158" s="1"/>
  <c r="S53" i="158"/>
  <c r="T53" i="158" s="1"/>
  <c r="S50" i="158"/>
  <c r="T50" i="158" s="1"/>
  <c r="S45" i="158"/>
  <c r="T45" i="158" s="1"/>
  <c r="S44" i="158"/>
  <c r="T44" i="158" s="1"/>
  <c r="S46" i="158"/>
  <c r="T46" i="158" s="1"/>
  <c r="S52" i="158"/>
  <c r="T52" i="158" s="1"/>
  <c r="S66" i="158"/>
  <c r="T66" i="158" s="1"/>
  <c r="S63" i="158"/>
  <c r="T63" i="158" s="1"/>
  <c r="R44" i="157"/>
  <c r="S44" i="157" s="1"/>
  <c r="T44" i="157" s="1"/>
  <c r="R21" i="157"/>
  <c r="S21" i="157" s="1"/>
  <c r="R16" i="157"/>
  <c r="S16" i="157" s="1"/>
  <c r="R26" i="157"/>
  <c r="S26" i="157" s="1"/>
  <c r="R22" i="157"/>
  <c r="S22" i="157" s="1"/>
  <c r="R29" i="157"/>
  <c r="S29" i="157" s="1"/>
  <c r="R23" i="157"/>
  <c r="S23" i="157" s="1"/>
  <c r="R52" i="157"/>
  <c r="S52" i="157" s="1"/>
  <c r="R43" i="157"/>
  <c r="S43" i="157" s="1"/>
  <c r="R11" i="157"/>
  <c r="S11" i="157" s="1"/>
  <c r="R49" i="157"/>
  <c r="S49" i="157" s="1"/>
  <c r="R30" i="157"/>
  <c r="S30" i="157" s="1"/>
  <c r="R50" i="157"/>
  <c r="S50" i="157" s="1"/>
  <c r="R41" i="157"/>
  <c r="S41" i="157" s="1"/>
  <c r="R35" i="157"/>
  <c r="S35" i="157" s="1"/>
  <c r="R24" i="157"/>
  <c r="S24" i="157" s="1"/>
  <c r="R51" i="157"/>
  <c r="S51" i="157" s="1"/>
  <c r="R32" i="157"/>
  <c r="S32" i="157" s="1"/>
  <c r="R46" i="157"/>
  <c r="S46" i="157" s="1"/>
  <c r="R10" i="157"/>
  <c r="S10" i="157" s="1"/>
  <c r="R15" i="157"/>
  <c r="S15" i="157" s="1"/>
  <c r="R20" i="157"/>
  <c r="S20" i="157" s="1"/>
  <c r="R31" i="157"/>
  <c r="S31" i="157" s="1"/>
  <c r="R18" i="157"/>
  <c r="S18" i="157" s="1"/>
  <c r="R40" i="157"/>
  <c r="S40" i="157" s="1"/>
  <c r="R45" i="157"/>
  <c r="S45" i="157" s="1"/>
  <c r="R17" i="157"/>
  <c r="S17" i="157" s="1"/>
  <c r="R34" i="157"/>
  <c r="S34" i="157" s="1"/>
  <c r="R13" i="157"/>
  <c r="S13" i="157" s="1"/>
  <c r="R33" i="157"/>
  <c r="S33" i="157" s="1"/>
  <c r="R48" i="157"/>
  <c r="S48" i="157" s="1"/>
  <c r="R28" i="157"/>
  <c r="S28" i="157" s="1"/>
  <c r="R19" i="157"/>
  <c r="S19" i="157" s="1"/>
  <c r="R9" i="157"/>
  <c r="S9" i="157" s="1"/>
  <c r="R12" i="157"/>
  <c r="S12" i="157" s="1"/>
  <c r="R27" i="157"/>
  <c r="S27" i="157" s="1"/>
  <c r="R36" i="157"/>
  <c r="S36" i="157" s="1"/>
  <c r="R14" i="157"/>
  <c r="S14" i="157" s="1"/>
  <c r="R37" i="157"/>
  <c r="S37" i="157" s="1"/>
  <c r="R39" i="157"/>
  <c r="S39" i="157" s="1"/>
  <c r="R47" i="157"/>
  <c r="S47" i="157" s="1"/>
  <c r="R25" i="157"/>
  <c r="S25" i="157" s="1"/>
  <c r="R8" i="157"/>
  <c r="S8" i="157" s="1"/>
  <c r="R7" i="157"/>
  <c r="S7" i="157" s="1"/>
  <c r="R42" i="157"/>
  <c r="S42" i="157" s="1"/>
  <c r="R38" i="157"/>
  <c r="S38" i="157" s="1"/>
  <c r="R14" i="156"/>
  <c r="S14" i="156" s="1"/>
  <c r="R11" i="156"/>
  <c r="S11" i="156" s="1"/>
  <c r="R36" i="156"/>
  <c r="S36" i="156" s="1"/>
  <c r="R13" i="156"/>
  <c r="S13" i="156" s="1"/>
  <c r="R18" i="156"/>
  <c r="S18" i="156" s="1"/>
  <c r="R9" i="156"/>
  <c r="S9" i="156" s="1"/>
  <c r="R24" i="156"/>
  <c r="S24" i="156" s="1"/>
  <c r="R38" i="156"/>
  <c r="S38" i="156" s="1"/>
  <c r="R47" i="156"/>
  <c r="S47" i="156" s="1"/>
  <c r="R26" i="156"/>
  <c r="S26" i="156" s="1"/>
  <c r="R34" i="156"/>
  <c r="S34" i="156" s="1"/>
  <c r="R57" i="156"/>
  <c r="S57" i="156" s="1"/>
  <c r="R37" i="156"/>
  <c r="S37" i="156" s="1"/>
  <c r="R20" i="156"/>
  <c r="S20" i="156" s="1"/>
  <c r="R10" i="156"/>
  <c r="S10" i="156" s="1"/>
  <c r="R46" i="156"/>
  <c r="S46" i="156" s="1"/>
  <c r="R55" i="156"/>
  <c r="S55" i="156" s="1"/>
  <c r="R31" i="156"/>
  <c r="S31" i="156" s="1"/>
  <c r="R56" i="156"/>
  <c r="S56" i="156" s="1"/>
  <c r="R22" i="156"/>
  <c r="S22" i="156" s="1"/>
  <c r="R25" i="156"/>
  <c r="S25" i="156" s="1"/>
  <c r="R52" i="156"/>
  <c r="S52" i="156" s="1"/>
  <c r="R35" i="156"/>
  <c r="S35" i="156" s="1"/>
  <c r="R29" i="156"/>
  <c r="S29" i="156" s="1"/>
  <c r="R17" i="156"/>
  <c r="S17" i="156" s="1"/>
  <c r="R12" i="156"/>
  <c r="S12" i="156" s="1"/>
  <c r="R30" i="156"/>
  <c r="S30" i="156" s="1"/>
  <c r="R49" i="156"/>
  <c r="S49" i="156" s="1"/>
  <c r="R45" i="156"/>
  <c r="S45" i="156" s="1"/>
  <c r="R19" i="156"/>
  <c r="S19" i="156" s="1"/>
  <c r="R16" i="156"/>
  <c r="S16" i="156" s="1"/>
  <c r="R8" i="156"/>
  <c r="S8" i="156" s="1"/>
  <c r="R51" i="156"/>
  <c r="S51" i="156" s="1"/>
  <c r="R50" i="156"/>
  <c r="S50" i="156" s="1"/>
  <c r="R58" i="156"/>
  <c r="S58" i="156" s="1"/>
  <c r="R32" i="156"/>
  <c r="S32" i="156" s="1"/>
  <c r="R15" i="156"/>
  <c r="S15" i="156" s="1"/>
  <c r="R44" i="156"/>
  <c r="S44" i="156" s="1"/>
  <c r="R27" i="156"/>
  <c r="S27" i="156" s="1"/>
  <c r="R48" i="156"/>
  <c r="S48" i="156" s="1"/>
  <c r="R53" i="156"/>
  <c r="S53" i="156" s="1"/>
  <c r="R33" i="156"/>
  <c r="S33" i="156" s="1"/>
  <c r="R40" i="156"/>
  <c r="S40" i="156" s="1"/>
  <c r="R39" i="156"/>
  <c r="S39" i="156" s="1"/>
  <c r="R28" i="156"/>
  <c r="S28" i="156" s="1"/>
  <c r="R42" i="156"/>
  <c r="S42" i="156" s="1"/>
  <c r="R43" i="156"/>
  <c r="S43" i="156" s="1"/>
  <c r="R7" i="156"/>
  <c r="S7" i="156" s="1"/>
  <c r="R61" i="156"/>
  <c r="S61" i="156" s="1"/>
  <c r="R21" i="156"/>
  <c r="S21" i="156" s="1"/>
  <c r="R60" i="156"/>
  <c r="S60" i="156" s="1"/>
  <c r="R23" i="156"/>
  <c r="S23" i="156" s="1"/>
  <c r="R54" i="156"/>
  <c r="S54" i="156" s="1"/>
  <c r="R59" i="156"/>
  <c r="S59" i="156" s="1"/>
  <c r="R41" i="156"/>
  <c r="S41" i="156" s="1"/>
  <c r="R49" i="155"/>
  <c r="S49" i="155" s="1"/>
  <c r="R14" i="155"/>
  <c r="S14" i="155" s="1"/>
  <c r="R17" i="155"/>
  <c r="S17" i="155" s="1"/>
  <c r="R27" i="155"/>
  <c r="S27" i="155" s="1"/>
  <c r="R22" i="155"/>
  <c r="S22" i="155" s="1"/>
  <c r="R28" i="155"/>
  <c r="S28" i="155" s="1"/>
  <c r="R36" i="155"/>
  <c r="S36" i="155" s="1"/>
  <c r="R9" i="155"/>
  <c r="S9" i="155" s="1"/>
  <c r="R7" i="155"/>
  <c r="S7" i="155" s="1"/>
  <c r="R12" i="155"/>
  <c r="S12" i="155" s="1"/>
  <c r="R42" i="155"/>
  <c r="S42" i="155" s="1"/>
  <c r="R26" i="155"/>
  <c r="S26" i="155" s="1"/>
  <c r="R32" i="155"/>
  <c r="S32" i="155" s="1"/>
  <c r="R11" i="155"/>
  <c r="S11" i="155" s="1"/>
  <c r="R31" i="155"/>
  <c r="S31" i="155" s="1"/>
  <c r="R35" i="155"/>
  <c r="S35" i="155" s="1"/>
  <c r="R41" i="155"/>
  <c r="S41" i="155" s="1"/>
  <c r="R47" i="155"/>
  <c r="S47" i="155" s="1"/>
  <c r="R48" i="155"/>
  <c r="S48" i="155" s="1"/>
  <c r="R19" i="155"/>
  <c r="S19" i="155" s="1"/>
  <c r="R10" i="155"/>
  <c r="S10" i="155" s="1"/>
  <c r="R29" i="155"/>
  <c r="S29" i="155" s="1"/>
  <c r="R18" i="155"/>
  <c r="S18" i="155" s="1"/>
  <c r="R13" i="155"/>
  <c r="S13" i="155" s="1"/>
  <c r="R52" i="155"/>
  <c r="S52" i="155" s="1"/>
  <c r="R51" i="155"/>
  <c r="S51" i="155" s="1"/>
  <c r="R44" i="155"/>
  <c r="S44" i="155" s="1"/>
  <c r="R25" i="155"/>
  <c r="S25" i="155" s="1"/>
  <c r="R40" i="155"/>
  <c r="S40" i="155" s="1"/>
  <c r="R16" i="155"/>
  <c r="S16" i="155" s="1"/>
  <c r="R53" i="155"/>
  <c r="S53" i="155" s="1"/>
  <c r="R45" i="155"/>
  <c r="S45" i="155" s="1"/>
  <c r="R55" i="155"/>
  <c r="S55" i="155" s="1"/>
  <c r="R34" i="155"/>
  <c r="S34" i="155" s="1"/>
  <c r="R33" i="155"/>
  <c r="S33" i="155" s="1"/>
  <c r="R38" i="155"/>
  <c r="S38" i="155" s="1"/>
  <c r="R24" i="155"/>
  <c r="S24" i="155" s="1"/>
  <c r="R54" i="155"/>
  <c r="S54" i="155" s="1"/>
  <c r="R50" i="155"/>
  <c r="S50" i="155" s="1"/>
  <c r="R46" i="155"/>
  <c r="S46" i="155" s="1"/>
  <c r="R23" i="155"/>
  <c r="S23" i="155" s="1"/>
  <c r="R21" i="155"/>
  <c r="S21" i="155" s="1"/>
  <c r="R8" i="155"/>
  <c r="S8" i="155" s="1"/>
  <c r="R15" i="155"/>
  <c r="S15" i="155" s="1"/>
  <c r="R39" i="155"/>
  <c r="S39" i="155" s="1"/>
  <c r="R30" i="155"/>
  <c r="S30" i="155" s="1"/>
  <c r="R20" i="155"/>
  <c r="S20" i="155" s="1"/>
  <c r="R43" i="155"/>
  <c r="S43" i="155" s="1"/>
  <c r="R37" i="155"/>
  <c r="S37" i="155" s="1"/>
  <c r="P17" i="154"/>
  <c r="Q17" i="154" s="1"/>
  <c r="P20" i="154"/>
  <c r="Q20" i="154" s="1"/>
  <c r="P16" i="154"/>
  <c r="Q16" i="154" s="1"/>
  <c r="P36" i="154"/>
  <c r="Q36" i="154" s="1"/>
  <c r="P39" i="154"/>
  <c r="Q39" i="154" s="1"/>
  <c r="P12" i="154"/>
  <c r="Q12" i="154" s="1"/>
  <c r="P13" i="154"/>
  <c r="Q13" i="154" s="1"/>
  <c r="P21" i="154"/>
  <c r="Q21" i="154" s="1"/>
  <c r="P15" i="154"/>
  <c r="Q15" i="154" s="1"/>
  <c r="P45" i="154"/>
  <c r="Q45" i="154" s="1"/>
  <c r="P25" i="154"/>
  <c r="Q25" i="154" s="1"/>
  <c r="P35" i="154"/>
  <c r="Q35" i="154" s="1"/>
  <c r="P49" i="154"/>
  <c r="Q49" i="154" s="1"/>
  <c r="P32" i="154"/>
  <c r="Q32" i="154" s="1"/>
  <c r="P48" i="154"/>
  <c r="Q48" i="154" s="1"/>
  <c r="P51" i="154"/>
  <c r="Q51" i="154" s="1"/>
  <c r="P14" i="154"/>
  <c r="Q14" i="154" s="1"/>
  <c r="P34" i="154"/>
  <c r="Q34" i="154" s="1"/>
  <c r="P27" i="154"/>
  <c r="Q27" i="154" s="1"/>
  <c r="P24" i="154"/>
  <c r="Q24" i="154" s="1"/>
  <c r="P41" i="154"/>
  <c r="Q41" i="154" s="1"/>
  <c r="P42" i="154"/>
  <c r="Q42" i="154" s="1"/>
  <c r="P18" i="154"/>
  <c r="Q18" i="154" s="1"/>
  <c r="P29" i="154"/>
  <c r="Q29" i="154" s="1"/>
  <c r="P38" i="154"/>
  <c r="Q38" i="154" s="1"/>
  <c r="P43" i="154"/>
  <c r="Q43" i="154" s="1"/>
  <c r="P26" i="154"/>
  <c r="Q26" i="154" s="1"/>
  <c r="P30" i="154"/>
  <c r="Q30" i="154" s="1"/>
  <c r="P40" i="154"/>
  <c r="Q40" i="154" s="1"/>
  <c r="P19" i="154"/>
  <c r="Q19" i="154" s="1"/>
  <c r="P60" i="154"/>
  <c r="Q60" i="154" s="1"/>
  <c r="P22" i="154"/>
  <c r="Q22" i="154" s="1"/>
  <c r="P28" i="154"/>
  <c r="Q28" i="154" s="1"/>
  <c r="P23" i="154"/>
  <c r="Q23" i="154" s="1"/>
  <c r="P10" i="154"/>
  <c r="Q10" i="154" s="1"/>
  <c r="P7" i="154"/>
  <c r="Q7" i="154" s="1"/>
  <c r="P57" i="154"/>
  <c r="Q57" i="154" s="1"/>
  <c r="P50" i="154"/>
  <c r="Q50" i="154" s="1"/>
  <c r="P33" i="154"/>
  <c r="Q33" i="154" s="1"/>
  <c r="P58" i="154"/>
  <c r="Q58" i="154" s="1"/>
  <c r="P47" i="154"/>
  <c r="Q47" i="154" s="1"/>
  <c r="P37" i="154"/>
  <c r="Q37" i="154" s="1"/>
  <c r="P56" i="154"/>
  <c r="Q56" i="154" s="1"/>
  <c r="P59" i="154"/>
  <c r="Q59" i="154" s="1"/>
  <c r="P53" i="154"/>
  <c r="Q53" i="154" s="1"/>
  <c r="P55" i="154"/>
  <c r="Q55" i="154" s="1"/>
  <c r="P31" i="154"/>
  <c r="Q31" i="154" s="1"/>
  <c r="P9" i="154"/>
  <c r="Q9" i="154" s="1"/>
  <c r="P46" i="154"/>
  <c r="Q46" i="154" s="1"/>
  <c r="P44" i="154"/>
  <c r="Q44" i="154" s="1"/>
  <c r="P8" i="154"/>
  <c r="Q8" i="154" s="1"/>
  <c r="P11" i="154"/>
  <c r="Q11" i="154" s="1"/>
  <c r="P62" i="154"/>
  <c r="Q62" i="154" s="1"/>
  <c r="P52" i="154"/>
  <c r="Q52" i="154" s="1"/>
  <c r="P54" i="154"/>
  <c r="Q54" i="154" s="1"/>
  <c r="P61" i="154"/>
  <c r="Q61" i="154" s="1"/>
  <c r="P35" i="153"/>
  <c r="Q35" i="153" s="1"/>
  <c r="P57" i="153"/>
  <c r="Q57" i="153" s="1"/>
  <c r="P19" i="153"/>
  <c r="Q19" i="153" s="1"/>
  <c r="P12" i="153"/>
  <c r="Q12" i="153" s="1"/>
  <c r="P38" i="153"/>
  <c r="Q38" i="153" s="1"/>
  <c r="P46" i="153"/>
  <c r="Q46" i="153" s="1"/>
  <c r="P58" i="153"/>
  <c r="Q58" i="153" s="1"/>
  <c r="P21" i="153"/>
  <c r="Q21" i="153" s="1"/>
  <c r="P48" i="153"/>
  <c r="Q48" i="153" s="1"/>
  <c r="P32" i="153"/>
  <c r="Q32" i="153" s="1"/>
  <c r="P8" i="153"/>
  <c r="Q8" i="153" s="1"/>
  <c r="P40" i="153"/>
  <c r="Q40" i="153" s="1"/>
  <c r="P52" i="153"/>
  <c r="Q52" i="153" s="1"/>
  <c r="P36" i="153"/>
  <c r="Q36" i="153" s="1"/>
  <c r="P55" i="153"/>
  <c r="Q55" i="153" s="1"/>
  <c r="P50" i="153"/>
  <c r="Q50" i="153" s="1"/>
  <c r="P24" i="153"/>
  <c r="Q24" i="153" s="1"/>
  <c r="P42" i="153"/>
  <c r="Q42" i="153" s="1"/>
  <c r="P20" i="153"/>
  <c r="Q20" i="153" s="1"/>
  <c r="P44" i="153"/>
  <c r="Q44" i="153" s="1"/>
  <c r="P34" i="153"/>
  <c r="Q34" i="153" s="1"/>
  <c r="P65" i="153"/>
  <c r="Q65" i="153" s="1"/>
  <c r="P10" i="153"/>
  <c r="Q10" i="153" s="1"/>
  <c r="P41" i="153"/>
  <c r="Q41" i="153" s="1"/>
  <c r="P9" i="153"/>
  <c r="Q9" i="153" s="1"/>
  <c r="P29" i="153"/>
  <c r="Q29" i="153" s="1"/>
  <c r="P14" i="153"/>
  <c r="Q14" i="153" s="1"/>
  <c r="P16" i="153"/>
  <c r="Q16" i="153" s="1"/>
  <c r="P59" i="153"/>
  <c r="Q59" i="153" s="1"/>
  <c r="P54" i="153"/>
  <c r="Q54" i="153" s="1"/>
  <c r="P53" i="153"/>
  <c r="Q53" i="153" s="1"/>
  <c r="P7" i="153"/>
  <c r="Q7" i="153" s="1"/>
  <c r="P11" i="153"/>
  <c r="Q11" i="153" s="1"/>
  <c r="P43" i="153"/>
  <c r="Q43" i="153" s="1"/>
  <c r="P26" i="153"/>
  <c r="Q26" i="153" s="1"/>
  <c r="P22" i="153"/>
  <c r="Q22" i="153" s="1"/>
  <c r="P47" i="153"/>
  <c r="Q47" i="153" s="1"/>
  <c r="P63" i="153"/>
  <c r="Q63" i="153" s="1"/>
  <c r="P13" i="153"/>
  <c r="Q13" i="153" s="1"/>
  <c r="P51" i="153"/>
  <c r="Q51" i="153" s="1"/>
  <c r="P23" i="153"/>
  <c r="Q23" i="153" s="1"/>
  <c r="P56" i="153"/>
  <c r="Q56" i="153" s="1"/>
  <c r="P15" i="153"/>
  <c r="Q15" i="153" s="1"/>
  <c r="P28" i="153"/>
  <c r="Q28" i="153" s="1"/>
  <c r="P27" i="153"/>
  <c r="Q27" i="153" s="1"/>
  <c r="P64" i="153"/>
  <c r="Q64" i="153" s="1"/>
  <c r="P25" i="153"/>
  <c r="Q25" i="153" s="1"/>
  <c r="P45" i="153"/>
  <c r="Q45" i="153" s="1"/>
  <c r="P18" i="153"/>
  <c r="Q18" i="153" s="1"/>
  <c r="P17" i="153"/>
  <c r="Q17" i="153" s="1"/>
  <c r="P60" i="153"/>
  <c r="Q60" i="153" s="1"/>
  <c r="P37" i="153"/>
  <c r="Q37" i="153" s="1"/>
  <c r="P30" i="153"/>
  <c r="Q30" i="153" s="1"/>
  <c r="P49" i="153"/>
  <c r="Q49" i="153" s="1"/>
  <c r="P33" i="153"/>
  <c r="Q33" i="153" s="1"/>
  <c r="P39" i="153"/>
  <c r="Q39" i="153" s="1"/>
  <c r="P31" i="153"/>
  <c r="Q31" i="153" s="1"/>
  <c r="P61" i="153"/>
  <c r="Q61" i="153" s="1"/>
  <c r="P62" i="153"/>
  <c r="Q62" i="153" s="1"/>
  <c r="P56" i="152"/>
  <c r="Q56" i="152" s="1"/>
  <c r="P45" i="152"/>
  <c r="Q45" i="152" s="1"/>
  <c r="P19" i="152"/>
  <c r="Q19" i="152" s="1"/>
  <c r="P29" i="152"/>
  <c r="Q29" i="152" s="1"/>
  <c r="P58" i="152"/>
  <c r="Q58" i="152" s="1"/>
  <c r="P40" i="152"/>
  <c r="Q40" i="152" s="1"/>
  <c r="P50" i="152"/>
  <c r="Q50" i="152" s="1"/>
  <c r="P11" i="152"/>
  <c r="Q11" i="152" s="1"/>
  <c r="P18" i="152"/>
  <c r="Q18" i="152" s="1"/>
  <c r="P9" i="152"/>
  <c r="Q9" i="152" s="1"/>
  <c r="P44" i="152"/>
  <c r="Q44" i="152" s="1"/>
  <c r="P8" i="152"/>
  <c r="Q8" i="152" s="1"/>
  <c r="P37" i="152"/>
  <c r="Q37" i="152" s="1"/>
  <c r="P59" i="152"/>
  <c r="Q59" i="152" s="1"/>
  <c r="P36" i="152"/>
  <c r="Q36" i="152" s="1"/>
  <c r="P52" i="152"/>
  <c r="Q52" i="152" s="1"/>
  <c r="P51" i="152"/>
  <c r="Q51" i="152" s="1"/>
  <c r="P46" i="152"/>
  <c r="Q46" i="152" s="1"/>
  <c r="P57" i="152"/>
  <c r="Q57" i="152" s="1"/>
  <c r="P25" i="152"/>
  <c r="Q25" i="152" s="1"/>
  <c r="P60" i="152"/>
  <c r="Q60" i="152" s="1"/>
  <c r="P10" i="152"/>
  <c r="Q10" i="152" s="1"/>
  <c r="P61" i="152"/>
  <c r="Q61" i="152" s="1"/>
  <c r="P41" i="152"/>
  <c r="Q41" i="152" s="1"/>
  <c r="P49" i="152"/>
  <c r="Q49" i="152" s="1"/>
  <c r="P32" i="152"/>
  <c r="Q32" i="152" s="1"/>
  <c r="P12" i="152"/>
  <c r="Q12" i="152" s="1"/>
  <c r="P17" i="152"/>
  <c r="Q17" i="152" s="1"/>
  <c r="P35" i="152"/>
  <c r="Q35" i="152" s="1"/>
  <c r="P39" i="152"/>
  <c r="Q39" i="152" s="1"/>
  <c r="P14" i="152"/>
  <c r="Q14" i="152" s="1"/>
  <c r="P34" i="152"/>
  <c r="Q34" i="152" s="1"/>
  <c r="P31" i="152"/>
  <c r="Q31" i="152" s="1"/>
  <c r="P21" i="152"/>
  <c r="Q21" i="152" s="1"/>
  <c r="P22" i="152"/>
  <c r="Q22" i="152" s="1"/>
  <c r="P43" i="152"/>
  <c r="Q43" i="152" s="1"/>
  <c r="P23" i="152"/>
  <c r="Q23" i="152" s="1"/>
  <c r="P42" i="152"/>
  <c r="Q42" i="152" s="1"/>
  <c r="P13" i="152"/>
  <c r="Q13" i="152" s="1"/>
  <c r="P7" i="152"/>
  <c r="Q7" i="152" s="1"/>
  <c r="P33" i="152"/>
  <c r="Q33" i="152" s="1"/>
  <c r="P55" i="152"/>
  <c r="Q55" i="152" s="1"/>
  <c r="P54" i="152"/>
  <c r="Q54" i="152" s="1"/>
  <c r="P26" i="152"/>
  <c r="Q26" i="152" s="1"/>
  <c r="P27" i="152"/>
  <c r="Q27" i="152" s="1"/>
  <c r="P20" i="152"/>
  <c r="Q20" i="152" s="1"/>
  <c r="P15" i="152"/>
  <c r="Q15" i="152" s="1"/>
  <c r="P47" i="152"/>
  <c r="Q47" i="152" s="1"/>
  <c r="P24" i="152"/>
  <c r="Q24" i="152" s="1"/>
  <c r="P48" i="152"/>
  <c r="Q48" i="152" s="1"/>
  <c r="P28" i="152"/>
  <c r="Q28" i="152" s="1"/>
  <c r="P16" i="152"/>
  <c r="Q16" i="152" s="1"/>
  <c r="P53" i="152"/>
  <c r="Q53" i="152" s="1"/>
  <c r="P38" i="152"/>
  <c r="Q38" i="152" s="1"/>
  <c r="P30" i="152"/>
  <c r="Q30" i="152" s="1"/>
  <c r="P27" i="151"/>
  <c r="Q27" i="151" s="1"/>
  <c r="P29" i="151"/>
  <c r="Q29" i="151" s="1"/>
  <c r="P26" i="151"/>
  <c r="Q26" i="151" s="1"/>
  <c r="P43" i="151"/>
  <c r="Q43" i="151" s="1"/>
  <c r="P18" i="151"/>
  <c r="Q18" i="151" s="1"/>
  <c r="P11" i="151"/>
  <c r="Q11" i="151" s="1"/>
  <c r="P37" i="151"/>
  <c r="Q37" i="151" s="1"/>
  <c r="P10" i="151"/>
  <c r="Q10" i="151" s="1"/>
  <c r="P32" i="151"/>
  <c r="Q32" i="151" s="1"/>
  <c r="P47" i="151"/>
  <c r="Q47" i="151" s="1"/>
  <c r="P55" i="151"/>
  <c r="Q55" i="151" s="1"/>
  <c r="P33" i="151"/>
  <c r="Q33" i="151" s="1"/>
  <c r="P54" i="151"/>
  <c r="Q54" i="151" s="1"/>
  <c r="P53" i="151"/>
  <c r="Q53" i="151" s="1"/>
  <c r="P21" i="151"/>
  <c r="Q21" i="151" s="1"/>
  <c r="P12" i="151"/>
  <c r="Q12" i="151" s="1"/>
  <c r="P51" i="151"/>
  <c r="Q51" i="151" s="1"/>
  <c r="P31" i="151"/>
  <c r="Q31" i="151" s="1"/>
  <c r="P39" i="151"/>
  <c r="Q39" i="151" s="1"/>
  <c r="P17" i="151"/>
  <c r="Q17" i="151" s="1"/>
  <c r="P9" i="151"/>
  <c r="Q9" i="151" s="1"/>
  <c r="P14" i="151"/>
  <c r="Q14" i="151" s="1"/>
  <c r="P24" i="151"/>
  <c r="Q24" i="151" s="1"/>
  <c r="P44" i="151"/>
  <c r="Q44" i="151" s="1"/>
  <c r="P36" i="151"/>
  <c r="Q36" i="151" s="1"/>
  <c r="P20" i="151"/>
  <c r="Q20" i="151" s="1"/>
  <c r="P15" i="151"/>
  <c r="Q15" i="151" s="1"/>
  <c r="P22" i="151"/>
  <c r="Q22" i="151" s="1"/>
  <c r="P8" i="151"/>
  <c r="Q8" i="151" s="1"/>
  <c r="P34" i="151"/>
  <c r="Q34" i="151" s="1"/>
  <c r="P28" i="151"/>
  <c r="Q28" i="151" s="1"/>
  <c r="P40" i="151"/>
  <c r="Q40" i="151" s="1"/>
  <c r="P45" i="151"/>
  <c r="Q45" i="151" s="1"/>
  <c r="P46" i="151"/>
  <c r="Q46" i="151" s="1"/>
  <c r="P48" i="151"/>
  <c r="Q48" i="151" s="1"/>
  <c r="P52" i="151"/>
  <c r="Q52" i="151" s="1"/>
  <c r="P42" i="151"/>
  <c r="Q42" i="151" s="1"/>
  <c r="P23" i="151"/>
  <c r="Q23" i="151" s="1"/>
  <c r="P56" i="151"/>
  <c r="Q56" i="151" s="1"/>
  <c r="P19" i="151"/>
  <c r="Q19" i="151" s="1"/>
  <c r="P25" i="151"/>
  <c r="Q25" i="151" s="1"/>
  <c r="P13" i="151"/>
  <c r="Q13" i="151" s="1"/>
  <c r="P7" i="151"/>
  <c r="Q7" i="151" s="1"/>
  <c r="P35" i="151"/>
  <c r="Q35" i="151" s="1"/>
  <c r="P49" i="151"/>
  <c r="Q49" i="151" s="1"/>
  <c r="P41" i="151"/>
  <c r="Q41" i="151" s="1"/>
  <c r="P30" i="151"/>
  <c r="Q30" i="151" s="1"/>
  <c r="P38" i="151"/>
  <c r="Q38" i="151" s="1"/>
  <c r="P16" i="151"/>
  <c r="Q16" i="151" s="1"/>
  <c r="P57" i="151"/>
  <c r="Q57" i="151" s="1"/>
  <c r="P60" i="151"/>
  <c r="Q60" i="151" s="1"/>
  <c r="P61" i="151"/>
  <c r="Q61" i="151" s="1"/>
  <c r="P50" i="151"/>
  <c r="Q50" i="151" s="1"/>
  <c r="P58" i="151"/>
  <c r="Q58" i="151" s="1"/>
  <c r="P59" i="151"/>
  <c r="Q59" i="151" s="1"/>
  <c r="P41" i="150"/>
  <c r="Q41" i="150" s="1"/>
  <c r="P18" i="150"/>
  <c r="Q18" i="150" s="1"/>
  <c r="P29" i="150"/>
  <c r="Q29" i="150" s="1"/>
  <c r="P58" i="150"/>
  <c r="Q58" i="150" s="1"/>
  <c r="P72" i="150"/>
  <c r="Q72" i="150" s="1"/>
  <c r="P37" i="150"/>
  <c r="Q37" i="150" s="1"/>
  <c r="P33" i="150"/>
  <c r="Q33" i="150" s="1"/>
  <c r="P71" i="150"/>
  <c r="Q71" i="150" s="1"/>
  <c r="P32" i="150"/>
  <c r="Q32" i="150" s="1"/>
  <c r="P17" i="150"/>
  <c r="Q17" i="150" s="1"/>
  <c r="P48" i="150"/>
  <c r="Q48" i="150" s="1"/>
  <c r="P50" i="150"/>
  <c r="Q50" i="150" s="1"/>
  <c r="P45" i="150"/>
  <c r="Q45" i="150" s="1"/>
  <c r="P26" i="150"/>
  <c r="Q26" i="150" s="1"/>
  <c r="P53" i="150"/>
  <c r="Q53" i="150" s="1"/>
  <c r="P43" i="150"/>
  <c r="Q43" i="150" s="1"/>
  <c r="P16" i="150"/>
  <c r="Q16" i="150" s="1"/>
  <c r="P63" i="150"/>
  <c r="Q63" i="150" s="1"/>
  <c r="P66" i="150"/>
  <c r="Q66" i="150" s="1"/>
  <c r="P14" i="150"/>
  <c r="Q14" i="150" s="1"/>
  <c r="P34" i="150"/>
  <c r="Q34" i="150" s="1"/>
  <c r="P57" i="150"/>
  <c r="Q57" i="150" s="1"/>
  <c r="P30" i="150"/>
  <c r="Q30" i="150" s="1"/>
  <c r="P65" i="150"/>
  <c r="Q65" i="150" s="1"/>
  <c r="P39" i="150"/>
  <c r="Q39" i="150" s="1"/>
  <c r="P64" i="150"/>
  <c r="Q64" i="150" s="1"/>
  <c r="P56" i="150"/>
  <c r="Q56" i="150" s="1"/>
  <c r="P8" i="150"/>
  <c r="Q8" i="150" s="1"/>
  <c r="P38" i="150"/>
  <c r="Q38" i="150" s="1"/>
  <c r="P13" i="150"/>
  <c r="Q13" i="150" s="1"/>
  <c r="P20" i="150"/>
  <c r="Q20" i="150" s="1"/>
  <c r="P12" i="150"/>
  <c r="Q12" i="150" s="1"/>
  <c r="P10" i="150"/>
  <c r="Q10" i="150" s="1"/>
  <c r="P25" i="150"/>
  <c r="Q25" i="150" s="1"/>
  <c r="P40" i="150"/>
  <c r="Q40" i="150" s="1"/>
  <c r="P28" i="150"/>
  <c r="Q28" i="150" s="1"/>
  <c r="P7" i="150"/>
  <c r="Q7" i="150" s="1"/>
  <c r="P36" i="150"/>
  <c r="Q36" i="150" s="1"/>
  <c r="P54" i="150"/>
  <c r="Q54" i="150" s="1"/>
  <c r="P47" i="150"/>
  <c r="Q47" i="150" s="1"/>
  <c r="P23" i="150"/>
  <c r="Q23" i="150" s="1"/>
  <c r="P24" i="150"/>
  <c r="Q24" i="150" s="1"/>
  <c r="P61" i="150"/>
  <c r="Q61" i="150" s="1"/>
  <c r="P52" i="150"/>
  <c r="Q52" i="150" s="1"/>
  <c r="P60" i="150"/>
  <c r="Q60" i="150" s="1"/>
  <c r="P44" i="150"/>
  <c r="Q44" i="150" s="1"/>
  <c r="P35" i="150"/>
  <c r="Q35" i="150" s="1"/>
  <c r="P51" i="150"/>
  <c r="Q51" i="150" s="1"/>
  <c r="P62" i="150"/>
  <c r="Q62" i="150" s="1"/>
  <c r="P42" i="150"/>
  <c r="Q42" i="150" s="1"/>
  <c r="P22" i="150"/>
  <c r="Q22" i="150" s="1"/>
  <c r="P9" i="150"/>
  <c r="Q9" i="150" s="1"/>
  <c r="P31" i="150"/>
  <c r="Q31" i="150" s="1"/>
  <c r="P49" i="150"/>
  <c r="Q49" i="150" s="1"/>
  <c r="P11" i="150"/>
  <c r="Q11" i="150" s="1"/>
  <c r="P27" i="150"/>
  <c r="Q27" i="150" s="1"/>
  <c r="P59" i="150"/>
  <c r="Q59" i="150" s="1"/>
  <c r="P68" i="150"/>
  <c r="Q68" i="150" s="1"/>
  <c r="P15" i="150"/>
  <c r="Q15" i="150" s="1"/>
  <c r="P70" i="150"/>
  <c r="Q70" i="150" s="1"/>
  <c r="P67" i="150"/>
  <c r="Q67" i="150" s="1"/>
  <c r="P21" i="150"/>
  <c r="Q21" i="150" s="1"/>
  <c r="P46" i="150"/>
  <c r="Q46" i="150" s="1"/>
  <c r="P55" i="150"/>
  <c r="Q55" i="150" s="1"/>
  <c r="P19" i="150"/>
  <c r="Q19" i="150" s="1"/>
  <c r="P69" i="150"/>
  <c r="Q69" i="150" s="1"/>
  <c r="P62" i="149"/>
  <c r="Q62" i="149" s="1"/>
  <c r="P73" i="149"/>
  <c r="Q73" i="149" s="1"/>
  <c r="P36" i="149"/>
  <c r="Q36" i="149" s="1"/>
  <c r="P56" i="149"/>
  <c r="Q56" i="149" s="1"/>
  <c r="P40" i="149"/>
  <c r="Q40" i="149" s="1"/>
  <c r="P68" i="149"/>
  <c r="Q68" i="149" s="1"/>
  <c r="P43" i="149"/>
  <c r="Q43" i="149" s="1"/>
  <c r="P39" i="149"/>
  <c r="Q39" i="149" s="1"/>
  <c r="P35" i="149"/>
  <c r="Q35" i="149" s="1"/>
  <c r="P33" i="149"/>
  <c r="Q33" i="149" s="1"/>
  <c r="P65" i="149"/>
  <c r="Q65" i="149" s="1"/>
  <c r="P72" i="149"/>
  <c r="Q72" i="149" s="1"/>
  <c r="P13" i="149"/>
  <c r="Q13" i="149" s="1"/>
  <c r="P27" i="149"/>
  <c r="Q27" i="149" s="1"/>
  <c r="P45" i="149"/>
  <c r="Q45" i="149" s="1"/>
  <c r="P31" i="149"/>
  <c r="Q31" i="149" s="1"/>
  <c r="P58" i="149"/>
  <c r="Q58" i="149" s="1"/>
  <c r="P22" i="149"/>
  <c r="Q22" i="149" s="1"/>
  <c r="P30" i="149"/>
  <c r="Q30" i="149" s="1"/>
  <c r="P23" i="149"/>
  <c r="Q23" i="149" s="1"/>
  <c r="P59" i="149"/>
  <c r="Q59" i="149" s="1"/>
  <c r="P38" i="149"/>
  <c r="Q38" i="149" s="1"/>
  <c r="P34" i="149"/>
  <c r="Q34" i="149" s="1"/>
  <c r="P54" i="149"/>
  <c r="Q54" i="149" s="1"/>
  <c r="P61" i="149"/>
  <c r="Q61" i="149" s="1"/>
  <c r="P67" i="149"/>
  <c r="Q67" i="149" s="1"/>
  <c r="P37" i="149"/>
  <c r="Q37" i="149" s="1"/>
  <c r="P42" i="149"/>
  <c r="Q42" i="149" s="1"/>
  <c r="P8" i="149"/>
  <c r="Q8" i="149" s="1"/>
  <c r="P25" i="149"/>
  <c r="Q25" i="149" s="1"/>
  <c r="P10" i="149"/>
  <c r="Q10" i="149" s="1"/>
  <c r="P24" i="149"/>
  <c r="Q24" i="149" s="1"/>
  <c r="P64" i="149"/>
  <c r="Q64" i="149" s="1"/>
  <c r="P16" i="149"/>
  <c r="Q16" i="149" s="1"/>
  <c r="P71" i="149"/>
  <c r="Q71" i="149" s="1"/>
  <c r="P19" i="149"/>
  <c r="Q19" i="149" s="1"/>
  <c r="P11" i="149"/>
  <c r="Q11" i="149" s="1"/>
  <c r="P12" i="149"/>
  <c r="Q12" i="149" s="1"/>
  <c r="P46" i="149"/>
  <c r="Q46" i="149" s="1"/>
  <c r="P41" i="149"/>
  <c r="Q41" i="149" s="1"/>
  <c r="P14" i="149"/>
  <c r="Q14" i="149" s="1"/>
  <c r="P52" i="149"/>
  <c r="Q52" i="149" s="1"/>
  <c r="P28" i="149"/>
  <c r="Q28" i="149" s="1"/>
  <c r="P17" i="149"/>
  <c r="Q17" i="149" s="1"/>
  <c r="P26" i="149"/>
  <c r="Q26" i="149" s="1"/>
  <c r="P57" i="149"/>
  <c r="Q57" i="149" s="1"/>
  <c r="P70" i="149"/>
  <c r="Q70" i="149" s="1"/>
  <c r="P47" i="149"/>
  <c r="Q47" i="149" s="1"/>
  <c r="P44" i="149"/>
  <c r="Q44" i="149" s="1"/>
  <c r="P48" i="149"/>
  <c r="Q48" i="149" s="1"/>
  <c r="P50" i="149"/>
  <c r="Q50" i="149" s="1"/>
  <c r="P15" i="149"/>
  <c r="Q15" i="149" s="1"/>
  <c r="P66" i="149"/>
  <c r="Q66" i="149" s="1"/>
  <c r="P21" i="149"/>
  <c r="Q21" i="149" s="1"/>
  <c r="P53" i="149"/>
  <c r="Q53" i="149" s="1"/>
  <c r="P29" i="149"/>
  <c r="Q29" i="149" s="1"/>
  <c r="P69" i="149"/>
  <c r="Q69" i="149" s="1"/>
  <c r="P51" i="149"/>
  <c r="Q51" i="149" s="1"/>
  <c r="P63" i="149"/>
  <c r="Q63" i="149" s="1"/>
  <c r="P9" i="149"/>
  <c r="Q9" i="149" s="1"/>
  <c r="P55" i="149"/>
  <c r="Q55" i="149" s="1"/>
  <c r="P32" i="149"/>
  <c r="Q32" i="149" s="1"/>
  <c r="P18" i="149"/>
  <c r="Q18" i="149" s="1"/>
  <c r="Q60" i="149"/>
  <c r="P60" i="149"/>
  <c r="P20" i="149"/>
  <c r="Q20" i="149" s="1"/>
  <c r="P7" i="149"/>
  <c r="Q7" i="149" s="1"/>
  <c r="P49" i="149"/>
  <c r="Q49" i="149" s="1"/>
  <c r="P51" i="148"/>
  <c r="Q51" i="148" s="1"/>
  <c r="P33" i="148"/>
  <c r="Q33" i="148" s="1"/>
  <c r="P58" i="148"/>
  <c r="Q58" i="148" s="1"/>
  <c r="P57" i="148"/>
  <c r="Q57" i="148" s="1"/>
  <c r="P68" i="148"/>
  <c r="Q68" i="148" s="1"/>
  <c r="P37" i="148"/>
  <c r="Q37" i="148" s="1"/>
  <c r="P39" i="148"/>
  <c r="Q39" i="148" s="1"/>
  <c r="P41" i="148"/>
  <c r="Q41" i="148" s="1"/>
  <c r="P23" i="148"/>
  <c r="Q23" i="148" s="1"/>
  <c r="P21" i="148"/>
  <c r="Q21" i="148" s="1"/>
  <c r="P50" i="148"/>
  <c r="Q50" i="148" s="1"/>
  <c r="P72" i="148"/>
  <c r="Q72" i="148" s="1"/>
  <c r="P16" i="148"/>
  <c r="Q16" i="148" s="1"/>
  <c r="P26" i="148"/>
  <c r="Q26" i="148" s="1"/>
  <c r="P11" i="148"/>
  <c r="Q11" i="148" s="1"/>
  <c r="P18" i="148"/>
  <c r="Q18" i="148" s="1"/>
  <c r="P29" i="148"/>
  <c r="Q29" i="148" s="1"/>
  <c r="P13" i="148"/>
  <c r="Q13" i="148" s="1"/>
  <c r="P60" i="148"/>
  <c r="Q60" i="148" s="1"/>
  <c r="P32" i="148"/>
  <c r="Q32" i="148" s="1"/>
  <c r="P45" i="148"/>
  <c r="Q45" i="148" s="1"/>
  <c r="P66" i="148"/>
  <c r="Q66" i="148" s="1"/>
  <c r="P20" i="148"/>
  <c r="Q20" i="148" s="1"/>
  <c r="P15" i="148"/>
  <c r="Q15" i="148" s="1"/>
  <c r="P19" i="148"/>
  <c r="Q19" i="148" s="1"/>
  <c r="P27" i="148"/>
  <c r="Q27" i="148" s="1"/>
  <c r="P74" i="148"/>
  <c r="Q74" i="148" s="1"/>
  <c r="P48" i="148"/>
  <c r="Q48" i="148" s="1"/>
  <c r="P24" i="148"/>
  <c r="Q24" i="148" s="1"/>
  <c r="P38" i="148"/>
  <c r="Q38" i="148" s="1"/>
  <c r="P49" i="148"/>
  <c r="Q49" i="148" s="1"/>
  <c r="P71" i="148"/>
  <c r="Q71" i="148" s="1"/>
  <c r="P36" i="148"/>
  <c r="Q36" i="148" s="1"/>
  <c r="P28" i="148"/>
  <c r="Q28" i="148" s="1"/>
  <c r="P14" i="148"/>
  <c r="Q14" i="148" s="1"/>
  <c r="P65" i="148"/>
  <c r="Q65" i="148" s="1"/>
  <c r="P61" i="148"/>
  <c r="Q61" i="148" s="1"/>
  <c r="P73" i="148"/>
  <c r="Q73" i="148" s="1"/>
  <c r="P7" i="148"/>
  <c r="Q7" i="148" s="1"/>
  <c r="P43" i="148"/>
  <c r="Q43" i="148" s="1"/>
  <c r="P17" i="148"/>
  <c r="Q17" i="148" s="1"/>
  <c r="P56" i="148"/>
  <c r="Q56" i="148" s="1"/>
  <c r="P9" i="148"/>
  <c r="Q9" i="148" s="1"/>
  <c r="P44" i="148"/>
  <c r="Q44" i="148" s="1"/>
  <c r="P46" i="148"/>
  <c r="Q46" i="148" s="1"/>
  <c r="P62" i="148"/>
  <c r="Q62" i="148" s="1"/>
  <c r="P12" i="148"/>
  <c r="Q12" i="148" s="1"/>
  <c r="P55" i="148"/>
  <c r="Q55" i="148" s="1"/>
  <c r="P34" i="148"/>
  <c r="Q34" i="148" s="1"/>
  <c r="P30" i="148"/>
  <c r="Q30" i="148" s="1"/>
  <c r="P22" i="148"/>
  <c r="Q22" i="148" s="1"/>
  <c r="P70" i="148"/>
  <c r="Q70" i="148" s="1"/>
  <c r="P64" i="148"/>
  <c r="Q64" i="148" s="1"/>
  <c r="P69" i="148"/>
  <c r="Q69" i="148" s="1"/>
  <c r="P31" i="148"/>
  <c r="Q31" i="148" s="1"/>
  <c r="P40" i="148"/>
  <c r="Q40" i="148" s="1"/>
  <c r="P54" i="148"/>
  <c r="Q54" i="148" s="1"/>
  <c r="P63" i="148"/>
  <c r="Q63" i="148" s="1"/>
  <c r="P67" i="148"/>
  <c r="Q67" i="148" s="1"/>
  <c r="P52" i="148"/>
  <c r="Q52" i="148" s="1"/>
  <c r="P8" i="148"/>
  <c r="Q8" i="148" s="1"/>
  <c r="P35" i="148"/>
  <c r="Q35" i="148" s="1"/>
  <c r="P47" i="148"/>
  <c r="Q47" i="148" s="1"/>
  <c r="P59" i="148"/>
  <c r="Q59" i="148" s="1"/>
  <c r="P10" i="148"/>
  <c r="Q10" i="148" s="1"/>
  <c r="P42" i="148"/>
  <c r="Q42" i="148" s="1"/>
  <c r="P53" i="148"/>
  <c r="Q53" i="148" s="1"/>
  <c r="P25" i="148"/>
  <c r="Q25" i="148" s="1"/>
  <c r="P72" i="147"/>
  <c r="Q72" i="147" s="1"/>
  <c r="P55" i="147"/>
  <c r="Q55" i="147" s="1"/>
  <c r="P64" i="147"/>
  <c r="Q64" i="147" s="1"/>
  <c r="P35" i="147"/>
  <c r="Q35" i="147" s="1"/>
  <c r="P66" i="147"/>
  <c r="Q66" i="147" s="1"/>
  <c r="P63" i="147"/>
  <c r="Q63" i="147" s="1"/>
  <c r="P14" i="147"/>
  <c r="Q14" i="147" s="1"/>
  <c r="P53" i="147"/>
  <c r="Q53" i="147" s="1"/>
  <c r="P11" i="147"/>
  <c r="Q11" i="147" s="1"/>
  <c r="P15" i="147"/>
  <c r="Q15" i="147" s="1"/>
  <c r="P54" i="147"/>
  <c r="Q54" i="147" s="1"/>
  <c r="P21" i="147"/>
  <c r="Q21" i="147" s="1"/>
  <c r="P32" i="147"/>
  <c r="Q32" i="147" s="1"/>
  <c r="P44" i="147"/>
  <c r="Q44" i="147" s="1"/>
  <c r="P26" i="147"/>
  <c r="Q26" i="147" s="1"/>
  <c r="P45" i="147"/>
  <c r="Q45" i="147" s="1"/>
  <c r="P29" i="147"/>
  <c r="Q29" i="147" s="1"/>
  <c r="P18" i="147"/>
  <c r="Q18" i="147" s="1"/>
  <c r="P60" i="147"/>
  <c r="Q60" i="147" s="1"/>
  <c r="P62" i="147"/>
  <c r="Q62" i="147" s="1"/>
  <c r="P34" i="147"/>
  <c r="Q34" i="147" s="1"/>
  <c r="P20" i="147"/>
  <c r="Q20" i="147" s="1"/>
  <c r="P37" i="147"/>
  <c r="Q37" i="147" s="1"/>
  <c r="P17" i="147"/>
  <c r="Q17" i="147" s="1"/>
  <c r="P59" i="147"/>
  <c r="Q59" i="147" s="1"/>
  <c r="P19" i="147"/>
  <c r="Q19" i="147" s="1"/>
  <c r="P10" i="147"/>
  <c r="Q10" i="147" s="1"/>
  <c r="P33" i="147"/>
  <c r="Q33" i="147" s="1"/>
  <c r="P43" i="147"/>
  <c r="Q43" i="147" s="1"/>
  <c r="P65" i="147"/>
  <c r="Q65" i="147" s="1"/>
  <c r="P46" i="147"/>
  <c r="Q46" i="147" s="1"/>
  <c r="P57" i="147"/>
  <c r="Q57" i="147" s="1"/>
  <c r="P25" i="147"/>
  <c r="Q25" i="147" s="1"/>
  <c r="P24" i="147"/>
  <c r="Q24" i="147" s="1"/>
  <c r="P28" i="147"/>
  <c r="Q28" i="147" s="1"/>
  <c r="P12" i="147"/>
  <c r="Q12" i="147" s="1"/>
  <c r="P40" i="147"/>
  <c r="Q40" i="147" s="1"/>
  <c r="P69" i="147"/>
  <c r="Q69" i="147" s="1"/>
  <c r="P49" i="147"/>
  <c r="Q49" i="147" s="1"/>
  <c r="P61" i="147"/>
  <c r="Q61" i="147" s="1"/>
  <c r="P48" i="147"/>
  <c r="Q48" i="147" s="1"/>
  <c r="P47" i="147"/>
  <c r="Q47" i="147" s="1"/>
  <c r="P9" i="147"/>
  <c r="Q9" i="147" s="1"/>
  <c r="P31" i="147"/>
  <c r="Q31" i="147" s="1"/>
  <c r="P70" i="147"/>
  <c r="Q70" i="147" s="1"/>
  <c r="P73" i="147"/>
  <c r="Q73" i="147" s="1"/>
  <c r="P58" i="147"/>
  <c r="Q58" i="147" s="1"/>
  <c r="P16" i="147"/>
  <c r="Q16" i="147" s="1"/>
  <c r="P38" i="147"/>
  <c r="Q38" i="147" s="1"/>
  <c r="P8" i="147"/>
  <c r="Q8" i="147" s="1"/>
  <c r="P39" i="147"/>
  <c r="Q39" i="147" s="1"/>
  <c r="P42" i="147"/>
  <c r="Q42" i="147" s="1"/>
  <c r="P50" i="147"/>
  <c r="Q50" i="147" s="1"/>
  <c r="P56" i="147"/>
  <c r="Q56" i="147" s="1"/>
  <c r="P52" i="147"/>
  <c r="Q52" i="147" s="1"/>
  <c r="P30" i="147"/>
  <c r="Q30" i="147" s="1"/>
  <c r="P51" i="147"/>
  <c r="Q51" i="147" s="1"/>
  <c r="P67" i="147"/>
  <c r="Q67" i="147" s="1"/>
  <c r="P36" i="147"/>
  <c r="Q36" i="147" s="1"/>
  <c r="P71" i="147"/>
  <c r="Q71" i="147" s="1"/>
  <c r="P41" i="147"/>
  <c r="Q41" i="147" s="1"/>
  <c r="P68" i="147"/>
  <c r="Q68" i="147" s="1"/>
  <c r="P22" i="147"/>
  <c r="Q22" i="147" s="1"/>
  <c r="P23" i="147"/>
  <c r="Q23" i="147" s="1"/>
  <c r="P13" i="147"/>
  <c r="Q13" i="147" s="1"/>
  <c r="P27" i="147"/>
  <c r="Q27" i="147" s="1"/>
  <c r="N19" i="146"/>
  <c r="O19" i="146" s="1"/>
  <c r="N14" i="146"/>
  <c r="O14" i="146" s="1"/>
  <c r="N61" i="146"/>
  <c r="O61" i="146" s="1"/>
  <c r="N43" i="146"/>
  <c r="O43" i="146" s="1"/>
  <c r="N64" i="146"/>
  <c r="O64" i="146" s="1"/>
  <c r="N65" i="146"/>
  <c r="O65" i="146" s="1"/>
  <c r="N44" i="146"/>
  <c r="O44" i="146" s="1"/>
  <c r="N27" i="146"/>
  <c r="O27" i="146" s="1"/>
  <c r="N55" i="146"/>
  <c r="O55" i="146" s="1"/>
  <c r="N9" i="146"/>
  <c r="O9" i="146" s="1"/>
  <c r="N7" i="146"/>
  <c r="O7" i="146" s="1"/>
  <c r="N60" i="146"/>
  <c r="O60" i="146" s="1"/>
  <c r="N20" i="146"/>
  <c r="O20" i="146" s="1"/>
  <c r="N29" i="146"/>
  <c r="O29" i="146" s="1"/>
  <c r="N46" i="146"/>
  <c r="O46" i="146" s="1"/>
  <c r="N57" i="146"/>
  <c r="O57" i="146" s="1"/>
  <c r="N42" i="146"/>
  <c r="O42" i="146" s="1"/>
  <c r="N16" i="146"/>
  <c r="O16" i="146" s="1"/>
  <c r="N62" i="146"/>
  <c r="O62" i="146" s="1"/>
  <c r="N30" i="146"/>
  <c r="O30" i="146" s="1"/>
  <c r="N39" i="146"/>
  <c r="O39" i="146" s="1"/>
  <c r="N37" i="146"/>
  <c r="O37" i="146" s="1"/>
  <c r="N10" i="146"/>
  <c r="O10" i="146" s="1"/>
  <c r="N33" i="146"/>
  <c r="O33" i="146" s="1"/>
  <c r="N45" i="146"/>
  <c r="O45" i="146" s="1"/>
  <c r="N8" i="146"/>
  <c r="O8" i="146" s="1"/>
  <c r="N51" i="146"/>
  <c r="O51" i="146" s="1"/>
  <c r="N47" i="146"/>
  <c r="O47" i="146" s="1"/>
  <c r="N41" i="146"/>
  <c r="O41" i="146" s="1"/>
  <c r="N31" i="146"/>
  <c r="O31" i="146" s="1"/>
  <c r="N36" i="146"/>
  <c r="O36" i="146" s="1"/>
  <c r="N32" i="146"/>
  <c r="O32" i="146" s="1"/>
  <c r="N66" i="146"/>
  <c r="O66" i="146" s="1"/>
  <c r="N25" i="146"/>
  <c r="O25" i="146" s="1"/>
  <c r="N13" i="146"/>
  <c r="O13" i="146" s="1"/>
  <c r="N28" i="146"/>
  <c r="O28" i="146" s="1"/>
  <c r="N26" i="146"/>
  <c r="O26" i="146" s="1"/>
  <c r="N59" i="146"/>
  <c r="O59" i="146" s="1"/>
  <c r="N52" i="146"/>
  <c r="O52" i="146" s="1"/>
  <c r="N56" i="146"/>
  <c r="O56" i="146" s="1"/>
  <c r="N18" i="146"/>
  <c r="O18" i="146" s="1"/>
  <c r="N58" i="146"/>
  <c r="O58" i="146" s="1"/>
  <c r="N17" i="146"/>
  <c r="O17" i="146" s="1"/>
  <c r="N54" i="146"/>
  <c r="O54" i="146" s="1"/>
  <c r="N12" i="146"/>
  <c r="O12" i="146" s="1"/>
  <c r="N21" i="146"/>
  <c r="O21" i="146" s="1"/>
  <c r="N23" i="146"/>
  <c r="O23" i="146" s="1"/>
  <c r="N35" i="146"/>
  <c r="O35" i="146" s="1"/>
  <c r="N49" i="146"/>
  <c r="O49" i="146" s="1"/>
  <c r="N63" i="146"/>
  <c r="O63" i="146" s="1"/>
  <c r="N50" i="146"/>
  <c r="O50" i="146" s="1"/>
  <c r="N53" i="146"/>
  <c r="O53" i="146" s="1"/>
  <c r="N22" i="146"/>
  <c r="O22" i="146" s="1"/>
  <c r="N34" i="146"/>
  <c r="O34" i="146" s="1"/>
  <c r="N11" i="146"/>
  <c r="O11" i="146" s="1"/>
  <c r="N40" i="146"/>
  <c r="O40" i="146" s="1"/>
  <c r="N48" i="146"/>
  <c r="O48" i="146" s="1"/>
  <c r="N15" i="146"/>
  <c r="O15" i="146" s="1"/>
  <c r="N24" i="146"/>
  <c r="O24" i="146" s="1"/>
  <c r="N38" i="146"/>
  <c r="O38" i="146" s="1"/>
  <c r="N18" i="145"/>
  <c r="O18" i="145" s="1"/>
  <c r="N44" i="145"/>
  <c r="O44" i="145" s="1"/>
  <c r="N35" i="145"/>
  <c r="O35" i="145" s="1"/>
  <c r="N13" i="145"/>
  <c r="O13" i="145" s="1"/>
  <c r="N52" i="145"/>
  <c r="O52" i="145" s="1"/>
  <c r="N23" i="145"/>
  <c r="O23" i="145" s="1"/>
  <c r="N47" i="145"/>
  <c r="O47" i="145" s="1"/>
  <c r="N42" i="145"/>
  <c r="O42" i="145" s="1"/>
  <c r="N51" i="145"/>
  <c r="O51" i="145" s="1"/>
  <c r="N24" i="145"/>
  <c r="O24" i="145" s="1"/>
  <c r="N21" i="145"/>
  <c r="O21" i="145" s="1"/>
  <c r="N49" i="145"/>
  <c r="O49" i="145" s="1"/>
  <c r="N57" i="145"/>
  <c r="O57" i="145" s="1"/>
  <c r="N41" i="145"/>
  <c r="O41" i="145" s="1"/>
  <c r="N15" i="145"/>
  <c r="O15" i="145" s="1"/>
  <c r="N40" i="145"/>
  <c r="O40" i="145" s="1"/>
  <c r="N61" i="145"/>
  <c r="O61" i="145" s="1"/>
  <c r="N67" i="145"/>
  <c r="O67" i="145" s="1"/>
  <c r="N31" i="145"/>
  <c r="O31" i="145" s="1"/>
  <c r="N39" i="145"/>
  <c r="O39" i="145" s="1"/>
  <c r="N9" i="145"/>
  <c r="O9" i="145" s="1"/>
  <c r="N11" i="145"/>
  <c r="O11" i="145" s="1"/>
  <c r="N26" i="145"/>
  <c r="O26" i="145" s="1"/>
  <c r="N29" i="145"/>
  <c r="O29" i="145" s="1"/>
  <c r="N62" i="145"/>
  <c r="O62" i="145" s="1"/>
  <c r="N22" i="145"/>
  <c r="O22" i="145" s="1"/>
  <c r="N43" i="145"/>
  <c r="O43" i="145" s="1"/>
  <c r="N30" i="145"/>
  <c r="O30" i="145" s="1"/>
  <c r="N8" i="145"/>
  <c r="O8" i="145" s="1"/>
  <c r="N27" i="145"/>
  <c r="O27" i="145" s="1"/>
  <c r="N58" i="145"/>
  <c r="O58" i="145" s="1"/>
  <c r="N66" i="145"/>
  <c r="O66" i="145" s="1"/>
  <c r="N65" i="145"/>
  <c r="O65" i="145" s="1"/>
  <c r="N28" i="145"/>
  <c r="O28" i="145" s="1"/>
  <c r="N16" i="145"/>
  <c r="O16" i="145" s="1"/>
  <c r="N20" i="145"/>
  <c r="O20" i="145" s="1"/>
  <c r="N38" i="145"/>
  <c r="O38" i="145" s="1"/>
  <c r="N50" i="145"/>
  <c r="O50" i="145" s="1"/>
  <c r="N45" i="145"/>
  <c r="O45" i="145" s="1"/>
  <c r="N59" i="145"/>
  <c r="O59" i="145" s="1"/>
  <c r="N56" i="145"/>
  <c r="O56" i="145" s="1"/>
  <c r="N12" i="145"/>
  <c r="O12" i="145" s="1"/>
  <c r="N10" i="145"/>
  <c r="O10" i="145" s="1"/>
  <c r="N14" i="145"/>
  <c r="O14" i="145" s="1"/>
  <c r="N46" i="145"/>
  <c r="O46" i="145" s="1"/>
  <c r="N55" i="145"/>
  <c r="O55" i="145" s="1"/>
  <c r="N33" i="145"/>
  <c r="O33" i="145" s="1"/>
  <c r="N19" i="145"/>
  <c r="O19" i="145" s="1"/>
  <c r="N48" i="145"/>
  <c r="O48" i="145" s="1"/>
  <c r="N34" i="145"/>
  <c r="O34" i="145" s="1"/>
  <c r="N64" i="145"/>
  <c r="O64" i="145" s="1"/>
  <c r="N7" i="145"/>
  <c r="O7" i="145" s="1"/>
  <c r="N36" i="145"/>
  <c r="O36" i="145" s="1"/>
  <c r="N37" i="145"/>
  <c r="O37" i="145" s="1"/>
  <c r="N25" i="145"/>
  <c r="O25" i="145" s="1"/>
  <c r="N54" i="145"/>
  <c r="O54" i="145" s="1"/>
  <c r="N32" i="145"/>
  <c r="O32" i="145" s="1"/>
  <c r="N53" i="145"/>
  <c r="O53" i="145" s="1"/>
  <c r="N63" i="145"/>
  <c r="O63" i="145" s="1"/>
  <c r="N17" i="145"/>
  <c r="O17" i="145" s="1"/>
  <c r="N60" i="145"/>
  <c r="O60" i="145" s="1"/>
  <c r="N50" i="144"/>
  <c r="O50" i="144" s="1"/>
  <c r="N38" i="144"/>
  <c r="O38" i="144" s="1"/>
  <c r="N10" i="144"/>
  <c r="O10" i="144" s="1"/>
  <c r="N44" i="144"/>
  <c r="O44" i="144" s="1"/>
  <c r="N49" i="144"/>
  <c r="O49" i="144" s="1"/>
  <c r="N62" i="144"/>
  <c r="O62" i="144" s="1"/>
  <c r="N8" i="144"/>
  <c r="O8" i="144" s="1"/>
  <c r="N59" i="144"/>
  <c r="O59" i="144" s="1"/>
  <c r="N67" i="144"/>
  <c r="O67" i="144" s="1"/>
  <c r="N66" i="144"/>
  <c r="O66" i="144" s="1"/>
  <c r="N7" i="144"/>
  <c r="O7" i="144" s="1"/>
  <c r="N56" i="144"/>
  <c r="O56" i="144" s="1"/>
  <c r="N37" i="144"/>
  <c r="O37" i="144" s="1"/>
  <c r="N18" i="144"/>
  <c r="O18" i="144" s="1"/>
  <c r="N61" i="144"/>
  <c r="O61" i="144" s="1"/>
  <c r="N41" i="144"/>
  <c r="O41" i="144" s="1"/>
  <c r="N40" i="144"/>
  <c r="O40" i="144" s="1"/>
  <c r="N54" i="144"/>
  <c r="O54" i="144" s="1"/>
  <c r="N30" i="144"/>
  <c r="O30" i="144" s="1"/>
  <c r="N24" i="144"/>
  <c r="O24" i="144" s="1"/>
  <c r="N46" i="144"/>
  <c r="O46" i="144" s="1"/>
  <c r="N33" i="144"/>
  <c r="O33" i="144" s="1"/>
  <c r="N15" i="144"/>
  <c r="O15" i="144" s="1"/>
  <c r="N65" i="144"/>
  <c r="O65" i="144" s="1"/>
  <c r="N11" i="144"/>
  <c r="O11" i="144" s="1"/>
  <c r="N13" i="144"/>
  <c r="O13" i="144" s="1"/>
  <c r="N16" i="144"/>
  <c r="O16" i="144" s="1"/>
  <c r="N31" i="144"/>
  <c r="O31" i="144" s="1"/>
  <c r="N55" i="144"/>
  <c r="O55" i="144" s="1"/>
  <c r="N20" i="144"/>
  <c r="O20" i="144" s="1"/>
  <c r="N51" i="144"/>
  <c r="O51" i="144" s="1"/>
  <c r="N32" i="144"/>
  <c r="O32" i="144" s="1"/>
  <c r="N26" i="144"/>
  <c r="O26" i="144" s="1"/>
  <c r="N58" i="144"/>
  <c r="O58" i="144" s="1"/>
  <c r="N36" i="144"/>
  <c r="O36" i="144" s="1"/>
  <c r="N63" i="144"/>
  <c r="O63" i="144" s="1"/>
  <c r="N12" i="144"/>
  <c r="O12" i="144" s="1"/>
  <c r="N17" i="144"/>
  <c r="O17" i="144" s="1"/>
  <c r="N9" i="144"/>
  <c r="O9" i="144" s="1"/>
  <c r="N23" i="144"/>
  <c r="O23" i="144" s="1"/>
  <c r="N60" i="144"/>
  <c r="O60" i="144" s="1"/>
  <c r="N47" i="144"/>
  <c r="O47" i="144" s="1"/>
  <c r="N43" i="144"/>
  <c r="O43" i="144" s="1"/>
  <c r="N29" i="144"/>
  <c r="O29" i="144" s="1"/>
  <c r="N27" i="144"/>
  <c r="O27" i="144" s="1"/>
  <c r="N35" i="144"/>
  <c r="O35" i="144" s="1"/>
  <c r="N64" i="144"/>
  <c r="O64" i="144" s="1"/>
  <c r="N52" i="144"/>
  <c r="O52" i="144" s="1"/>
  <c r="N34" i="144"/>
  <c r="O34" i="144" s="1"/>
  <c r="N28" i="144"/>
  <c r="O28" i="144" s="1"/>
  <c r="N19" i="144"/>
  <c r="O19" i="144" s="1"/>
  <c r="N57" i="144"/>
  <c r="O57" i="144" s="1"/>
  <c r="N53" i="144"/>
  <c r="O53" i="144" s="1"/>
  <c r="N22" i="144"/>
  <c r="O22" i="144" s="1"/>
  <c r="N42" i="144"/>
  <c r="O42" i="144" s="1"/>
  <c r="N25" i="144"/>
  <c r="O25" i="144" s="1"/>
  <c r="N39" i="144"/>
  <c r="O39" i="144" s="1"/>
  <c r="N14" i="144"/>
  <c r="O14" i="144" s="1"/>
  <c r="N45" i="144"/>
  <c r="O45" i="144" s="1"/>
  <c r="N48" i="144"/>
  <c r="O48" i="144" s="1"/>
  <c r="N21" i="144"/>
  <c r="O21" i="144" s="1"/>
  <c r="N13" i="143"/>
  <c r="O13" i="143" s="1"/>
  <c r="N25" i="143"/>
  <c r="O25" i="143" s="1"/>
  <c r="N26" i="143"/>
  <c r="O26" i="143" s="1"/>
  <c r="N35" i="143"/>
  <c r="O35" i="143" s="1"/>
  <c r="N22" i="143"/>
  <c r="O22" i="143" s="1"/>
  <c r="N61" i="143"/>
  <c r="O61" i="143" s="1"/>
  <c r="N10" i="143"/>
  <c r="O10" i="143" s="1"/>
  <c r="N42" i="143"/>
  <c r="O42" i="143" s="1"/>
  <c r="N24" i="143"/>
  <c r="O24" i="143" s="1"/>
  <c r="N33" i="143"/>
  <c r="O33" i="143" s="1"/>
  <c r="N15" i="143"/>
  <c r="O15" i="143" s="1"/>
  <c r="N7" i="143"/>
  <c r="O7" i="143" s="1"/>
  <c r="N40" i="143"/>
  <c r="O40" i="143" s="1"/>
  <c r="N66" i="143"/>
  <c r="O66" i="143" s="1"/>
  <c r="N14" i="143"/>
  <c r="O14" i="143" s="1"/>
  <c r="N12" i="143"/>
  <c r="O12" i="143" s="1"/>
  <c r="N9" i="143"/>
  <c r="O9" i="143" s="1"/>
  <c r="N28" i="143"/>
  <c r="O28" i="143" s="1"/>
  <c r="N58" i="143"/>
  <c r="O58" i="143" s="1"/>
  <c r="N64" i="143"/>
  <c r="O64" i="143" s="1"/>
  <c r="N49" i="143"/>
  <c r="O49" i="143" s="1"/>
  <c r="N11" i="143"/>
  <c r="O11" i="143" s="1"/>
  <c r="N62" i="143"/>
  <c r="O62" i="143" s="1"/>
  <c r="N54" i="143"/>
  <c r="O54" i="143" s="1"/>
  <c r="N16" i="143"/>
  <c r="O16" i="143" s="1"/>
  <c r="N18" i="143"/>
  <c r="O18" i="143" s="1"/>
  <c r="N48" i="143"/>
  <c r="O48" i="143" s="1"/>
  <c r="N51" i="143"/>
  <c r="O51" i="143" s="1"/>
  <c r="N30" i="143"/>
  <c r="O30" i="143" s="1"/>
  <c r="N17" i="143"/>
  <c r="O17" i="143" s="1"/>
  <c r="N56" i="143"/>
  <c r="O56" i="143" s="1"/>
  <c r="N34" i="143"/>
  <c r="O34" i="143" s="1"/>
  <c r="N46" i="143"/>
  <c r="O46" i="143" s="1"/>
  <c r="N43" i="143"/>
  <c r="O43" i="143" s="1"/>
  <c r="N60" i="143"/>
  <c r="O60" i="143" s="1"/>
  <c r="N45" i="143"/>
  <c r="O45" i="143" s="1"/>
  <c r="N59" i="143"/>
  <c r="O59" i="143" s="1"/>
  <c r="N20" i="143"/>
  <c r="O20" i="143" s="1"/>
  <c r="N63" i="143"/>
  <c r="O63" i="143" s="1"/>
  <c r="N37" i="143"/>
  <c r="O37" i="143" s="1"/>
  <c r="N57" i="143"/>
  <c r="O57" i="143" s="1"/>
  <c r="N50" i="143"/>
  <c r="O50" i="143" s="1"/>
  <c r="N36" i="143"/>
  <c r="O36" i="143" s="1"/>
  <c r="N23" i="143"/>
  <c r="O23" i="143" s="1"/>
  <c r="N8" i="143"/>
  <c r="O8" i="143" s="1"/>
  <c r="N19" i="143"/>
  <c r="O19" i="143" s="1"/>
  <c r="N31" i="143"/>
  <c r="O31" i="143" s="1"/>
  <c r="N65" i="143"/>
  <c r="O65" i="143" s="1"/>
  <c r="N53" i="143"/>
  <c r="O53" i="143" s="1"/>
  <c r="N32" i="143"/>
  <c r="O32" i="143" s="1"/>
  <c r="N44" i="143"/>
  <c r="O44" i="143" s="1"/>
  <c r="N52" i="143"/>
  <c r="O52" i="143" s="1"/>
  <c r="N27" i="143"/>
  <c r="O27" i="143" s="1"/>
  <c r="N41" i="143"/>
  <c r="O41" i="143" s="1"/>
  <c r="N39" i="143"/>
  <c r="O39" i="143" s="1"/>
  <c r="N55" i="143"/>
  <c r="O55" i="143" s="1"/>
  <c r="N38" i="143"/>
  <c r="O38" i="143" s="1"/>
  <c r="N47" i="143"/>
  <c r="O47" i="143" s="1"/>
  <c r="N21" i="143"/>
  <c r="O21" i="143" s="1"/>
  <c r="N29" i="143"/>
  <c r="O29" i="143" s="1"/>
  <c r="N20" i="142"/>
  <c r="O20" i="142" s="1"/>
  <c r="N49" i="142"/>
  <c r="O49" i="142" s="1"/>
  <c r="N67" i="142"/>
  <c r="O67" i="142" s="1"/>
  <c r="N46" i="142"/>
  <c r="O46" i="142" s="1"/>
  <c r="N28" i="142"/>
  <c r="O28" i="142" s="1"/>
  <c r="N41" i="142"/>
  <c r="O41" i="142" s="1"/>
  <c r="N11" i="142"/>
  <c r="O11" i="142" s="1"/>
  <c r="N55" i="142"/>
  <c r="O55" i="142" s="1"/>
  <c r="N18" i="142"/>
  <c r="O18" i="142" s="1"/>
  <c r="N36" i="142"/>
  <c r="O36" i="142" s="1"/>
  <c r="N27" i="142"/>
  <c r="O27" i="142" s="1"/>
  <c r="N12" i="142"/>
  <c r="O12" i="142" s="1"/>
  <c r="N16" i="142"/>
  <c r="O16" i="142" s="1"/>
  <c r="N23" i="142"/>
  <c r="O23" i="142" s="1"/>
  <c r="N43" i="142"/>
  <c r="O43" i="142" s="1"/>
  <c r="N15" i="142"/>
  <c r="O15" i="142" s="1"/>
  <c r="N66" i="142"/>
  <c r="O66" i="142" s="1"/>
  <c r="N53" i="142"/>
  <c r="O53" i="142" s="1"/>
  <c r="N31" i="142"/>
  <c r="O31" i="142" s="1"/>
  <c r="N37" i="142"/>
  <c r="O37" i="142" s="1"/>
  <c r="N38" i="142"/>
  <c r="O38" i="142" s="1"/>
  <c r="N52" i="142"/>
  <c r="O52" i="142" s="1"/>
  <c r="N21" i="142"/>
  <c r="O21" i="142" s="1"/>
  <c r="N29" i="142"/>
  <c r="O29" i="142" s="1"/>
  <c r="N39" i="142"/>
  <c r="O39" i="142" s="1"/>
  <c r="N42" i="142"/>
  <c r="O42" i="142" s="1"/>
  <c r="N17" i="142"/>
  <c r="O17" i="142" s="1"/>
  <c r="N45" i="142"/>
  <c r="O45" i="142" s="1"/>
  <c r="N61" i="142"/>
  <c r="O61" i="142" s="1"/>
  <c r="N22" i="142"/>
  <c r="O22" i="142" s="1"/>
  <c r="N19" i="142"/>
  <c r="O19" i="142" s="1"/>
  <c r="N32" i="142"/>
  <c r="O32" i="142" s="1"/>
  <c r="N8" i="142"/>
  <c r="O8" i="142" s="1"/>
  <c r="N59" i="142"/>
  <c r="O59" i="142" s="1"/>
  <c r="N64" i="142"/>
  <c r="O64" i="142" s="1"/>
  <c r="N13" i="142"/>
  <c r="O13" i="142" s="1"/>
  <c r="N47" i="142"/>
  <c r="O47" i="142" s="1"/>
  <c r="N25" i="142"/>
  <c r="O25" i="142" s="1"/>
  <c r="N63" i="142"/>
  <c r="O63" i="142" s="1"/>
  <c r="N56" i="142"/>
  <c r="O56" i="142" s="1"/>
  <c r="N57" i="142"/>
  <c r="O57" i="142" s="1"/>
  <c r="N7" i="142"/>
  <c r="O7" i="142" s="1"/>
  <c r="N9" i="142"/>
  <c r="O9" i="142" s="1"/>
  <c r="N40" i="142"/>
  <c r="O40" i="142" s="1"/>
  <c r="N26" i="142"/>
  <c r="O26" i="142" s="1"/>
  <c r="N48" i="142"/>
  <c r="O48" i="142" s="1"/>
  <c r="N33" i="142"/>
  <c r="O33" i="142" s="1"/>
  <c r="N50" i="142"/>
  <c r="O50" i="142" s="1"/>
  <c r="N51" i="142"/>
  <c r="O51" i="142" s="1"/>
  <c r="N44" i="142"/>
  <c r="O44" i="142" s="1"/>
  <c r="N60" i="142"/>
  <c r="O60" i="142" s="1"/>
  <c r="N34" i="142"/>
  <c r="O34" i="142" s="1"/>
  <c r="N68" i="142"/>
  <c r="O68" i="142" s="1"/>
  <c r="N14" i="142"/>
  <c r="O14" i="142" s="1"/>
  <c r="N30" i="142"/>
  <c r="O30" i="142" s="1"/>
  <c r="N62" i="142"/>
  <c r="O62" i="142" s="1"/>
  <c r="N10" i="142"/>
  <c r="O10" i="142" s="1"/>
  <c r="N24" i="142"/>
  <c r="O24" i="142" s="1"/>
  <c r="N35" i="142"/>
  <c r="O35" i="142" s="1"/>
  <c r="N54" i="142"/>
  <c r="O54" i="142" s="1"/>
  <c r="N58" i="142"/>
  <c r="O58" i="142" s="1"/>
  <c r="N65" i="142"/>
  <c r="O65" i="142" s="1"/>
  <c r="O45" i="141"/>
  <c r="P45" i="141" s="1"/>
  <c r="O16" i="141"/>
  <c r="P16" i="141" s="1"/>
  <c r="O13" i="141"/>
  <c r="P13" i="141" s="1"/>
  <c r="O23" i="141"/>
  <c r="P23" i="141" s="1"/>
  <c r="O28" i="141"/>
  <c r="P28" i="141" s="1"/>
  <c r="O15" i="141"/>
  <c r="P15" i="141" s="1"/>
  <c r="O47" i="141"/>
  <c r="P47" i="141" s="1"/>
  <c r="O8" i="141"/>
  <c r="P8" i="141" s="1"/>
  <c r="O27" i="141"/>
  <c r="P27" i="141" s="1"/>
  <c r="O41" i="141"/>
  <c r="P41" i="141" s="1"/>
  <c r="O49" i="141"/>
  <c r="P49" i="141" s="1"/>
  <c r="O20" i="141"/>
  <c r="P20" i="141" s="1"/>
  <c r="O18" i="141"/>
  <c r="P18" i="141" s="1"/>
  <c r="O53" i="141"/>
  <c r="P53" i="141" s="1"/>
  <c r="O62" i="141"/>
  <c r="P62" i="141" s="1"/>
  <c r="O9" i="141"/>
  <c r="P9" i="141" s="1"/>
  <c r="O12" i="141"/>
  <c r="P12" i="141" s="1"/>
  <c r="O59" i="141"/>
  <c r="P59" i="141" s="1"/>
  <c r="O24" i="141"/>
  <c r="P24" i="141" s="1"/>
  <c r="O34" i="141"/>
  <c r="P34" i="141" s="1"/>
  <c r="O38" i="141"/>
  <c r="P38" i="141" s="1"/>
  <c r="O61" i="141"/>
  <c r="P61" i="141" s="1"/>
  <c r="O31" i="141"/>
  <c r="P31" i="141" s="1"/>
  <c r="O30" i="141"/>
  <c r="P30" i="141" s="1"/>
  <c r="O39" i="141"/>
  <c r="P39" i="141" s="1"/>
  <c r="O52" i="141"/>
  <c r="P52" i="141" s="1"/>
  <c r="O26" i="141"/>
  <c r="P26" i="141" s="1"/>
  <c r="O51" i="141"/>
  <c r="P51" i="141" s="1"/>
  <c r="O7" i="141"/>
  <c r="P7" i="141" s="1"/>
  <c r="O14" i="141"/>
  <c r="P14" i="141" s="1"/>
  <c r="O33" i="141"/>
  <c r="P33" i="141" s="1"/>
  <c r="O40" i="141"/>
  <c r="P40" i="141" s="1"/>
  <c r="O35" i="141"/>
  <c r="P35" i="141" s="1"/>
  <c r="O10" i="141"/>
  <c r="P10" i="141" s="1"/>
  <c r="O58" i="141"/>
  <c r="P58" i="141" s="1"/>
  <c r="O55" i="141"/>
  <c r="P55" i="141" s="1"/>
  <c r="O57" i="141"/>
  <c r="P57" i="141" s="1"/>
  <c r="O17" i="141"/>
  <c r="P17" i="141" s="1"/>
  <c r="O29" i="141"/>
  <c r="P29" i="141" s="1"/>
  <c r="O22" i="141"/>
  <c r="P22" i="141" s="1"/>
  <c r="O56" i="141"/>
  <c r="P56" i="141" s="1"/>
  <c r="O42" i="141"/>
  <c r="P42" i="141" s="1"/>
  <c r="O50" i="141"/>
  <c r="P50" i="141" s="1"/>
  <c r="O25" i="141"/>
  <c r="P25" i="141" s="1"/>
  <c r="O60" i="141"/>
  <c r="P60" i="141" s="1"/>
  <c r="O37" i="141"/>
  <c r="P37" i="141" s="1"/>
  <c r="O44" i="141"/>
  <c r="P44" i="141" s="1"/>
  <c r="O32" i="141"/>
  <c r="P32" i="141" s="1"/>
  <c r="O43" i="141"/>
  <c r="P43" i="141" s="1"/>
  <c r="O11" i="141"/>
  <c r="P11" i="141" s="1"/>
  <c r="O36" i="141"/>
  <c r="P36" i="141" s="1"/>
  <c r="O54" i="141"/>
  <c r="P54" i="141" s="1"/>
  <c r="O48" i="141"/>
  <c r="P48" i="141" s="1"/>
  <c r="O19" i="141"/>
  <c r="P19" i="141" s="1"/>
  <c r="O46" i="141"/>
  <c r="P46" i="141" s="1"/>
  <c r="O21" i="141"/>
  <c r="P21" i="141" s="1"/>
  <c r="O48" i="140"/>
  <c r="P48" i="140" s="1"/>
  <c r="O22" i="140"/>
  <c r="P22" i="140" s="1"/>
  <c r="O53" i="140"/>
  <c r="P53" i="140" s="1"/>
  <c r="O35" i="140"/>
  <c r="P35" i="140" s="1"/>
  <c r="O28" i="140"/>
  <c r="P28" i="140" s="1"/>
  <c r="O25" i="140"/>
  <c r="P25" i="140" s="1"/>
  <c r="O52" i="140"/>
  <c r="P52" i="140" s="1"/>
  <c r="O31" i="140"/>
  <c r="P31" i="140" s="1"/>
  <c r="O42" i="140"/>
  <c r="P42" i="140" s="1"/>
  <c r="O55" i="140"/>
  <c r="P55" i="140" s="1"/>
  <c r="O17" i="140"/>
  <c r="P17" i="140" s="1"/>
  <c r="O54" i="140"/>
  <c r="P54" i="140" s="1"/>
  <c r="O58" i="140"/>
  <c r="P58" i="140" s="1"/>
  <c r="O38" i="140"/>
  <c r="P38" i="140" s="1"/>
  <c r="O11" i="140"/>
  <c r="P11" i="140" s="1"/>
  <c r="O45" i="140"/>
  <c r="P45" i="140" s="1"/>
  <c r="O46" i="140"/>
  <c r="P46" i="140" s="1"/>
  <c r="O40" i="140"/>
  <c r="P40" i="140" s="1"/>
  <c r="O41" i="140"/>
  <c r="P41" i="140" s="1"/>
  <c r="O50" i="140"/>
  <c r="P50" i="140" s="1"/>
  <c r="O16" i="140"/>
  <c r="P16" i="140" s="1"/>
  <c r="O34" i="140"/>
  <c r="P34" i="140" s="1"/>
  <c r="O18" i="140"/>
  <c r="P18" i="140" s="1"/>
  <c r="O14" i="140"/>
  <c r="P14" i="140" s="1"/>
  <c r="O19" i="140"/>
  <c r="P19" i="140" s="1"/>
  <c r="O9" i="140"/>
  <c r="P9" i="140" s="1"/>
  <c r="O26" i="140"/>
  <c r="P26" i="140" s="1"/>
  <c r="O13" i="140"/>
  <c r="P13" i="140" s="1"/>
  <c r="O21" i="140"/>
  <c r="P21" i="140" s="1"/>
  <c r="O36" i="140"/>
  <c r="P36" i="140" s="1"/>
  <c r="O47" i="140"/>
  <c r="P47" i="140" s="1"/>
  <c r="O24" i="140"/>
  <c r="P24" i="140" s="1"/>
  <c r="O7" i="140"/>
  <c r="P7" i="140" s="1"/>
  <c r="O60" i="140"/>
  <c r="P60" i="140" s="1"/>
  <c r="O29" i="140"/>
  <c r="P29" i="140" s="1"/>
  <c r="O20" i="140"/>
  <c r="P20" i="140" s="1"/>
  <c r="O8" i="140"/>
  <c r="P8" i="140" s="1"/>
  <c r="O39" i="140"/>
  <c r="P39" i="140" s="1"/>
  <c r="O30" i="140"/>
  <c r="P30" i="140" s="1"/>
  <c r="O51" i="140"/>
  <c r="P51" i="140" s="1"/>
  <c r="O15" i="140"/>
  <c r="P15" i="140" s="1"/>
  <c r="O49" i="140"/>
  <c r="P49" i="140" s="1"/>
  <c r="O44" i="140"/>
  <c r="P44" i="140" s="1"/>
  <c r="O23" i="140"/>
  <c r="P23" i="140" s="1"/>
  <c r="O59" i="140"/>
  <c r="P59" i="140" s="1"/>
  <c r="O37" i="140"/>
  <c r="P37" i="140" s="1"/>
  <c r="O61" i="140"/>
  <c r="P61" i="140" s="1"/>
  <c r="O56" i="140"/>
  <c r="P56" i="140" s="1"/>
  <c r="O57" i="140"/>
  <c r="P57" i="140" s="1"/>
  <c r="O12" i="140"/>
  <c r="P12" i="140" s="1"/>
  <c r="O32" i="140"/>
  <c r="P32" i="140" s="1"/>
  <c r="O27" i="140"/>
  <c r="P27" i="140" s="1"/>
  <c r="O62" i="140"/>
  <c r="P62" i="140" s="1"/>
  <c r="O43" i="140"/>
  <c r="P43" i="140" s="1"/>
  <c r="O33" i="140"/>
  <c r="P33" i="140" s="1"/>
  <c r="O10" i="140"/>
  <c r="P10" i="140" s="1"/>
  <c r="O18" i="139"/>
  <c r="P18" i="139" s="1"/>
  <c r="O22" i="139"/>
  <c r="P22" i="139" s="1"/>
  <c r="O21" i="139"/>
  <c r="P21" i="139" s="1"/>
  <c r="O48" i="139"/>
  <c r="P48" i="139" s="1"/>
  <c r="O39" i="139"/>
  <c r="P39" i="139" s="1"/>
  <c r="O36" i="139"/>
  <c r="P36" i="139" s="1"/>
  <c r="O62" i="139"/>
  <c r="P62" i="139" s="1"/>
  <c r="O20" i="139"/>
  <c r="P20" i="139" s="1"/>
  <c r="O19" i="139"/>
  <c r="P19" i="139" s="1"/>
  <c r="O38" i="139"/>
  <c r="P38" i="139" s="1"/>
  <c r="O17" i="139"/>
  <c r="P17" i="139" s="1"/>
  <c r="O53" i="139"/>
  <c r="P53" i="139" s="1"/>
  <c r="O45" i="139"/>
  <c r="P45" i="139" s="1"/>
  <c r="O55" i="139"/>
  <c r="P55" i="139" s="1"/>
  <c r="O41" i="139"/>
  <c r="P41" i="139" s="1"/>
  <c r="O7" i="139"/>
  <c r="P7" i="139" s="1"/>
  <c r="O13" i="139"/>
  <c r="P13" i="139" s="1"/>
  <c r="O61" i="139"/>
  <c r="P61" i="139" s="1"/>
  <c r="O52" i="139"/>
  <c r="P52" i="139" s="1"/>
  <c r="O58" i="139"/>
  <c r="P58" i="139" s="1"/>
  <c r="O8" i="139"/>
  <c r="P8" i="139" s="1"/>
  <c r="O25" i="139"/>
  <c r="P25" i="139" s="1"/>
  <c r="O40" i="139"/>
  <c r="P40" i="139" s="1"/>
  <c r="O28" i="139"/>
  <c r="P28" i="139" s="1"/>
  <c r="O9" i="139"/>
  <c r="P9" i="139" s="1"/>
  <c r="O27" i="139"/>
  <c r="P27" i="139" s="1"/>
  <c r="O15" i="139"/>
  <c r="P15" i="139" s="1"/>
  <c r="O57" i="139"/>
  <c r="P57" i="139" s="1"/>
  <c r="O11" i="139"/>
  <c r="P11" i="139" s="1"/>
  <c r="O56" i="139"/>
  <c r="P56" i="139" s="1"/>
  <c r="O32" i="139"/>
  <c r="P32" i="139" s="1"/>
  <c r="O10" i="139"/>
  <c r="P10" i="139" s="1"/>
  <c r="O54" i="139"/>
  <c r="P54" i="139" s="1"/>
  <c r="O14" i="139"/>
  <c r="P14" i="139" s="1"/>
  <c r="O16" i="139"/>
  <c r="P16" i="139" s="1"/>
  <c r="O37" i="139"/>
  <c r="P37" i="139" s="1"/>
  <c r="O23" i="139"/>
  <c r="P23" i="139" s="1"/>
  <c r="O49" i="139"/>
  <c r="P49" i="139" s="1"/>
  <c r="O31" i="139"/>
  <c r="P31" i="139" s="1"/>
  <c r="O50" i="139"/>
  <c r="P50" i="139" s="1"/>
  <c r="O47" i="139"/>
  <c r="P47" i="139" s="1"/>
  <c r="O43" i="139"/>
  <c r="P43" i="139" s="1"/>
  <c r="O59" i="139"/>
  <c r="P59" i="139" s="1"/>
  <c r="O34" i="139"/>
  <c r="P34" i="139" s="1"/>
  <c r="O60" i="139"/>
  <c r="P60" i="139" s="1"/>
  <c r="O42" i="139"/>
  <c r="P42" i="139" s="1"/>
  <c r="O44" i="139"/>
  <c r="P44" i="139" s="1"/>
  <c r="O35" i="139"/>
  <c r="P35" i="139" s="1"/>
  <c r="O30" i="139"/>
  <c r="P30" i="139" s="1"/>
  <c r="O29" i="139"/>
  <c r="P29" i="139" s="1"/>
  <c r="O51" i="139"/>
  <c r="P51" i="139" s="1"/>
  <c r="O12" i="139"/>
  <c r="P12" i="139" s="1"/>
  <c r="O33" i="139"/>
  <c r="P33" i="139" s="1"/>
  <c r="O46" i="139"/>
  <c r="P46" i="139" s="1"/>
  <c r="O26" i="139"/>
  <c r="P26" i="139" s="1"/>
  <c r="O24" i="139"/>
  <c r="P24" i="139" s="1"/>
  <c r="O46" i="138"/>
  <c r="P46" i="138" s="1"/>
  <c r="O56" i="138"/>
  <c r="P56" i="138" s="1"/>
  <c r="O39" i="138"/>
  <c r="P39" i="138" s="1"/>
  <c r="O55" i="138"/>
  <c r="P55" i="138" s="1"/>
  <c r="O23" i="138"/>
  <c r="P23" i="138" s="1"/>
  <c r="O32" i="138"/>
  <c r="P32" i="138" s="1"/>
  <c r="O33" i="138"/>
  <c r="P33" i="138" s="1"/>
  <c r="O18" i="138"/>
  <c r="P18" i="138" s="1"/>
  <c r="O26" i="138"/>
  <c r="P26" i="138" s="1"/>
  <c r="O12" i="138"/>
  <c r="P12" i="138" s="1"/>
  <c r="O15" i="138"/>
  <c r="P15" i="138" s="1"/>
  <c r="O31" i="138"/>
  <c r="P31" i="138" s="1"/>
  <c r="O10" i="138"/>
  <c r="P10" i="138" s="1"/>
  <c r="O7" i="138"/>
  <c r="P7" i="138" s="1"/>
  <c r="O40" i="138"/>
  <c r="P40" i="138" s="1"/>
  <c r="O17" i="138"/>
  <c r="P17" i="138" s="1"/>
  <c r="O22" i="138"/>
  <c r="P22" i="138" s="1"/>
  <c r="O24" i="138"/>
  <c r="P24" i="138" s="1"/>
  <c r="O36" i="138"/>
  <c r="P36" i="138" s="1"/>
  <c r="O14" i="138"/>
  <c r="P14" i="138" s="1"/>
  <c r="O48" i="138"/>
  <c r="P48" i="138" s="1"/>
  <c r="O28" i="138"/>
  <c r="P28" i="138" s="1"/>
  <c r="O35" i="138"/>
  <c r="P35" i="138" s="1"/>
  <c r="O9" i="138"/>
  <c r="P9" i="138" s="1"/>
  <c r="O27" i="138"/>
  <c r="P27" i="138" s="1"/>
  <c r="O41" i="138"/>
  <c r="P41" i="138" s="1"/>
  <c r="O57" i="138"/>
  <c r="P57" i="138" s="1"/>
  <c r="O50" i="138"/>
  <c r="P50" i="138" s="1"/>
  <c r="O34" i="138"/>
  <c r="P34" i="138" s="1"/>
  <c r="O62" i="138"/>
  <c r="P62" i="138" s="1"/>
  <c r="O21" i="138"/>
  <c r="P21" i="138" s="1"/>
  <c r="O13" i="138"/>
  <c r="P13" i="138" s="1"/>
  <c r="O37" i="138"/>
  <c r="P37" i="138" s="1"/>
  <c r="O60" i="138"/>
  <c r="P60" i="138" s="1"/>
  <c r="O52" i="138"/>
  <c r="P52" i="138" s="1"/>
  <c r="O45" i="138"/>
  <c r="P45" i="138" s="1"/>
  <c r="O19" i="138"/>
  <c r="P19" i="138" s="1"/>
  <c r="O58" i="138"/>
  <c r="P58" i="138" s="1"/>
  <c r="O29" i="138"/>
  <c r="P29" i="138" s="1"/>
  <c r="O11" i="138"/>
  <c r="P11" i="138" s="1"/>
  <c r="O47" i="138"/>
  <c r="P47" i="138" s="1"/>
  <c r="O43" i="138"/>
  <c r="P43" i="138" s="1"/>
  <c r="O53" i="138"/>
  <c r="P53" i="138" s="1"/>
  <c r="O20" i="138"/>
  <c r="P20" i="138" s="1"/>
  <c r="O30" i="138"/>
  <c r="P30" i="138" s="1"/>
  <c r="O59" i="138"/>
  <c r="P59" i="138" s="1"/>
  <c r="O44" i="138"/>
  <c r="P44" i="138" s="1"/>
  <c r="O61" i="138"/>
  <c r="P61" i="138" s="1"/>
  <c r="O54" i="138"/>
  <c r="P54" i="138" s="1"/>
  <c r="O51" i="138"/>
  <c r="P51" i="138" s="1"/>
  <c r="O49" i="138"/>
  <c r="P49" i="138" s="1"/>
  <c r="O16" i="138"/>
  <c r="P16" i="138" s="1"/>
  <c r="O25" i="138"/>
  <c r="P25" i="138" s="1"/>
  <c r="O8" i="138"/>
  <c r="P8" i="138" s="1"/>
  <c r="O42" i="138"/>
  <c r="P42" i="138" s="1"/>
  <c r="O38" i="138"/>
  <c r="P38" i="138" s="1"/>
  <c r="O60" i="137"/>
  <c r="P60" i="137" s="1"/>
  <c r="O18" i="137"/>
  <c r="P18" i="137" s="1"/>
  <c r="O21" i="137"/>
  <c r="P21" i="137" s="1"/>
  <c r="O36" i="137"/>
  <c r="P36" i="137" s="1"/>
  <c r="O43" i="137"/>
  <c r="P43" i="137" s="1"/>
  <c r="O59" i="137"/>
  <c r="P59" i="137" s="1"/>
  <c r="O13" i="137"/>
  <c r="P13" i="137" s="1"/>
  <c r="O14" i="137"/>
  <c r="P14" i="137" s="1"/>
  <c r="O52" i="137"/>
  <c r="P52" i="137" s="1"/>
  <c r="O34" i="137"/>
  <c r="P34" i="137" s="1"/>
  <c r="O12" i="137"/>
  <c r="P12" i="137" s="1"/>
  <c r="O19" i="137"/>
  <c r="P19" i="137" s="1"/>
  <c r="O61" i="137"/>
  <c r="P61" i="137" s="1"/>
  <c r="O46" i="137"/>
  <c r="P46" i="137" s="1"/>
  <c r="O37" i="137"/>
  <c r="P37" i="137" s="1"/>
  <c r="O32" i="137"/>
  <c r="P32" i="137" s="1"/>
  <c r="O9" i="137"/>
  <c r="P9" i="137" s="1"/>
  <c r="O53" i="137"/>
  <c r="P53" i="137" s="1"/>
  <c r="O62" i="137"/>
  <c r="P62" i="137" s="1"/>
  <c r="O50" i="137"/>
  <c r="P50" i="137" s="1"/>
  <c r="O39" i="137"/>
  <c r="P39" i="137" s="1"/>
  <c r="O23" i="137"/>
  <c r="P23" i="137" s="1"/>
  <c r="O38" i="137"/>
  <c r="P38" i="137" s="1"/>
  <c r="O41" i="137"/>
  <c r="P41" i="137" s="1"/>
  <c r="O20" i="137"/>
  <c r="P20" i="137" s="1"/>
  <c r="O11" i="137"/>
  <c r="P11" i="137" s="1"/>
  <c r="O45" i="137"/>
  <c r="P45" i="137" s="1"/>
  <c r="O28" i="137"/>
  <c r="P28" i="137" s="1"/>
  <c r="O27" i="137"/>
  <c r="P27" i="137" s="1"/>
  <c r="O42" i="137"/>
  <c r="P42" i="137" s="1"/>
  <c r="O30" i="137"/>
  <c r="P30" i="137" s="1"/>
  <c r="O26" i="137"/>
  <c r="P26" i="137" s="1"/>
  <c r="O49" i="137"/>
  <c r="P49" i="137" s="1"/>
  <c r="O16" i="137"/>
  <c r="P16" i="137" s="1"/>
  <c r="O58" i="137"/>
  <c r="P58" i="137" s="1"/>
  <c r="O17" i="137"/>
  <c r="P17" i="137" s="1"/>
  <c r="O54" i="137"/>
  <c r="P54" i="137" s="1"/>
  <c r="O25" i="137"/>
  <c r="P25" i="137" s="1"/>
  <c r="O22" i="137"/>
  <c r="P22" i="137" s="1"/>
  <c r="O10" i="137"/>
  <c r="P10" i="137" s="1"/>
  <c r="O51" i="137"/>
  <c r="P51" i="137" s="1"/>
  <c r="O44" i="137"/>
  <c r="P44" i="137" s="1"/>
  <c r="O47" i="137"/>
  <c r="P47" i="137" s="1"/>
  <c r="O7" i="137"/>
  <c r="P7" i="137" s="1"/>
  <c r="O8" i="137"/>
  <c r="P8" i="137" s="1"/>
  <c r="O33" i="137"/>
  <c r="P33" i="137" s="1"/>
  <c r="O35" i="137"/>
  <c r="P35" i="137" s="1"/>
  <c r="O31" i="137"/>
  <c r="P31" i="137" s="1"/>
  <c r="O29" i="137"/>
  <c r="P29" i="137" s="1"/>
  <c r="O57" i="137"/>
  <c r="P57" i="137" s="1"/>
  <c r="O40" i="137"/>
  <c r="P40" i="137" s="1"/>
  <c r="O15" i="137"/>
  <c r="P15" i="137" s="1"/>
  <c r="O24" i="137"/>
  <c r="P24" i="137" s="1"/>
  <c r="O48" i="137"/>
  <c r="P48" i="137" s="1"/>
  <c r="O56" i="137"/>
  <c r="P56" i="137" s="1"/>
  <c r="O55" i="137"/>
  <c r="P55" i="137" s="1"/>
  <c r="O13" i="136"/>
  <c r="P13" i="136" s="1"/>
  <c r="O46" i="136"/>
  <c r="P46" i="136" s="1"/>
  <c r="O47" i="136"/>
  <c r="P47" i="136" s="1"/>
  <c r="O38" i="136"/>
  <c r="P38" i="136" s="1"/>
  <c r="O44" i="136"/>
  <c r="P44" i="136" s="1"/>
  <c r="O48" i="136"/>
  <c r="P48" i="136" s="1"/>
  <c r="O33" i="136"/>
  <c r="P33" i="136" s="1"/>
  <c r="O64" i="136"/>
  <c r="P64" i="136" s="1"/>
  <c r="O55" i="136"/>
  <c r="P55" i="136" s="1"/>
  <c r="O39" i="136"/>
  <c r="P39" i="136" s="1"/>
  <c r="O22" i="136"/>
  <c r="P22" i="136" s="1"/>
  <c r="O20" i="136"/>
  <c r="P20" i="136" s="1"/>
  <c r="O17" i="136"/>
  <c r="P17" i="136" s="1"/>
  <c r="O51" i="136"/>
  <c r="P51" i="136" s="1"/>
  <c r="O35" i="136"/>
  <c r="P35" i="136" s="1"/>
  <c r="O57" i="136"/>
  <c r="P57" i="136" s="1"/>
  <c r="O26" i="136"/>
  <c r="P26" i="136" s="1"/>
  <c r="O42" i="136"/>
  <c r="P42" i="136" s="1"/>
  <c r="O50" i="136"/>
  <c r="P50" i="136" s="1"/>
  <c r="O56" i="136"/>
  <c r="P56" i="136" s="1"/>
  <c r="O45" i="136"/>
  <c r="P45" i="136" s="1"/>
  <c r="O30" i="136"/>
  <c r="P30" i="136" s="1"/>
  <c r="O29" i="136"/>
  <c r="P29" i="136" s="1"/>
  <c r="O58" i="136"/>
  <c r="P58" i="136" s="1"/>
  <c r="O63" i="136"/>
  <c r="P63" i="136" s="1"/>
  <c r="O25" i="136"/>
  <c r="P25" i="136" s="1"/>
  <c r="O41" i="136"/>
  <c r="P41" i="136" s="1"/>
  <c r="O10" i="136"/>
  <c r="P10" i="136" s="1"/>
  <c r="O37" i="136"/>
  <c r="P37" i="136" s="1"/>
  <c r="O27" i="136"/>
  <c r="P27" i="136" s="1"/>
  <c r="O40" i="136"/>
  <c r="P40" i="136" s="1"/>
  <c r="O31" i="136"/>
  <c r="P31" i="136" s="1"/>
  <c r="O60" i="136"/>
  <c r="P60" i="136" s="1"/>
  <c r="O53" i="136"/>
  <c r="P53" i="136" s="1"/>
  <c r="O28" i="136"/>
  <c r="P28" i="136" s="1"/>
  <c r="O49" i="136"/>
  <c r="P49" i="136" s="1"/>
  <c r="O61" i="136"/>
  <c r="P61" i="136" s="1"/>
  <c r="O8" i="136"/>
  <c r="P8" i="136" s="1"/>
  <c r="O24" i="136"/>
  <c r="P24" i="136" s="1"/>
  <c r="O19" i="136"/>
  <c r="P19" i="136" s="1"/>
  <c r="O14" i="136"/>
  <c r="P14" i="136" s="1"/>
  <c r="O18" i="136"/>
  <c r="P18" i="136" s="1"/>
  <c r="O36" i="136"/>
  <c r="P36" i="136" s="1"/>
  <c r="O62" i="136"/>
  <c r="P62" i="136" s="1"/>
  <c r="O7" i="136"/>
  <c r="P7" i="136" s="1"/>
  <c r="O9" i="136"/>
  <c r="P9" i="136" s="1"/>
  <c r="O52" i="136"/>
  <c r="P52" i="136" s="1"/>
  <c r="O66" i="136"/>
  <c r="P66" i="136" s="1"/>
  <c r="O43" i="136"/>
  <c r="P43" i="136" s="1"/>
  <c r="O65" i="136"/>
  <c r="P65" i="136" s="1"/>
  <c r="O23" i="136"/>
  <c r="P23" i="136" s="1"/>
  <c r="O54" i="136"/>
  <c r="P54" i="136" s="1"/>
  <c r="O16" i="136"/>
  <c r="P16" i="136" s="1"/>
  <c r="O11" i="136"/>
  <c r="P11" i="136" s="1"/>
  <c r="O34" i="136"/>
  <c r="P34" i="136" s="1"/>
  <c r="O15" i="136"/>
  <c r="P15" i="136" s="1"/>
  <c r="O59" i="136"/>
  <c r="P59" i="136" s="1"/>
  <c r="O12" i="136"/>
  <c r="P12" i="136" s="1"/>
  <c r="O32" i="136"/>
  <c r="P32" i="136" s="1"/>
  <c r="O21" i="136"/>
  <c r="P21" i="136" s="1"/>
  <c r="O21" i="135"/>
  <c r="P21" i="135" s="1"/>
  <c r="O27" i="135"/>
  <c r="P27" i="135" s="1"/>
  <c r="O13" i="135"/>
  <c r="P13" i="135" s="1"/>
  <c r="O47" i="135"/>
  <c r="P47" i="135" s="1"/>
  <c r="O30" i="135"/>
  <c r="P30" i="135" s="1"/>
  <c r="O12" i="135"/>
  <c r="P12" i="135" s="1"/>
  <c r="O26" i="135"/>
  <c r="P26" i="135" s="1"/>
  <c r="O40" i="135"/>
  <c r="P40" i="135" s="1"/>
  <c r="O33" i="135"/>
  <c r="P33" i="135" s="1"/>
  <c r="O56" i="135"/>
  <c r="P56" i="135" s="1"/>
  <c r="O48" i="135"/>
  <c r="P48" i="135" s="1"/>
  <c r="O62" i="135"/>
  <c r="P62" i="135" s="1"/>
  <c r="O9" i="135"/>
  <c r="P9" i="135" s="1"/>
  <c r="O61" i="135"/>
  <c r="P61" i="135" s="1"/>
  <c r="O58" i="135"/>
  <c r="P58" i="135" s="1"/>
  <c r="O57" i="135"/>
  <c r="P57" i="135" s="1"/>
  <c r="O52" i="135"/>
  <c r="P52" i="135" s="1"/>
  <c r="O29" i="135"/>
  <c r="P29" i="135" s="1"/>
  <c r="O11" i="135"/>
  <c r="P11" i="135" s="1"/>
  <c r="O46" i="135"/>
  <c r="P46" i="135" s="1"/>
  <c r="O55" i="135"/>
  <c r="P55" i="135" s="1"/>
  <c r="O24" i="135"/>
  <c r="P24" i="135" s="1"/>
  <c r="O66" i="135"/>
  <c r="P66" i="135" s="1"/>
  <c r="O45" i="135"/>
  <c r="P45" i="135" s="1"/>
  <c r="O22" i="135"/>
  <c r="P22" i="135" s="1"/>
  <c r="O8" i="135"/>
  <c r="P8" i="135" s="1"/>
  <c r="O25" i="135"/>
  <c r="P25" i="135" s="1"/>
  <c r="O63" i="135"/>
  <c r="P63" i="135" s="1"/>
  <c r="O20" i="135"/>
  <c r="P20" i="135" s="1"/>
  <c r="O49" i="135"/>
  <c r="P49" i="135" s="1"/>
  <c r="O60" i="135"/>
  <c r="P60" i="135" s="1"/>
  <c r="O65" i="135"/>
  <c r="P65" i="135" s="1"/>
  <c r="O38" i="135"/>
  <c r="P38" i="135" s="1"/>
  <c r="O54" i="135"/>
  <c r="P54" i="135" s="1"/>
  <c r="O37" i="135"/>
  <c r="P37" i="135" s="1"/>
  <c r="O19" i="135"/>
  <c r="P19" i="135" s="1"/>
  <c r="O14" i="135"/>
  <c r="P14" i="135" s="1"/>
  <c r="O23" i="135"/>
  <c r="P23" i="135" s="1"/>
  <c r="O31" i="135"/>
  <c r="P31" i="135" s="1"/>
  <c r="O10" i="135"/>
  <c r="P10" i="135" s="1"/>
  <c r="O42" i="135"/>
  <c r="P42" i="135" s="1"/>
  <c r="O28" i="135"/>
  <c r="P28" i="135" s="1"/>
  <c r="O32" i="135"/>
  <c r="P32" i="135" s="1"/>
  <c r="O15" i="135"/>
  <c r="P15" i="135" s="1"/>
  <c r="O18" i="135"/>
  <c r="P18" i="135" s="1"/>
  <c r="O7" i="135"/>
  <c r="P7" i="135" s="1"/>
  <c r="O43" i="135"/>
  <c r="P43" i="135" s="1"/>
  <c r="O53" i="135"/>
  <c r="P53" i="135" s="1"/>
  <c r="O51" i="135"/>
  <c r="P51" i="135" s="1"/>
  <c r="O50" i="135"/>
  <c r="P50" i="135" s="1"/>
  <c r="O44" i="135"/>
  <c r="P44" i="135" s="1"/>
  <c r="O36" i="135"/>
  <c r="P36" i="135" s="1"/>
  <c r="O59" i="135"/>
  <c r="P59" i="135" s="1"/>
  <c r="O17" i="135"/>
  <c r="P17" i="135" s="1"/>
  <c r="O35" i="135"/>
  <c r="P35" i="135" s="1"/>
  <c r="O16" i="135"/>
  <c r="P16" i="135" s="1"/>
  <c r="O64" i="135"/>
  <c r="P64" i="135" s="1"/>
  <c r="O41" i="135"/>
  <c r="P41" i="135" s="1"/>
  <c r="O34" i="135"/>
  <c r="P34" i="135" s="1"/>
  <c r="O39" i="135"/>
  <c r="P39" i="135" s="1"/>
  <c r="O69" i="134"/>
  <c r="P69" i="134" s="1"/>
  <c r="O24" i="134"/>
  <c r="P24" i="134" s="1"/>
  <c r="O45" i="134"/>
  <c r="P45" i="134" s="1"/>
  <c r="O34" i="134"/>
  <c r="P34" i="134" s="1"/>
  <c r="O44" i="134"/>
  <c r="P44" i="134" s="1"/>
  <c r="O29" i="134"/>
  <c r="P29" i="134" s="1"/>
  <c r="O68" i="134"/>
  <c r="P68" i="134" s="1"/>
  <c r="O48" i="134"/>
  <c r="P48" i="134" s="1"/>
  <c r="O32" i="134"/>
  <c r="P32" i="134" s="1"/>
  <c r="O51" i="134"/>
  <c r="P51" i="134" s="1"/>
  <c r="O43" i="134"/>
  <c r="P43" i="134" s="1"/>
  <c r="O50" i="134"/>
  <c r="P50" i="134" s="1"/>
  <c r="O55" i="134"/>
  <c r="P55" i="134" s="1"/>
  <c r="O40" i="134"/>
  <c r="P40" i="134" s="1"/>
  <c r="O31" i="134"/>
  <c r="P31" i="134" s="1"/>
  <c r="O42" i="134"/>
  <c r="P42" i="134" s="1"/>
  <c r="O26" i="134"/>
  <c r="P26" i="134" s="1"/>
  <c r="O18" i="134"/>
  <c r="P18" i="134" s="1"/>
  <c r="O9" i="134"/>
  <c r="P9" i="134" s="1"/>
  <c r="O21" i="134"/>
  <c r="P21" i="134" s="1"/>
  <c r="O38" i="134"/>
  <c r="P38" i="134" s="1"/>
  <c r="O46" i="134"/>
  <c r="P46" i="134" s="1"/>
  <c r="O67" i="134"/>
  <c r="P67" i="134" s="1"/>
  <c r="O66" i="134"/>
  <c r="P66" i="134" s="1"/>
  <c r="O59" i="134"/>
  <c r="P59" i="134" s="1"/>
  <c r="O7" i="134"/>
  <c r="P7" i="134" s="1"/>
  <c r="O65" i="134"/>
  <c r="P65" i="134" s="1"/>
  <c r="O14" i="134"/>
  <c r="P14" i="134" s="1"/>
  <c r="O33" i="134"/>
  <c r="P33" i="134" s="1"/>
  <c r="O28" i="134"/>
  <c r="P28" i="134" s="1"/>
  <c r="O62" i="134"/>
  <c r="P62" i="134" s="1"/>
  <c r="O60" i="134"/>
  <c r="P60" i="134" s="1"/>
  <c r="O58" i="134"/>
  <c r="P58" i="134" s="1"/>
  <c r="O53" i="134"/>
  <c r="P53" i="134" s="1"/>
  <c r="O64" i="134"/>
  <c r="P64" i="134" s="1"/>
  <c r="O27" i="134"/>
  <c r="P27" i="134" s="1"/>
  <c r="O19" i="134"/>
  <c r="P19" i="134" s="1"/>
  <c r="O63" i="134"/>
  <c r="P63" i="134" s="1"/>
  <c r="O25" i="134"/>
  <c r="P25" i="134" s="1"/>
  <c r="O41" i="134"/>
  <c r="P41" i="134" s="1"/>
  <c r="O22" i="134"/>
  <c r="P22" i="134" s="1"/>
  <c r="O17" i="134"/>
  <c r="P17" i="134" s="1"/>
  <c r="O37" i="134"/>
  <c r="P37" i="134" s="1"/>
  <c r="O49" i="134"/>
  <c r="P49" i="134" s="1"/>
  <c r="O61" i="134"/>
  <c r="P61" i="134" s="1"/>
  <c r="O23" i="134"/>
  <c r="P23" i="134" s="1"/>
  <c r="O39" i="134"/>
  <c r="P39" i="134" s="1"/>
  <c r="O47" i="134"/>
  <c r="P47" i="134" s="1"/>
  <c r="O12" i="134"/>
  <c r="P12" i="134" s="1"/>
  <c r="O35" i="134"/>
  <c r="P35" i="134" s="1"/>
  <c r="O13" i="134"/>
  <c r="P13" i="134" s="1"/>
  <c r="O10" i="134"/>
  <c r="P10" i="134" s="1"/>
  <c r="O8" i="134"/>
  <c r="P8" i="134" s="1"/>
  <c r="O54" i="134"/>
  <c r="P54" i="134" s="1"/>
  <c r="O11" i="134"/>
  <c r="P11" i="134" s="1"/>
  <c r="O20" i="134"/>
  <c r="P20" i="134" s="1"/>
  <c r="O57" i="134"/>
  <c r="P57" i="134" s="1"/>
  <c r="O52" i="134"/>
  <c r="P52" i="134" s="1"/>
  <c r="O36" i="134"/>
  <c r="P36" i="134" s="1"/>
  <c r="O15" i="134"/>
  <c r="P15" i="134" s="1"/>
  <c r="O30" i="134"/>
  <c r="P30" i="134" s="1"/>
  <c r="O16" i="134"/>
  <c r="P16" i="134" s="1"/>
  <c r="O56" i="134"/>
  <c r="P56" i="134" s="1"/>
  <c r="O43" i="133"/>
  <c r="P43" i="133" s="1"/>
  <c r="O12" i="133"/>
  <c r="P12" i="133" s="1"/>
  <c r="O67" i="133"/>
  <c r="P67" i="133" s="1"/>
  <c r="O49" i="133"/>
  <c r="P49" i="133" s="1"/>
  <c r="O17" i="133"/>
  <c r="P17" i="133" s="1"/>
  <c r="O23" i="133"/>
  <c r="P23" i="133" s="1"/>
  <c r="O44" i="133"/>
  <c r="P44" i="133" s="1"/>
  <c r="O38" i="133"/>
  <c r="P38" i="133" s="1"/>
  <c r="O21" i="133"/>
  <c r="P21" i="133" s="1"/>
  <c r="O10" i="133"/>
  <c r="P10" i="133" s="1"/>
  <c r="O7" i="133"/>
  <c r="P7" i="133" s="1"/>
  <c r="O9" i="133"/>
  <c r="P9" i="133" s="1"/>
  <c r="O25" i="133"/>
  <c r="P25" i="133" s="1"/>
  <c r="O61" i="133"/>
  <c r="P61" i="133" s="1"/>
  <c r="O60" i="133"/>
  <c r="P60" i="133" s="1"/>
  <c r="O66" i="133"/>
  <c r="P66" i="133" s="1"/>
  <c r="O33" i="133"/>
  <c r="P33" i="133" s="1"/>
  <c r="O18" i="133"/>
  <c r="P18" i="133" s="1"/>
  <c r="O16" i="133"/>
  <c r="P16" i="133" s="1"/>
  <c r="O28" i="133"/>
  <c r="P28" i="133" s="1"/>
  <c r="O47" i="133"/>
  <c r="P47" i="133" s="1"/>
  <c r="O46" i="133"/>
  <c r="P46" i="133" s="1"/>
  <c r="O15" i="133"/>
  <c r="P15" i="133" s="1"/>
  <c r="O20" i="133"/>
  <c r="P20" i="133" s="1"/>
  <c r="O53" i="133"/>
  <c r="P53" i="133" s="1"/>
  <c r="O27" i="133"/>
  <c r="P27" i="133" s="1"/>
  <c r="O26" i="133"/>
  <c r="P26" i="133" s="1"/>
  <c r="O65" i="133"/>
  <c r="P65" i="133" s="1"/>
  <c r="O64" i="133"/>
  <c r="P64" i="133" s="1"/>
  <c r="O30" i="133"/>
  <c r="P30" i="133" s="1"/>
  <c r="O11" i="133"/>
  <c r="P11" i="133" s="1"/>
  <c r="O42" i="133"/>
  <c r="P42" i="133" s="1"/>
  <c r="O19" i="133"/>
  <c r="P19" i="133" s="1"/>
  <c r="O29" i="133"/>
  <c r="P29" i="133" s="1"/>
  <c r="O13" i="133"/>
  <c r="P13" i="133" s="1"/>
  <c r="O40" i="133"/>
  <c r="P40" i="133" s="1"/>
  <c r="O58" i="133"/>
  <c r="P58" i="133" s="1"/>
  <c r="O31" i="133"/>
  <c r="P31" i="133" s="1"/>
  <c r="O62" i="133"/>
  <c r="P62" i="133" s="1"/>
  <c r="O50" i="133"/>
  <c r="P50" i="133" s="1"/>
  <c r="O52" i="133"/>
  <c r="P52" i="133" s="1"/>
  <c r="O51" i="133"/>
  <c r="P51" i="133" s="1"/>
  <c r="O8" i="133"/>
  <c r="P8" i="133" s="1"/>
  <c r="O37" i="133"/>
  <c r="P37" i="133" s="1"/>
  <c r="O39" i="133"/>
  <c r="P39" i="133" s="1"/>
  <c r="O22" i="133"/>
  <c r="P22" i="133" s="1"/>
  <c r="O35" i="133"/>
  <c r="P35" i="133" s="1"/>
  <c r="O14" i="133"/>
  <c r="P14" i="133" s="1"/>
  <c r="O55" i="133"/>
  <c r="P55" i="133" s="1"/>
  <c r="O56" i="133"/>
  <c r="P56" i="133" s="1"/>
  <c r="O63" i="133"/>
  <c r="P63" i="133" s="1"/>
  <c r="O57" i="133"/>
  <c r="P57" i="133" s="1"/>
  <c r="O36" i="133"/>
  <c r="P36" i="133" s="1"/>
  <c r="O45" i="133"/>
  <c r="P45" i="133" s="1"/>
  <c r="O41" i="133"/>
  <c r="P41" i="133" s="1"/>
  <c r="O32" i="133"/>
  <c r="P32" i="133" s="1"/>
  <c r="O34" i="133"/>
  <c r="P34" i="133" s="1"/>
  <c r="O59" i="133"/>
  <c r="P59" i="133" s="1"/>
  <c r="O54" i="133"/>
  <c r="P54" i="133" s="1"/>
  <c r="O24" i="133"/>
  <c r="P24" i="133" s="1"/>
  <c r="O48" i="133"/>
  <c r="P48" i="133" s="1"/>
  <c r="O67" i="132"/>
  <c r="P67" i="132" s="1"/>
  <c r="O28" i="132"/>
  <c r="P28" i="132" s="1"/>
  <c r="O51" i="132"/>
  <c r="P51" i="132" s="1"/>
  <c r="O34" i="132"/>
  <c r="P34" i="132" s="1"/>
  <c r="O16" i="132"/>
  <c r="P16" i="132" s="1"/>
  <c r="O21" i="132"/>
  <c r="P21" i="132" s="1"/>
  <c r="O36" i="132"/>
  <c r="P36" i="132" s="1"/>
  <c r="O58" i="132"/>
  <c r="P58" i="132" s="1"/>
  <c r="O49" i="132"/>
  <c r="P49" i="132" s="1"/>
  <c r="O66" i="132"/>
  <c r="P66" i="132" s="1"/>
  <c r="O13" i="132"/>
  <c r="P13" i="132" s="1"/>
  <c r="O41" i="132"/>
  <c r="P41" i="132" s="1"/>
  <c r="O45" i="132"/>
  <c r="P45" i="132" s="1"/>
  <c r="O54" i="132"/>
  <c r="P54" i="132" s="1"/>
  <c r="O31" i="132"/>
  <c r="P31" i="132" s="1"/>
  <c r="O11" i="132"/>
  <c r="P11" i="132" s="1"/>
  <c r="O42" i="132"/>
  <c r="P42" i="132" s="1"/>
  <c r="O9" i="132"/>
  <c r="P9" i="132" s="1"/>
  <c r="O37" i="132"/>
  <c r="P37" i="132" s="1"/>
  <c r="O39" i="132"/>
  <c r="P39" i="132" s="1"/>
  <c r="O32" i="132"/>
  <c r="P32" i="132" s="1"/>
  <c r="O33" i="132"/>
  <c r="P33" i="132" s="1"/>
  <c r="O30" i="132"/>
  <c r="P30" i="132" s="1"/>
  <c r="O40" i="132"/>
  <c r="P40" i="132" s="1"/>
  <c r="O24" i="132"/>
  <c r="P24" i="132" s="1"/>
  <c r="O53" i="132"/>
  <c r="P53" i="132" s="1"/>
  <c r="O48" i="132"/>
  <c r="P48" i="132" s="1"/>
  <c r="O20" i="132"/>
  <c r="P20" i="132" s="1"/>
  <c r="O56" i="132"/>
  <c r="P56" i="132" s="1"/>
  <c r="O19" i="132"/>
  <c r="P19" i="132" s="1"/>
  <c r="O8" i="132"/>
  <c r="P8" i="132" s="1"/>
  <c r="O50" i="132"/>
  <c r="P50" i="132" s="1"/>
  <c r="O18" i="132"/>
  <c r="P18" i="132" s="1"/>
  <c r="O52" i="132"/>
  <c r="P52" i="132" s="1"/>
  <c r="O7" i="132"/>
  <c r="P7" i="132" s="1"/>
  <c r="O64" i="132"/>
  <c r="P64" i="132" s="1"/>
  <c r="O60" i="132"/>
  <c r="P60" i="132" s="1"/>
  <c r="O12" i="132"/>
  <c r="P12" i="132" s="1"/>
  <c r="O14" i="132"/>
  <c r="P14" i="132" s="1"/>
  <c r="O35" i="132"/>
  <c r="P35" i="132" s="1"/>
  <c r="O10" i="132"/>
  <c r="P10" i="132" s="1"/>
  <c r="O44" i="132"/>
  <c r="P44" i="132" s="1"/>
  <c r="O25" i="132"/>
  <c r="P25" i="132" s="1"/>
  <c r="O61" i="132"/>
  <c r="P61" i="132" s="1"/>
  <c r="O27" i="132"/>
  <c r="P27" i="132" s="1"/>
  <c r="O65" i="132"/>
  <c r="P65" i="132" s="1"/>
  <c r="O29" i="132"/>
  <c r="P29" i="132" s="1"/>
  <c r="O63" i="132"/>
  <c r="P63" i="132" s="1"/>
  <c r="O15" i="132"/>
  <c r="P15" i="132" s="1"/>
  <c r="O47" i="132"/>
  <c r="P47" i="132" s="1"/>
  <c r="O55" i="132"/>
  <c r="P55" i="132" s="1"/>
  <c r="O23" i="132"/>
  <c r="P23" i="132" s="1"/>
  <c r="O38" i="132"/>
  <c r="P38" i="132" s="1"/>
  <c r="O26" i="132"/>
  <c r="P26" i="132" s="1"/>
  <c r="O43" i="132"/>
  <c r="P43" i="132" s="1"/>
  <c r="O62" i="132"/>
  <c r="P62" i="132" s="1"/>
  <c r="O57" i="132"/>
  <c r="P57" i="132" s="1"/>
  <c r="O22" i="132"/>
  <c r="P22" i="132" s="1"/>
  <c r="O59" i="132"/>
  <c r="P59" i="132" s="1"/>
  <c r="O46" i="132"/>
  <c r="P46" i="132" s="1"/>
  <c r="O17" i="132"/>
  <c r="P17" i="132" s="1"/>
  <c r="O33" i="131"/>
  <c r="P33" i="131" s="1"/>
  <c r="O22" i="131"/>
  <c r="P22" i="131" s="1"/>
  <c r="O39" i="131"/>
  <c r="P39" i="131" s="1"/>
  <c r="O20" i="131"/>
  <c r="P20" i="131" s="1"/>
  <c r="O24" i="131"/>
  <c r="P24" i="131" s="1"/>
  <c r="O17" i="131"/>
  <c r="P17" i="131" s="1"/>
  <c r="O35" i="131"/>
  <c r="P35" i="131" s="1"/>
  <c r="O8" i="131"/>
  <c r="P8" i="131" s="1"/>
  <c r="O43" i="131"/>
  <c r="P43" i="131" s="1"/>
  <c r="O25" i="131"/>
  <c r="P25" i="131" s="1"/>
  <c r="O38" i="131"/>
  <c r="P38" i="131" s="1"/>
  <c r="O52" i="131"/>
  <c r="P52" i="131" s="1"/>
  <c r="O23" i="131"/>
  <c r="P23" i="131" s="1"/>
  <c r="O51" i="131"/>
  <c r="P51" i="131" s="1"/>
  <c r="O54" i="131"/>
  <c r="P54" i="131" s="1"/>
  <c r="O58" i="131"/>
  <c r="P58" i="131" s="1"/>
  <c r="O31" i="131"/>
  <c r="P31" i="131" s="1"/>
  <c r="O37" i="131"/>
  <c r="P37" i="131" s="1"/>
  <c r="O47" i="131"/>
  <c r="P47" i="131" s="1"/>
  <c r="O48" i="131"/>
  <c r="P48" i="131" s="1"/>
  <c r="O60" i="131"/>
  <c r="P60" i="131" s="1"/>
  <c r="O30" i="131"/>
  <c r="P30" i="131" s="1"/>
  <c r="O45" i="131"/>
  <c r="P45" i="131" s="1"/>
  <c r="O29" i="131"/>
  <c r="P29" i="131" s="1"/>
  <c r="O16" i="131"/>
  <c r="P16" i="131" s="1"/>
  <c r="O53" i="131"/>
  <c r="P53" i="131" s="1"/>
  <c r="O13" i="131"/>
  <c r="P13" i="131" s="1"/>
  <c r="O61" i="131"/>
  <c r="P61" i="131" s="1"/>
  <c r="O10" i="131"/>
  <c r="P10" i="131" s="1"/>
  <c r="O11" i="131"/>
  <c r="P11" i="131" s="1"/>
  <c r="O41" i="131"/>
  <c r="P41" i="131" s="1"/>
  <c r="O12" i="131"/>
  <c r="P12" i="131" s="1"/>
  <c r="O26" i="131"/>
  <c r="P26" i="131" s="1"/>
  <c r="O15" i="131"/>
  <c r="P15" i="131" s="1"/>
  <c r="O18" i="131"/>
  <c r="P18" i="131" s="1"/>
  <c r="O40" i="131"/>
  <c r="P40" i="131" s="1"/>
  <c r="O44" i="131"/>
  <c r="P44" i="131" s="1"/>
  <c r="O34" i="131"/>
  <c r="P34" i="131" s="1"/>
  <c r="O9" i="131"/>
  <c r="P9" i="131" s="1"/>
  <c r="O7" i="131"/>
  <c r="P7" i="131" s="1"/>
  <c r="O46" i="131"/>
  <c r="P46" i="131" s="1"/>
  <c r="O50" i="131"/>
  <c r="P50" i="131" s="1"/>
  <c r="O28" i="131"/>
  <c r="P28" i="131" s="1"/>
  <c r="O57" i="131"/>
  <c r="P57" i="131" s="1"/>
  <c r="O42" i="131"/>
  <c r="P42" i="131" s="1"/>
  <c r="O49" i="131"/>
  <c r="P49" i="131" s="1"/>
  <c r="O56" i="131"/>
  <c r="P56" i="131" s="1"/>
  <c r="O55" i="131"/>
  <c r="P55" i="131" s="1"/>
  <c r="O36" i="131"/>
  <c r="P36" i="131" s="1"/>
  <c r="O21" i="131"/>
  <c r="P21" i="131" s="1"/>
  <c r="O59" i="131"/>
  <c r="P59" i="131" s="1"/>
  <c r="O19" i="131"/>
  <c r="P19" i="131" s="1"/>
  <c r="O14" i="131"/>
  <c r="P14" i="131" s="1"/>
  <c r="O32" i="131"/>
  <c r="P32" i="131" s="1"/>
  <c r="O27" i="131"/>
  <c r="P27" i="131" s="1"/>
  <c r="O15" i="130"/>
  <c r="P15" i="130" s="1"/>
  <c r="O18" i="130"/>
  <c r="P18" i="130" s="1"/>
  <c r="O9" i="130"/>
  <c r="P9" i="130" s="1"/>
  <c r="O12" i="130"/>
  <c r="P12" i="130" s="1"/>
  <c r="O47" i="130"/>
  <c r="P47" i="130" s="1"/>
  <c r="O42" i="130"/>
  <c r="P42" i="130" s="1"/>
  <c r="O60" i="130"/>
  <c r="P60" i="130" s="1"/>
  <c r="O43" i="130"/>
  <c r="P43" i="130" s="1"/>
  <c r="O40" i="130"/>
  <c r="P40" i="130" s="1"/>
  <c r="O28" i="130"/>
  <c r="P28" i="130" s="1"/>
  <c r="O55" i="130"/>
  <c r="P55" i="130" s="1"/>
  <c r="O41" i="130"/>
  <c r="P41" i="130" s="1"/>
  <c r="O26" i="130"/>
  <c r="P26" i="130" s="1"/>
  <c r="O52" i="130"/>
  <c r="P52" i="130" s="1"/>
  <c r="O8" i="130"/>
  <c r="P8" i="130" s="1"/>
  <c r="O32" i="130"/>
  <c r="P32" i="130" s="1"/>
  <c r="O34" i="130"/>
  <c r="P34" i="130" s="1"/>
  <c r="O16" i="130"/>
  <c r="P16" i="130" s="1"/>
  <c r="O54" i="130"/>
  <c r="P54" i="130" s="1"/>
  <c r="O29" i="130"/>
  <c r="P29" i="130" s="1"/>
  <c r="O49" i="130"/>
  <c r="P49" i="130" s="1"/>
  <c r="O44" i="130"/>
  <c r="P44" i="130" s="1"/>
  <c r="O50" i="130"/>
  <c r="P50" i="130" s="1"/>
  <c r="O22" i="130"/>
  <c r="P22" i="130" s="1"/>
  <c r="O25" i="130"/>
  <c r="P25" i="130" s="1"/>
  <c r="O10" i="130"/>
  <c r="P10" i="130" s="1"/>
  <c r="O23" i="130"/>
  <c r="P23" i="130" s="1"/>
  <c r="O33" i="130"/>
  <c r="P33" i="130" s="1"/>
  <c r="O14" i="130"/>
  <c r="P14" i="130" s="1"/>
  <c r="O17" i="130"/>
  <c r="P17" i="130" s="1"/>
  <c r="O21" i="130"/>
  <c r="P21" i="130" s="1"/>
  <c r="O59" i="130"/>
  <c r="P59" i="130" s="1"/>
  <c r="O58" i="130"/>
  <c r="P58" i="130" s="1"/>
  <c r="O57" i="130"/>
  <c r="P57" i="130" s="1"/>
  <c r="O39" i="130"/>
  <c r="P39" i="130" s="1"/>
  <c r="O46" i="130"/>
  <c r="P46" i="130" s="1"/>
  <c r="O27" i="130"/>
  <c r="P27" i="130" s="1"/>
  <c r="O56" i="130"/>
  <c r="P56" i="130" s="1"/>
  <c r="O36" i="130"/>
  <c r="P36" i="130" s="1"/>
  <c r="O11" i="130"/>
  <c r="P11" i="130" s="1"/>
  <c r="O45" i="130"/>
  <c r="P45" i="130" s="1"/>
  <c r="O20" i="130"/>
  <c r="P20" i="130" s="1"/>
  <c r="O31" i="130"/>
  <c r="P31" i="130" s="1"/>
  <c r="O30" i="130"/>
  <c r="P30" i="130" s="1"/>
  <c r="O24" i="130"/>
  <c r="P24" i="130" s="1"/>
  <c r="O51" i="130"/>
  <c r="P51" i="130" s="1"/>
  <c r="O48" i="130"/>
  <c r="P48" i="130" s="1"/>
  <c r="O35" i="130"/>
  <c r="P35" i="130" s="1"/>
  <c r="O37" i="130"/>
  <c r="P37" i="130" s="1"/>
  <c r="O38" i="130"/>
  <c r="P38" i="130" s="1"/>
  <c r="O13" i="130"/>
  <c r="P13" i="130" s="1"/>
  <c r="O19" i="130"/>
  <c r="P19" i="130" s="1"/>
  <c r="O53" i="130"/>
  <c r="P53" i="130" s="1"/>
  <c r="O7" i="130"/>
  <c r="P7" i="130" s="1"/>
  <c r="O12" i="129"/>
  <c r="P12" i="129" s="1"/>
  <c r="O11" i="129"/>
  <c r="P11" i="129" s="1"/>
  <c r="O17" i="129"/>
  <c r="P17" i="129" s="1"/>
  <c r="O16" i="129"/>
  <c r="P16" i="129" s="1"/>
  <c r="O14" i="129"/>
  <c r="P14" i="129" s="1"/>
  <c r="O40" i="129"/>
  <c r="P40" i="129" s="1"/>
  <c r="O54" i="129"/>
  <c r="P54" i="129" s="1"/>
  <c r="O36" i="129"/>
  <c r="P36" i="129" s="1"/>
  <c r="O22" i="129"/>
  <c r="P22" i="129" s="1"/>
  <c r="O55" i="129"/>
  <c r="P55" i="129" s="1"/>
  <c r="O34" i="129"/>
  <c r="P34" i="129" s="1"/>
  <c r="O20" i="129"/>
  <c r="P20" i="129" s="1"/>
  <c r="O41" i="129"/>
  <c r="P41" i="129" s="1"/>
  <c r="O10" i="129"/>
  <c r="P10" i="129" s="1"/>
  <c r="O32" i="129"/>
  <c r="P32" i="129" s="1"/>
  <c r="O18" i="129"/>
  <c r="P18" i="129" s="1"/>
  <c r="O48" i="129"/>
  <c r="P48" i="129" s="1"/>
  <c r="O24" i="129"/>
  <c r="P24" i="129" s="1"/>
  <c r="O13" i="129"/>
  <c r="P13" i="129" s="1"/>
  <c r="O42" i="129"/>
  <c r="P42" i="129" s="1"/>
  <c r="O35" i="129"/>
  <c r="P35" i="129" s="1"/>
  <c r="O44" i="129"/>
  <c r="P44" i="129" s="1"/>
  <c r="O21" i="129"/>
  <c r="P21" i="129" s="1"/>
  <c r="O26" i="129"/>
  <c r="P26" i="129" s="1"/>
  <c r="O47" i="129"/>
  <c r="P47" i="129" s="1"/>
  <c r="O45" i="129"/>
  <c r="P45" i="129" s="1"/>
  <c r="O31" i="129"/>
  <c r="P31" i="129" s="1"/>
  <c r="O8" i="129"/>
  <c r="P8" i="129" s="1"/>
  <c r="O53" i="129"/>
  <c r="P53" i="129" s="1"/>
  <c r="O7" i="129"/>
  <c r="P7" i="129" s="1"/>
  <c r="O43" i="129"/>
  <c r="P43" i="129" s="1"/>
  <c r="O57" i="129"/>
  <c r="P57" i="129" s="1"/>
  <c r="O51" i="129"/>
  <c r="P51" i="129" s="1"/>
  <c r="O29" i="129"/>
  <c r="P29" i="129" s="1"/>
  <c r="O9" i="129"/>
  <c r="P9" i="129" s="1"/>
  <c r="O39" i="129"/>
  <c r="P39" i="129" s="1"/>
  <c r="O27" i="129"/>
  <c r="P27" i="129" s="1"/>
  <c r="O30" i="129"/>
  <c r="P30" i="129" s="1"/>
  <c r="O59" i="129"/>
  <c r="P59" i="129" s="1"/>
  <c r="O52" i="129"/>
  <c r="P52" i="129" s="1"/>
  <c r="O37" i="129"/>
  <c r="P37" i="129" s="1"/>
  <c r="O25" i="129"/>
  <c r="P25" i="129" s="1"/>
  <c r="O49" i="129"/>
  <c r="P49" i="129" s="1"/>
  <c r="O38" i="129"/>
  <c r="P38" i="129" s="1"/>
  <c r="O56" i="129"/>
  <c r="P56" i="129" s="1"/>
  <c r="O58" i="129"/>
  <c r="P58" i="129" s="1"/>
  <c r="O19" i="129"/>
  <c r="P19" i="129" s="1"/>
  <c r="O46" i="129"/>
  <c r="P46" i="129" s="1"/>
  <c r="O28" i="129"/>
  <c r="P28" i="129" s="1"/>
  <c r="O15" i="129"/>
  <c r="P15" i="129" s="1"/>
  <c r="O50" i="129"/>
  <c r="P50" i="129" s="1"/>
  <c r="O23" i="129"/>
  <c r="P23" i="129" s="1"/>
  <c r="O33" i="129"/>
  <c r="P33" i="129" s="1"/>
  <c r="O60" i="129"/>
  <c r="P60" i="129" s="1"/>
  <c r="O46" i="128"/>
  <c r="P46" i="128" s="1"/>
  <c r="O57" i="128"/>
  <c r="P57" i="128" s="1"/>
  <c r="O54" i="128"/>
  <c r="P54" i="128" s="1"/>
  <c r="O32" i="128"/>
  <c r="P32" i="128" s="1"/>
  <c r="O10" i="128"/>
  <c r="P10" i="128" s="1"/>
  <c r="O18" i="128"/>
  <c r="P18" i="128" s="1"/>
  <c r="O50" i="128"/>
  <c r="P50" i="128" s="1"/>
  <c r="O36" i="128"/>
  <c r="P36" i="128" s="1"/>
  <c r="O9" i="128"/>
  <c r="P9" i="128" s="1"/>
  <c r="O45" i="128"/>
  <c r="P45" i="128" s="1"/>
  <c r="O22" i="128"/>
  <c r="P22" i="128" s="1"/>
  <c r="O16" i="128"/>
  <c r="P16" i="128" s="1"/>
  <c r="O24" i="128"/>
  <c r="P24" i="128" s="1"/>
  <c r="O26" i="128"/>
  <c r="P26" i="128" s="1"/>
  <c r="O55" i="128"/>
  <c r="P55" i="128" s="1"/>
  <c r="O25" i="128"/>
  <c r="P25" i="128" s="1"/>
  <c r="O60" i="128"/>
  <c r="P60" i="128" s="1"/>
  <c r="O27" i="128"/>
  <c r="P27" i="128" s="1"/>
  <c r="O13" i="128"/>
  <c r="P13" i="128" s="1"/>
  <c r="O49" i="128"/>
  <c r="P49" i="128" s="1"/>
  <c r="O43" i="128"/>
  <c r="P43" i="128" s="1"/>
  <c r="O37" i="128"/>
  <c r="P37" i="128" s="1"/>
  <c r="O17" i="128"/>
  <c r="P17" i="128" s="1"/>
  <c r="O41" i="128"/>
  <c r="P41" i="128" s="1"/>
  <c r="O21" i="128"/>
  <c r="P21" i="128" s="1"/>
  <c r="O12" i="128"/>
  <c r="P12" i="128" s="1"/>
  <c r="O34" i="128"/>
  <c r="P34" i="128" s="1"/>
  <c r="O48" i="128"/>
  <c r="P48" i="128" s="1"/>
  <c r="O52" i="128"/>
  <c r="P52" i="128" s="1"/>
  <c r="O39" i="128"/>
  <c r="P39" i="128" s="1"/>
  <c r="O58" i="128"/>
  <c r="P58" i="128" s="1"/>
  <c r="O20" i="128"/>
  <c r="P20" i="128" s="1"/>
  <c r="O59" i="128"/>
  <c r="P59" i="128" s="1"/>
  <c r="O47" i="128"/>
  <c r="P47" i="128" s="1"/>
  <c r="O33" i="128"/>
  <c r="P33" i="128" s="1"/>
  <c r="O23" i="128"/>
  <c r="P23" i="128" s="1"/>
  <c r="O29" i="128"/>
  <c r="P29" i="128" s="1"/>
  <c r="O51" i="128"/>
  <c r="P51" i="128" s="1"/>
  <c r="O40" i="128"/>
  <c r="P40" i="128" s="1"/>
  <c r="O15" i="128"/>
  <c r="P15" i="128" s="1"/>
  <c r="O56" i="128"/>
  <c r="P56" i="128" s="1"/>
  <c r="O30" i="128"/>
  <c r="P30" i="128" s="1"/>
  <c r="O53" i="128"/>
  <c r="P53" i="128" s="1"/>
  <c r="O7" i="128"/>
  <c r="P7" i="128" s="1"/>
  <c r="O44" i="128"/>
  <c r="P44" i="128" s="1"/>
  <c r="O11" i="128"/>
  <c r="P11" i="128" s="1"/>
  <c r="O38" i="128"/>
  <c r="P38" i="128" s="1"/>
  <c r="O14" i="128"/>
  <c r="P14" i="128" s="1"/>
  <c r="O19" i="128"/>
  <c r="P19" i="128" s="1"/>
  <c r="O42" i="128"/>
  <c r="P42" i="128" s="1"/>
  <c r="O35" i="128"/>
  <c r="P35" i="128" s="1"/>
  <c r="O28" i="128"/>
  <c r="P28" i="128" s="1"/>
  <c r="O31" i="128"/>
  <c r="P31" i="128" s="1"/>
  <c r="O8" i="128"/>
  <c r="P8" i="128" s="1"/>
  <c r="O39" i="127"/>
  <c r="P39" i="127" s="1"/>
  <c r="O38" i="127"/>
  <c r="P38" i="127" s="1"/>
  <c r="O55" i="127"/>
  <c r="P55" i="127" s="1"/>
  <c r="O65" i="127"/>
  <c r="P65" i="127" s="1"/>
  <c r="O18" i="127"/>
  <c r="P18" i="127" s="1"/>
  <c r="O64" i="127"/>
  <c r="P64" i="127" s="1"/>
  <c r="O26" i="127"/>
  <c r="P26" i="127" s="1"/>
  <c r="O35" i="127"/>
  <c r="P35" i="127" s="1"/>
  <c r="O52" i="127"/>
  <c r="P52" i="127" s="1"/>
  <c r="O45" i="127"/>
  <c r="P45" i="127" s="1"/>
  <c r="O57" i="127"/>
  <c r="P57" i="127" s="1"/>
  <c r="O20" i="127"/>
  <c r="P20" i="127" s="1"/>
  <c r="O63" i="127"/>
  <c r="P63" i="127" s="1"/>
  <c r="O29" i="127"/>
  <c r="P29" i="127" s="1"/>
  <c r="O58" i="127"/>
  <c r="P58" i="127" s="1"/>
  <c r="O53" i="127"/>
  <c r="P53" i="127" s="1"/>
  <c r="O43" i="127"/>
  <c r="P43" i="127" s="1"/>
  <c r="O54" i="127"/>
  <c r="P54" i="127" s="1"/>
  <c r="O30" i="127"/>
  <c r="P30" i="127" s="1"/>
  <c r="O40" i="127"/>
  <c r="P40" i="127" s="1"/>
  <c r="O19" i="127"/>
  <c r="P19" i="127" s="1"/>
  <c r="O28" i="127"/>
  <c r="P28" i="127" s="1"/>
  <c r="O14" i="127"/>
  <c r="P14" i="127" s="1"/>
  <c r="O22" i="127"/>
  <c r="P22" i="127" s="1"/>
  <c r="O27" i="127"/>
  <c r="P27" i="127" s="1"/>
  <c r="O62" i="127"/>
  <c r="P62" i="127" s="1"/>
  <c r="O21" i="127"/>
  <c r="P21" i="127" s="1"/>
  <c r="O41" i="127"/>
  <c r="P41" i="127" s="1"/>
  <c r="O46" i="127"/>
  <c r="P46" i="127" s="1"/>
  <c r="O44" i="127"/>
  <c r="P44" i="127" s="1"/>
  <c r="O9" i="127"/>
  <c r="P9" i="127" s="1"/>
  <c r="O8" i="127"/>
  <c r="P8" i="127" s="1"/>
  <c r="O61" i="127"/>
  <c r="P61" i="127" s="1"/>
  <c r="O31" i="127"/>
  <c r="P31" i="127" s="1"/>
  <c r="O32" i="127"/>
  <c r="P32" i="127" s="1"/>
  <c r="O50" i="127"/>
  <c r="P50" i="127" s="1"/>
  <c r="O59" i="127"/>
  <c r="P59" i="127" s="1"/>
  <c r="O47" i="127"/>
  <c r="P47" i="127" s="1"/>
  <c r="O13" i="127"/>
  <c r="P13" i="127" s="1"/>
  <c r="O56" i="127"/>
  <c r="P56" i="127" s="1"/>
  <c r="O34" i="127"/>
  <c r="P34" i="127" s="1"/>
  <c r="O16" i="127"/>
  <c r="P16" i="127" s="1"/>
  <c r="O10" i="127"/>
  <c r="P10" i="127" s="1"/>
  <c r="O49" i="127"/>
  <c r="P49" i="127" s="1"/>
  <c r="O33" i="127"/>
  <c r="P33" i="127" s="1"/>
  <c r="O48" i="127"/>
  <c r="P48" i="127" s="1"/>
  <c r="O25" i="127"/>
  <c r="P25" i="127" s="1"/>
  <c r="O7" i="127"/>
  <c r="P7" i="127" s="1"/>
  <c r="O42" i="127"/>
  <c r="P42" i="127" s="1"/>
  <c r="O15" i="127"/>
  <c r="P15" i="127" s="1"/>
  <c r="O36" i="127"/>
  <c r="P36" i="127" s="1"/>
  <c r="O37" i="127"/>
  <c r="P37" i="127" s="1"/>
  <c r="O17" i="127"/>
  <c r="P17" i="127" s="1"/>
  <c r="O23" i="127"/>
  <c r="P23" i="127" s="1"/>
  <c r="O60" i="127"/>
  <c r="P60" i="127" s="1"/>
  <c r="O24" i="127"/>
  <c r="P24" i="127" s="1"/>
  <c r="O51" i="127"/>
  <c r="P51" i="127" s="1"/>
  <c r="O11" i="127"/>
  <c r="P11" i="127" s="1"/>
  <c r="O12" i="127"/>
  <c r="P12" i="127" s="1"/>
  <c r="N21" i="126"/>
  <c r="O21" i="126" s="1"/>
  <c r="N45" i="126"/>
  <c r="O45" i="126" s="1"/>
  <c r="N13" i="126"/>
  <c r="O13" i="126" s="1"/>
  <c r="N11" i="126"/>
  <c r="O11" i="126" s="1"/>
  <c r="N29" i="126"/>
  <c r="O29" i="126" s="1"/>
  <c r="N34" i="126"/>
  <c r="O34" i="126" s="1"/>
  <c r="N15" i="126"/>
  <c r="O15" i="126" s="1"/>
  <c r="N22" i="126"/>
  <c r="O22" i="126" s="1"/>
  <c r="N20" i="126"/>
  <c r="O20" i="126" s="1"/>
  <c r="N23" i="126"/>
  <c r="O23" i="126" s="1"/>
  <c r="N39" i="126"/>
  <c r="O39" i="126" s="1"/>
  <c r="N12" i="126"/>
  <c r="O12" i="126" s="1"/>
  <c r="N8" i="126"/>
  <c r="O8" i="126" s="1"/>
  <c r="N30" i="126"/>
  <c r="O30" i="126" s="1"/>
  <c r="N7" i="126"/>
  <c r="O7" i="126" s="1"/>
  <c r="N44" i="126"/>
  <c r="O44" i="126" s="1"/>
  <c r="N9" i="126"/>
  <c r="O9" i="126" s="1"/>
  <c r="N26" i="126"/>
  <c r="O26" i="126" s="1"/>
  <c r="N32" i="126"/>
  <c r="O32" i="126" s="1"/>
  <c r="N14" i="126"/>
  <c r="O14" i="126" s="1"/>
  <c r="N40" i="126"/>
  <c r="O40" i="126" s="1"/>
  <c r="N27" i="126"/>
  <c r="O27" i="126" s="1"/>
  <c r="N24" i="126"/>
  <c r="O24" i="126" s="1"/>
  <c r="N10" i="126"/>
  <c r="O10" i="126" s="1"/>
  <c r="N35" i="126"/>
  <c r="O35" i="126" s="1"/>
  <c r="N17" i="126"/>
  <c r="O17" i="126" s="1"/>
  <c r="N38" i="126"/>
  <c r="O38" i="126" s="1"/>
  <c r="N43" i="126"/>
  <c r="O43" i="126" s="1"/>
  <c r="N28" i="126"/>
  <c r="O28" i="126" s="1"/>
  <c r="N36" i="126"/>
  <c r="O36" i="126" s="1"/>
  <c r="N37" i="126"/>
  <c r="O37" i="126" s="1"/>
  <c r="N42" i="126"/>
  <c r="O42" i="126" s="1"/>
  <c r="N16" i="126"/>
  <c r="O16" i="126" s="1"/>
  <c r="N31" i="126"/>
  <c r="O31" i="126" s="1"/>
  <c r="N19" i="126"/>
  <c r="O19" i="126" s="1"/>
  <c r="N33" i="126"/>
  <c r="O33" i="126" s="1"/>
  <c r="N25" i="126"/>
  <c r="O25" i="126" s="1"/>
  <c r="N18" i="126"/>
  <c r="O18" i="126" s="1"/>
  <c r="N41" i="126"/>
  <c r="O41" i="126" s="1"/>
  <c r="O39" i="125"/>
  <c r="N26" i="125"/>
  <c r="O26" i="125" s="1"/>
  <c r="N17" i="125"/>
  <c r="O17" i="125" s="1"/>
  <c r="N35" i="125"/>
  <c r="O35" i="125" s="1"/>
  <c r="N49" i="125"/>
  <c r="O49" i="125" s="1"/>
  <c r="N48" i="125"/>
  <c r="O48" i="125" s="1"/>
  <c r="N13" i="125"/>
  <c r="O13" i="125" s="1"/>
  <c r="N30" i="125"/>
  <c r="O30" i="125" s="1"/>
  <c r="N29" i="125"/>
  <c r="O29" i="125" s="1"/>
  <c r="N32" i="125"/>
  <c r="O32" i="125" s="1"/>
  <c r="N37" i="125"/>
  <c r="O37" i="125" s="1"/>
  <c r="N43" i="125"/>
  <c r="O43" i="125" s="1"/>
  <c r="N33" i="125"/>
  <c r="O33" i="125" s="1"/>
  <c r="N9" i="125"/>
  <c r="O9" i="125" s="1"/>
  <c r="N7" i="125"/>
  <c r="O7" i="125" s="1"/>
  <c r="N36" i="125"/>
  <c r="O36" i="125" s="1"/>
  <c r="N12" i="125"/>
  <c r="O12" i="125" s="1"/>
  <c r="N28" i="125"/>
  <c r="O28" i="125" s="1"/>
  <c r="N15" i="125"/>
  <c r="O15" i="125" s="1"/>
  <c r="N22" i="125"/>
  <c r="O22" i="125" s="1"/>
  <c r="N19" i="125"/>
  <c r="O19" i="125" s="1"/>
  <c r="N34" i="125"/>
  <c r="O34" i="125" s="1"/>
  <c r="N38" i="125"/>
  <c r="O38" i="125" s="1"/>
  <c r="N25" i="125"/>
  <c r="O25" i="125" s="1"/>
  <c r="N44" i="125"/>
  <c r="O44" i="125" s="1"/>
  <c r="N14" i="125"/>
  <c r="O14" i="125" s="1"/>
  <c r="N47" i="125"/>
  <c r="O47" i="125" s="1"/>
  <c r="N23" i="125"/>
  <c r="O23" i="125" s="1"/>
  <c r="N42" i="125"/>
  <c r="O42" i="125" s="1"/>
  <c r="N11" i="125"/>
  <c r="O11" i="125" s="1"/>
  <c r="N16" i="125"/>
  <c r="O16" i="125" s="1"/>
  <c r="N8" i="125"/>
  <c r="O8" i="125" s="1"/>
  <c r="N18" i="125"/>
  <c r="O18" i="125" s="1"/>
  <c r="N46" i="125"/>
  <c r="O46" i="125" s="1"/>
  <c r="N10" i="125"/>
  <c r="O10" i="125" s="1"/>
  <c r="N20" i="125"/>
  <c r="O20" i="125" s="1"/>
  <c r="N45" i="125"/>
  <c r="O45" i="125" s="1"/>
  <c r="N27" i="125"/>
  <c r="O27" i="125" s="1"/>
  <c r="N31" i="125"/>
  <c r="O31" i="125" s="1"/>
  <c r="N21" i="125"/>
  <c r="O21" i="125" s="1"/>
  <c r="N40" i="125"/>
  <c r="O40" i="125" s="1"/>
  <c r="N41" i="125"/>
  <c r="O41" i="125" s="1"/>
  <c r="N24" i="125"/>
  <c r="O24" i="125" s="1"/>
  <c r="Q12" i="129" l="1"/>
  <c r="Q15" i="130"/>
  <c r="Q33" i="131"/>
  <c r="Q67" i="132"/>
  <c r="Q43" i="133"/>
  <c r="Q69" i="134"/>
  <c r="Q21" i="135"/>
  <c r="Q13" i="136"/>
  <c r="Q60" i="137"/>
  <c r="Q46" i="138"/>
  <c r="Q18" i="139"/>
  <c r="Q48" i="140"/>
  <c r="Q45" i="141"/>
  <c r="P20" i="142"/>
  <c r="P13" i="143"/>
  <c r="P50" i="144"/>
  <c r="P19" i="146"/>
  <c r="R51" i="148"/>
  <c r="R62" i="149"/>
  <c r="R41" i="150"/>
  <c r="R27" i="151"/>
  <c r="R56" i="152"/>
  <c r="R17" i="154"/>
  <c r="T49" i="155"/>
  <c r="T14" i="156"/>
  <c r="U76" i="160"/>
  <c r="R35" i="153"/>
  <c r="R72" i="147"/>
  <c r="Q46" i="128"/>
  <c r="P18" i="145"/>
  <c r="Q39" i="127"/>
  <c r="P21" i="126"/>
  <c r="P39" i="125"/>
  <c r="U79" i="160"/>
  <c r="U12" i="160"/>
  <c r="U27" i="160"/>
  <c r="U77" i="160"/>
  <c r="U59" i="160"/>
  <c r="U69" i="160"/>
  <c r="U50" i="160"/>
  <c r="U37" i="160"/>
  <c r="U38" i="160"/>
  <c r="U54" i="160"/>
  <c r="U68" i="160"/>
  <c r="U60" i="160"/>
  <c r="U89" i="160"/>
  <c r="U64" i="160"/>
  <c r="U71" i="160"/>
  <c r="U61" i="160"/>
  <c r="U63" i="160"/>
  <c r="U48" i="160"/>
  <c r="U72" i="160"/>
  <c r="U8" i="160"/>
  <c r="U42" i="160"/>
  <c r="U35" i="160"/>
  <c r="U88" i="160"/>
  <c r="U47" i="160"/>
  <c r="U26" i="160"/>
  <c r="U23" i="160"/>
  <c r="U81" i="160"/>
  <c r="U67" i="160"/>
  <c r="U56" i="160"/>
  <c r="U13" i="160"/>
  <c r="U29" i="160"/>
  <c r="U28" i="160"/>
  <c r="U33" i="160"/>
  <c r="U25" i="160"/>
  <c r="U24" i="160"/>
  <c r="U58" i="160"/>
  <c r="U62" i="160"/>
  <c r="U55" i="160"/>
  <c r="U70" i="160"/>
  <c r="U36" i="160"/>
  <c r="U17" i="160"/>
  <c r="U87" i="160"/>
  <c r="U22" i="160"/>
  <c r="U34" i="160"/>
  <c r="U14" i="160"/>
  <c r="U21" i="160"/>
  <c r="U43" i="160"/>
  <c r="U9" i="160"/>
  <c r="U46" i="160"/>
  <c r="U53" i="160"/>
  <c r="U74" i="160"/>
  <c r="U10" i="160"/>
  <c r="U51" i="160"/>
  <c r="U7" i="160"/>
  <c r="U39" i="160"/>
  <c r="U57" i="160"/>
  <c r="U18" i="160"/>
  <c r="U41" i="160"/>
  <c r="U52" i="160"/>
  <c r="U40" i="160"/>
  <c r="U45" i="160"/>
  <c r="U65" i="160"/>
  <c r="U49" i="160"/>
  <c r="U16" i="160"/>
  <c r="U86" i="160"/>
  <c r="U85" i="160"/>
  <c r="U73" i="160"/>
  <c r="U19" i="160"/>
  <c r="U44" i="160"/>
  <c r="U66" i="160"/>
  <c r="U31" i="160"/>
  <c r="U75" i="160"/>
  <c r="U84" i="160"/>
  <c r="U20" i="160"/>
  <c r="U30" i="160"/>
  <c r="U32" i="160"/>
  <c r="U11" i="160"/>
  <c r="U78" i="160"/>
  <c r="U15" i="160"/>
  <c r="U82" i="160"/>
  <c r="U83" i="160"/>
  <c r="U80" i="160"/>
  <c r="U62" i="159"/>
  <c r="U16" i="159"/>
  <c r="U51" i="159"/>
  <c r="U49" i="159"/>
  <c r="U33" i="159"/>
  <c r="U21" i="159"/>
  <c r="U52" i="159"/>
  <c r="U44" i="159"/>
  <c r="U32" i="159"/>
  <c r="U54" i="159"/>
  <c r="U41" i="159"/>
  <c r="U29" i="159"/>
  <c r="U39" i="159"/>
  <c r="U31" i="159"/>
  <c r="U27" i="159"/>
  <c r="U10" i="159"/>
  <c r="U35" i="159"/>
  <c r="U61" i="159"/>
  <c r="U56" i="159"/>
  <c r="U40" i="159"/>
  <c r="U37" i="159"/>
  <c r="U18" i="159"/>
  <c r="U36" i="159"/>
  <c r="U14" i="159"/>
  <c r="U46" i="159"/>
  <c r="U38" i="159"/>
  <c r="U30" i="159"/>
  <c r="U55" i="159"/>
  <c r="U53" i="159"/>
  <c r="U22" i="159"/>
  <c r="U9" i="159"/>
  <c r="U26" i="159"/>
  <c r="U60" i="159"/>
  <c r="U7" i="159"/>
  <c r="U25" i="159"/>
  <c r="U13" i="159"/>
  <c r="U24" i="159"/>
  <c r="U19" i="159"/>
  <c r="U48" i="159"/>
  <c r="U42" i="159"/>
  <c r="U34" i="159"/>
  <c r="U59" i="159"/>
  <c r="U45" i="159"/>
  <c r="U43" i="159"/>
  <c r="U8" i="159"/>
  <c r="U28" i="159"/>
  <c r="U50" i="159"/>
  <c r="U15" i="159"/>
  <c r="U12" i="159"/>
  <c r="U11" i="159"/>
  <c r="U47" i="159"/>
  <c r="U57" i="159"/>
  <c r="U17" i="159"/>
  <c r="U20" i="159"/>
  <c r="U58" i="159"/>
  <c r="U8" i="158"/>
  <c r="U55" i="158"/>
  <c r="U57" i="158"/>
  <c r="U68" i="158"/>
  <c r="U54" i="158"/>
  <c r="U36" i="158"/>
  <c r="U28" i="158"/>
  <c r="U22" i="158"/>
  <c r="U19" i="158"/>
  <c r="U51" i="158"/>
  <c r="U31" i="158"/>
  <c r="U27" i="158"/>
  <c r="U14" i="158"/>
  <c r="U18" i="158"/>
  <c r="U11" i="158"/>
  <c r="U12" i="158"/>
  <c r="U49" i="158"/>
  <c r="U15" i="158"/>
  <c r="U59" i="158"/>
  <c r="U30" i="158"/>
  <c r="U35" i="158"/>
  <c r="U21" i="158"/>
  <c r="U38" i="158"/>
  <c r="U17" i="158"/>
  <c r="U47" i="158"/>
  <c r="U67" i="158"/>
  <c r="U43" i="158"/>
  <c r="U20" i="158"/>
  <c r="U23" i="158"/>
  <c r="U42" i="158"/>
  <c r="U25" i="158"/>
  <c r="U37" i="158"/>
  <c r="U13" i="158"/>
  <c r="U61" i="158"/>
  <c r="U48" i="158"/>
  <c r="U7" i="158"/>
  <c r="U62" i="158"/>
  <c r="U56" i="158"/>
  <c r="U29" i="158"/>
  <c r="U10" i="158"/>
  <c r="U9" i="158"/>
  <c r="U16" i="158"/>
  <c r="U40" i="158"/>
  <c r="U34" i="158"/>
  <c r="U65" i="158"/>
  <c r="U64" i="158"/>
  <c r="U39" i="158"/>
  <c r="U58" i="158"/>
  <c r="U32" i="158"/>
  <c r="U26" i="158"/>
  <c r="U24" i="158"/>
  <c r="U33" i="158"/>
  <c r="U41" i="158"/>
  <c r="U60" i="158"/>
  <c r="U53" i="158"/>
  <c r="U50" i="158"/>
  <c r="U45" i="158"/>
  <c r="U44" i="158"/>
  <c r="U46" i="158"/>
  <c r="U52" i="158"/>
  <c r="U66" i="158"/>
  <c r="U63" i="158"/>
  <c r="T21" i="157"/>
  <c r="T16" i="157"/>
  <c r="T26" i="157"/>
  <c r="T22" i="157"/>
  <c r="T29" i="157"/>
  <c r="T23" i="157"/>
  <c r="T52" i="157"/>
  <c r="T43" i="157"/>
  <c r="T11" i="157"/>
  <c r="T49" i="157"/>
  <c r="T30" i="157"/>
  <c r="T50" i="157"/>
  <c r="T41" i="157"/>
  <c r="T35" i="157"/>
  <c r="T24" i="157"/>
  <c r="T51" i="157"/>
  <c r="T32" i="157"/>
  <c r="T46" i="157"/>
  <c r="T10" i="157"/>
  <c r="T15" i="157"/>
  <c r="T20" i="157"/>
  <c r="T31" i="157"/>
  <c r="T18" i="157"/>
  <c r="T40" i="157"/>
  <c r="T45" i="157"/>
  <c r="T17" i="157"/>
  <c r="T34" i="157"/>
  <c r="T13" i="157"/>
  <c r="T33" i="157"/>
  <c r="T48" i="157"/>
  <c r="T28" i="157"/>
  <c r="T19" i="157"/>
  <c r="T9" i="157"/>
  <c r="T12" i="157"/>
  <c r="T27" i="157"/>
  <c r="T36" i="157"/>
  <c r="T14" i="157"/>
  <c r="T37" i="157"/>
  <c r="T39" i="157"/>
  <c r="T47" i="157"/>
  <c r="T25" i="157"/>
  <c r="T8" i="157"/>
  <c r="T7" i="157"/>
  <c r="T42" i="157"/>
  <c r="T38" i="157"/>
  <c r="T11" i="156"/>
  <c r="T36" i="156"/>
  <c r="T13" i="156"/>
  <c r="T18" i="156"/>
  <c r="T9" i="156"/>
  <c r="T24" i="156"/>
  <c r="T38" i="156"/>
  <c r="T47" i="156"/>
  <c r="T26" i="156"/>
  <c r="T34" i="156"/>
  <c r="T57" i="156"/>
  <c r="T37" i="156"/>
  <c r="T20" i="156"/>
  <c r="T10" i="156"/>
  <c r="T46" i="156"/>
  <c r="T55" i="156"/>
  <c r="T31" i="156"/>
  <c r="T56" i="156"/>
  <c r="T22" i="156"/>
  <c r="T25" i="156"/>
  <c r="T52" i="156"/>
  <c r="T35" i="156"/>
  <c r="T29" i="156"/>
  <c r="T17" i="156"/>
  <c r="T12" i="156"/>
  <c r="T30" i="156"/>
  <c r="T49" i="156"/>
  <c r="T45" i="156"/>
  <c r="T19" i="156"/>
  <c r="T16" i="156"/>
  <c r="T8" i="156"/>
  <c r="T51" i="156"/>
  <c r="T50" i="156"/>
  <c r="T58" i="156"/>
  <c r="T32" i="156"/>
  <c r="T15" i="156"/>
  <c r="T44" i="156"/>
  <c r="T27" i="156"/>
  <c r="T48" i="156"/>
  <c r="T53" i="156"/>
  <c r="T33" i="156"/>
  <c r="T40" i="156"/>
  <c r="T39" i="156"/>
  <c r="T28" i="156"/>
  <c r="T42" i="156"/>
  <c r="T43" i="156"/>
  <c r="T7" i="156"/>
  <c r="T61" i="156"/>
  <c r="T21" i="156"/>
  <c r="T60" i="156"/>
  <c r="T23" i="156"/>
  <c r="T54" i="156"/>
  <c r="T59" i="156"/>
  <c r="T41" i="156"/>
  <c r="T14" i="155"/>
  <c r="T17" i="155"/>
  <c r="T27" i="155"/>
  <c r="T22" i="155"/>
  <c r="T28" i="155"/>
  <c r="T36" i="155"/>
  <c r="T9" i="155"/>
  <c r="T7" i="155"/>
  <c r="T12" i="155"/>
  <c r="T42" i="155"/>
  <c r="T26" i="155"/>
  <c r="T32" i="155"/>
  <c r="T11" i="155"/>
  <c r="T31" i="155"/>
  <c r="T35" i="155"/>
  <c r="T41" i="155"/>
  <c r="T47" i="155"/>
  <c r="T48" i="155"/>
  <c r="T19" i="155"/>
  <c r="T10" i="155"/>
  <c r="T29" i="155"/>
  <c r="T18" i="155"/>
  <c r="T13" i="155"/>
  <c r="T52" i="155"/>
  <c r="T51" i="155"/>
  <c r="T44" i="155"/>
  <c r="T25" i="155"/>
  <c r="T40" i="155"/>
  <c r="T16" i="155"/>
  <c r="T53" i="155"/>
  <c r="T45" i="155"/>
  <c r="T55" i="155"/>
  <c r="T34" i="155"/>
  <c r="T33" i="155"/>
  <c r="T38" i="155"/>
  <c r="T24" i="155"/>
  <c r="T54" i="155"/>
  <c r="T50" i="155"/>
  <c r="T46" i="155"/>
  <c r="T23" i="155"/>
  <c r="T21" i="155"/>
  <c r="T8" i="155"/>
  <c r="T15" i="155"/>
  <c r="T39" i="155"/>
  <c r="T30" i="155"/>
  <c r="T20" i="155"/>
  <c r="T43" i="155"/>
  <c r="T37" i="155"/>
  <c r="R20" i="154"/>
  <c r="R16" i="154"/>
  <c r="R36" i="154"/>
  <c r="R39" i="154"/>
  <c r="R12" i="154"/>
  <c r="R13" i="154"/>
  <c r="R21" i="154"/>
  <c r="R15" i="154"/>
  <c r="R45" i="154"/>
  <c r="R25" i="154"/>
  <c r="R35" i="154"/>
  <c r="R49" i="154"/>
  <c r="R32" i="154"/>
  <c r="R48" i="154"/>
  <c r="R51" i="154"/>
  <c r="R14" i="154"/>
  <c r="R34" i="154"/>
  <c r="R27" i="154"/>
  <c r="R24" i="154"/>
  <c r="R41" i="154"/>
  <c r="R42" i="154"/>
  <c r="R18" i="154"/>
  <c r="R29" i="154"/>
  <c r="R38" i="154"/>
  <c r="R43" i="154"/>
  <c r="R26" i="154"/>
  <c r="R30" i="154"/>
  <c r="R40" i="154"/>
  <c r="R19" i="154"/>
  <c r="R60" i="154"/>
  <c r="R22" i="154"/>
  <c r="R28" i="154"/>
  <c r="R23" i="154"/>
  <c r="R10" i="154"/>
  <c r="R7" i="154"/>
  <c r="R57" i="154"/>
  <c r="R50" i="154"/>
  <c r="R33" i="154"/>
  <c r="R58" i="154"/>
  <c r="R47" i="154"/>
  <c r="R37" i="154"/>
  <c r="R56" i="154"/>
  <c r="R59" i="154"/>
  <c r="R53" i="154"/>
  <c r="R55" i="154"/>
  <c r="R31" i="154"/>
  <c r="R9" i="154"/>
  <c r="R46" i="154"/>
  <c r="R44" i="154"/>
  <c r="R8" i="154"/>
  <c r="R11" i="154"/>
  <c r="R62" i="154"/>
  <c r="R52" i="154"/>
  <c r="R54" i="154"/>
  <c r="R61" i="154"/>
  <c r="R57" i="153"/>
  <c r="R19" i="153"/>
  <c r="R12" i="153"/>
  <c r="R38" i="153"/>
  <c r="R46" i="153"/>
  <c r="R58" i="153"/>
  <c r="R21" i="153"/>
  <c r="R48" i="153"/>
  <c r="R32" i="153"/>
  <c r="R8" i="153"/>
  <c r="R40" i="153"/>
  <c r="R52" i="153"/>
  <c r="R36" i="153"/>
  <c r="R55" i="153"/>
  <c r="R50" i="153"/>
  <c r="R24" i="153"/>
  <c r="R42" i="153"/>
  <c r="R20" i="153"/>
  <c r="R44" i="153"/>
  <c r="R34" i="153"/>
  <c r="R65" i="153"/>
  <c r="R10" i="153"/>
  <c r="R41" i="153"/>
  <c r="R9" i="153"/>
  <c r="R29" i="153"/>
  <c r="R14" i="153"/>
  <c r="R16" i="153"/>
  <c r="R59" i="153"/>
  <c r="R54" i="153"/>
  <c r="R53" i="153"/>
  <c r="R7" i="153"/>
  <c r="R11" i="153"/>
  <c r="R43" i="153"/>
  <c r="R26" i="153"/>
  <c r="R22" i="153"/>
  <c r="R47" i="153"/>
  <c r="R63" i="153"/>
  <c r="R13" i="153"/>
  <c r="R51" i="153"/>
  <c r="R23" i="153"/>
  <c r="R56" i="153"/>
  <c r="R15" i="153"/>
  <c r="R28" i="153"/>
  <c r="R27" i="153"/>
  <c r="R64" i="153"/>
  <c r="R25" i="153"/>
  <c r="R45" i="153"/>
  <c r="R18" i="153"/>
  <c r="R17" i="153"/>
  <c r="R60" i="153"/>
  <c r="R37" i="153"/>
  <c r="R30" i="153"/>
  <c r="R49" i="153"/>
  <c r="R33" i="153"/>
  <c r="R39" i="153"/>
  <c r="R31" i="153"/>
  <c r="R61" i="153"/>
  <c r="R62" i="153"/>
  <c r="R45" i="152"/>
  <c r="R19" i="152"/>
  <c r="R29" i="152"/>
  <c r="R58" i="152"/>
  <c r="R40" i="152"/>
  <c r="R50" i="152"/>
  <c r="R11" i="152"/>
  <c r="R18" i="152"/>
  <c r="R9" i="152"/>
  <c r="R44" i="152"/>
  <c r="R8" i="152"/>
  <c r="R37" i="152"/>
  <c r="R59" i="152"/>
  <c r="R36" i="152"/>
  <c r="R52" i="152"/>
  <c r="R51" i="152"/>
  <c r="R46" i="152"/>
  <c r="R57" i="152"/>
  <c r="R25" i="152"/>
  <c r="R60" i="152"/>
  <c r="R10" i="152"/>
  <c r="R61" i="152"/>
  <c r="R41" i="152"/>
  <c r="R49" i="152"/>
  <c r="R32" i="152"/>
  <c r="R12" i="152"/>
  <c r="R17" i="152"/>
  <c r="R35" i="152"/>
  <c r="R39" i="152"/>
  <c r="R14" i="152"/>
  <c r="R34" i="152"/>
  <c r="R31" i="152"/>
  <c r="R21" i="152"/>
  <c r="R22" i="152"/>
  <c r="R43" i="152"/>
  <c r="R23" i="152"/>
  <c r="R42" i="152"/>
  <c r="R13" i="152"/>
  <c r="R7" i="152"/>
  <c r="R33" i="152"/>
  <c r="R55" i="152"/>
  <c r="R54" i="152"/>
  <c r="R26" i="152"/>
  <c r="R27" i="152"/>
  <c r="R20" i="152"/>
  <c r="R15" i="152"/>
  <c r="R47" i="152"/>
  <c r="R24" i="152"/>
  <c r="R48" i="152"/>
  <c r="R28" i="152"/>
  <c r="R16" i="152"/>
  <c r="R53" i="152"/>
  <c r="R38" i="152"/>
  <c r="R30" i="152"/>
  <c r="R29" i="151"/>
  <c r="R26" i="151"/>
  <c r="R43" i="151"/>
  <c r="R18" i="151"/>
  <c r="R11" i="151"/>
  <c r="R37" i="151"/>
  <c r="R10" i="151"/>
  <c r="R32" i="151"/>
  <c r="R47" i="151"/>
  <c r="R55" i="151"/>
  <c r="R33" i="151"/>
  <c r="R54" i="151"/>
  <c r="R53" i="151"/>
  <c r="R21" i="151"/>
  <c r="R12" i="151"/>
  <c r="R51" i="151"/>
  <c r="R31" i="151"/>
  <c r="R39" i="151"/>
  <c r="R17" i="151"/>
  <c r="R9" i="151"/>
  <c r="R14" i="151"/>
  <c r="R24" i="151"/>
  <c r="R44" i="151"/>
  <c r="R36" i="151"/>
  <c r="R20" i="151"/>
  <c r="R15" i="151"/>
  <c r="R22" i="151"/>
  <c r="R8" i="151"/>
  <c r="R34" i="151"/>
  <c r="R28" i="151"/>
  <c r="R40" i="151"/>
  <c r="R45" i="151"/>
  <c r="R46" i="151"/>
  <c r="R48" i="151"/>
  <c r="R52" i="151"/>
  <c r="R42" i="151"/>
  <c r="R23" i="151"/>
  <c r="R56" i="151"/>
  <c r="R19" i="151"/>
  <c r="R25" i="151"/>
  <c r="R13" i="151"/>
  <c r="R7" i="151"/>
  <c r="R35" i="151"/>
  <c r="R49" i="151"/>
  <c r="R41" i="151"/>
  <c r="R30" i="151"/>
  <c r="R38" i="151"/>
  <c r="R16" i="151"/>
  <c r="R57" i="151"/>
  <c r="R60" i="151"/>
  <c r="R61" i="151"/>
  <c r="R50" i="151"/>
  <c r="R58" i="151"/>
  <c r="R59" i="151"/>
  <c r="R18" i="150"/>
  <c r="R29" i="150"/>
  <c r="R58" i="150"/>
  <c r="R72" i="150"/>
  <c r="R37" i="150"/>
  <c r="R33" i="150"/>
  <c r="R71" i="150"/>
  <c r="R32" i="150"/>
  <c r="R17" i="150"/>
  <c r="R48" i="150"/>
  <c r="R50" i="150"/>
  <c r="R45" i="150"/>
  <c r="R26" i="150"/>
  <c r="R53" i="150"/>
  <c r="R43" i="150"/>
  <c r="R16" i="150"/>
  <c r="R63" i="150"/>
  <c r="R66" i="150"/>
  <c r="R14" i="150"/>
  <c r="R34" i="150"/>
  <c r="R57" i="150"/>
  <c r="R30" i="150"/>
  <c r="R65" i="150"/>
  <c r="R39" i="150"/>
  <c r="R64" i="150"/>
  <c r="R56" i="150"/>
  <c r="R8" i="150"/>
  <c r="R38" i="150"/>
  <c r="R13" i="150"/>
  <c r="R20" i="150"/>
  <c r="R12" i="150"/>
  <c r="R10" i="150"/>
  <c r="R25" i="150"/>
  <c r="R40" i="150"/>
  <c r="R28" i="150"/>
  <c r="R7" i="150"/>
  <c r="R36" i="150"/>
  <c r="R54" i="150"/>
  <c r="R47" i="150"/>
  <c r="R23" i="150"/>
  <c r="R24" i="150"/>
  <c r="R61" i="150"/>
  <c r="R52" i="150"/>
  <c r="R60" i="150"/>
  <c r="R44" i="150"/>
  <c r="R35" i="150"/>
  <c r="R51" i="150"/>
  <c r="R62" i="150"/>
  <c r="R42" i="150"/>
  <c r="R22" i="150"/>
  <c r="R9" i="150"/>
  <c r="R31" i="150"/>
  <c r="R49" i="150"/>
  <c r="R11" i="150"/>
  <c r="R27" i="150"/>
  <c r="R59" i="150"/>
  <c r="R68" i="150"/>
  <c r="R15" i="150"/>
  <c r="R70" i="150"/>
  <c r="R67" i="150"/>
  <c r="R21" i="150"/>
  <c r="R46" i="150"/>
  <c r="R55" i="150"/>
  <c r="R19" i="150"/>
  <c r="R69" i="150"/>
  <c r="R73" i="149"/>
  <c r="R36" i="149"/>
  <c r="R56" i="149"/>
  <c r="R40" i="149"/>
  <c r="R68" i="149"/>
  <c r="R43" i="149"/>
  <c r="R39" i="149"/>
  <c r="R35" i="149"/>
  <c r="R33" i="149"/>
  <c r="R65" i="149"/>
  <c r="R72" i="149"/>
  <c r="R13" i="149"/>
  <c r="R45" i="149"/>
  <c r="R27" i="149"/>
  <c r="R31" i="149"/>
  <c r="R58" i="149"/>
  <c r="R22" i="149"/>
  <c r="R30" i="149"/>
  <c r="R23" i="149"/>
  <c r="R59" i="149"/>
  <c r="R38" i="149"/>
  <c r="R34" i="149"/>
  <c r="R54" i="149"/>
  <c r="R61" i="149"/>
  <c r="R67" i="149"/>
  <c r="R37" i="149"/>
  <c r="R42" i="149"/>
  <c r="R8" i="149"/>
  <c r="R25" i="149"/>
  <c r="R10" i="149"/>
  <c r="R24" i="149"/>
  <c r="R64" i="149"/>
  <c r="R16" i="149"/>
  <c r="R71" i="149"/>
  <c r="R19" i="149"/>
  <c r="R11" i="149"/>
  <c r="R12" i="149"/>
  <c r="R46" i="149"/>
  <c r="R41" i="149"/>
  <c r="R14" i="149"/>
  <c r="R52" i="149"/>
  <c r="R28" i="149"/>
  <c r="R17" i="149"/>
  <c r="R26" i="149"/>
  <c r="R57" i="149"/>
  <c r="R70" i="149"/>
  <c r="R47" i="149"/>
  <c r="R44" i="149"/>
  <c r="R48" i="149"/>
  <c r="R50" i="149"/>
  <c r="R15" i="149"/>
  <c r="R66" i="149"/>
  <c r="R21" i="149"/>
  <c r="R53" i="149"/>
  <c r="R29" i="149"/>
  <c r="R69" i="149"/>
  <c r="R51" i="149"/>
  <c r="R63" i="149"/>
  <c r="R9" i="149"/>
  <c r="R55" i="149"/>
  <c r="R32" i="149"/>
  <c r="R18" i="149"/>
  <c r="R60" i="149"/>
  <c r="R20" i="149"/>
  <c r="R7" i="149"/>
  <c r="R49" i="149"/>
  <c r="R33" i="148"/>
  <c r="R58" i="148"/>
  <c r="R57" i="148"/>
  <c r="R68" i="148"/>
  <c r="R37" i="148"/>
  <c r="R39" i="148"/>
  <c r="R41" i="148"/>
  <c r="R23" i="148"/>
  <c r="R21" i="148"/>
  <c r="R50" i="148"/>
  <c r="R72" i="148"/>
  <c r="R16" i="148"/>
  <c r="R26" i="148"/>
  <c r="R11" i="148"/>
  <c r="R18" i="148"/>
  <c r="R29" i="148"/>
  <c r="R13" i="148"/>
  <c r="R60" i="148"/>
  <c r="R32" i="148"/>
  <c r="R45" i="148"/>
  <c r="R66" i="148"/>
  <c r="R20" i="148"/>
  <c r="R15" i="148"/>
  <c r="R19" i="148"/>
  <c r="R27" i="148"/>
  <c r="R74" i="148"/>
  <c r="R48" i="148"/>
  <c r="R24" i="148"/>
  <c r="R38" i="148"/>
  <c r="R49" i="148"/>
  <c r="R71" i="148"/>
  <c r="R36" i="148"/>
  <c r="R28" i="148"/>
  <c r="R14" i="148"/>
  <c r="R65" i="148"/>
  <c r="R61" i="148"/>
  <c r="R73" i="148"/>
  <c r="R7" i="148"/>
  <c r="R43" i="148"/>
  <c r="R17" i="148"/>
  <c r="R56" i="148"/>
  <c r="R9" i="148"/>
  <c r="R44" i="148"/>
  <c r="R46" i="148"/>
  <c r="R62" i="148"/>
  <c r="R12" i="148"/>
  <c r="R55" i="148"/>
  <c r="R34" i="148"/>
  <c r="R30" i="148"/>
  <c r="R22" i="148"/>
  <c r="R70" i="148"/>
  <c r="R64" i="148"/>
  <c r="R69" i="148"/>
  <c r="R31" i="148"/>
  <c r="R40" i="148"/>
  <c r="R54" i="148"/>
  <c r="R63" i="148"/>
  <c r="R67" i="148"/>
  <c r="R52" i="148"/>
  <c r="R8" i="148"/>
  <c r="R35" i="148"/>
  <c r="R47" i="148"/>
  <c r="R59" i="148"/>
  <c r="R10" i="148"/>
  <c r="R42" i="148"/>
  <c r="R53" i="148"/>
  <c r="R25" i="148"/>
  <c r="R55" i="147"/>
  <c r="R64" i="147"/>
  <c r="R35" i="147"/>
  <c r="R66" i="147"/>
  <c r="R63" i="147"/>
  <c r="R14" i="147"/>
  <c r="R53" i="147"/>
  <c r="R11" i="147"/>
  <c r="R15" i="147"/>
  <c r="R54" i="147"/>
  <c r="R21" i="147"/>
  <c r="R32" i="147"/>
  <c r="R44" i="147"/>
  <c r="R26" i="147"/>
  <c r="R45" i="147"/>
  <c r="R29" i="147"/>
  <c r="R18" i="147"/>
  <c r="R60" i="147"/>
  <c r="R62" i="147"/>
  <c r="R34" i="147"/>
  <c r="R20" i="147"/>
  <c r="R37" i="147"/>
  <c r="R17" i="147"/>
  <c r="R59" i="147"/>
  <c r="R19" i="147"/>
  <c r="R10" i="147"/>
  <c r="R33" i="147"/>
  <c r="R43" i="147"/>
  <c r="R65" i="147"/>
  <c r="R46" i="147"/>
  <c r="R57" i="147"/>
  <c r="R25" i="147"/>
  <c r="R24" i="147"/>
  <c r="R28" i="147"/>
  <c r="R12" i="147"/>
  <c r="R40" i="147"/>
  <c r="R69" i="147"/>
  <c r="R49" i="147"/>
  <c r="R61" i="147"/>
  <c r="R48" i="147"/>
  <c r="R47" i="147"/>
  <c r="R9" i="147"/>
  <c r="R31" i="147"/>
  <c r="R70" i="147"/>
  <c r="R73" i="147"/>
  <c r="R58" i="147"/>
  <c r="R16" i="147"/>
  <c r="R38" i="147"/>
  <c r="R8" i="147"/>
  <c r="R39" i="147"/>
  <c r="R42" i="147"/>
  <c r="R50" i="147"/>
  <c r="R56" i="147"/>
  <c r="R52" i="147"/>
  <c r="R30" i="147"/>
  <c r="R51" i="147"/>
  <c r="R67" i="147"/>
  <c r="R36" i="147"/>
  <c r="R71" i="147"/>
  <c r="R41" i="147"/>
  <c r="R68" i="147"/>
  <c r="R22" i="147"/>
  <c r="R23" i="147"/>
  <c r="R13" i="147"/>
  <c r="R27" i="147"/>
  <c r="R7" i="147"/>
  <c r="P14" i="146"/>
  <c r="P61" i="146"/>
  <c r="P43" i="146"/>
  <c r="P64" i="146"/>
  <c r="P65" i="146"/>
  <c r="P44" i="146"/>
  <c r="P27" i="146"/>
  <c r="P55" i="146"/>
  <c r="P9" i="146"/>
  <c r="P7" i="146"/>
  <c r="P60" i="146"/>
  <c r="P20" i="146"/>
  <c r="P29" i="146"/>
  <c r="P46" i="146"/>
  <c r="P57" i="146"/>
  <c r="P42" i="146"/>
  <c r="P16" i="146"/>
  <c r="P62" i="146"/>
  <c r="P30" i="146"/>
  <c r="P39" i="146"/>
  <c r="P37" i="146"/>
  <c r="P10" i="146"/>
  <c r="P33" i="146"/>
  <c r="P45" i="146"/>
  <c r="P8" i="146"/>
  <c r="P51" i="146"/>
  <c r="P47" i="146"/>
  <c r="P41" i="146"/>
  <c r="P31" i="146"/>
  <c r="P36" i="146"/>
  <c r="P32" i="146"/>
  <c r="P66" i="146"/>
  <c r="P25" i="146"/>
  <c r="P13" i="146"/>
  <c r="P28" i="146"/>
  <c r="P26" i="146"/>
  <c r="P59" i="146"/>
  <c r="P52" i="146"/>
  <c r="P56" i="146"/>
  <c r="P18" i="146"/>
  <c r="P58" i="146"/>
  <c r="P17" i="146"/>
  <c r="P54" i="146"/>
  <c r="P12" i="146"/>
  <c r="P21" i="146"/>
  <c r="P23" i="146"/>
  <c r="P35" i="146"/>
  <c r="P49" i="146"/>
  <c r="P63" i="146"/>
  <c r="P50" i="146"/>
  <c r="P53" i="146"/>
  <c r="P22" i="146"/>
  <c r="P34" i="146"/>
  <c r="P11" i="146"/>
  <c r="P40" i="146"/>
  <c r="P48" i="146"/>
  <c r="P15" i="146"/>
  <c r="P24" i="146"/>
  <c r="P38" i="146"/>
  <c r="P44" i="145"/>
  <c r="P35" i="145"/>
  <c r="P13" i="145"/>
  <c r="P52" i="145"/>
  <c r="P23" i="145"/>
  <c r="P47" i="145"/>
  <c r="P42" i="145"/>
  <c r="P51" i="145"/>
  <c r="P24" i="145"/>
  <c r="P21" i="145"/>
  <c r="P49" i="145"/>
  <c r="P57" i="145"/>
  <c r="P41" i="145"/>
  <c r="P15" i="145"/>
  <c r="P40" i="145"/>
  <c r="P61" i="145"/>
  <c r="P67" i="145"/>
  <c r="P31" i="145"/>
  <c r="P39" i="145"/>
  <c r="P9" i="145"/>
  <c r="P11" i="145"/>
  <c r="P26" i="145"/>
  <c r="P29" i="145"/>
  <c r="P62" i="145"/>
  <c r="P22" i="145"/>
  <c r="P43" i="145"/>
  <c r="P30" i="145"/>
  <c r="P8" i="145"/>
  <c r="P27" i="145"/>
  <c r="P58" i="145"/>
  <c r="P66" i="145"/>
  <c r="P65" i="145"/>
  <c r="P28" i="145"/>
  <c r="P16" i="145"/>
  <c r="P20" i="145"/>
  <c r="P38" i="145"/>
  <c r="P50" i="145"/>
  <c r="P45" i="145"/>
  <c r="P59" i="145"/>
  <c r="P56" i="145"/>
  <c r="P12" i="145"/>
  <c r="P10" i="145"/>
  <c r="P14" i="145"/>
  <c r="P46" i="145"/>
  <c r="P55" i="145"/>
  <c r="P33" i="145"/>
  <c r="P19" i="145"/>
  <c r="P48" i="145"/>
  <c r="P34" i="145"/>
  <c r="P64" i="145"/>
  <c r="P7" i="145"/>
  <c r="P36" i="145"/>
  <c r="P37" i="145"/>
  <c r="P25" i="145"/>
  <c r="P54" i="145"/>
  <c r="P32" i="145"/>
  <c r="P53" i="145"/>
  <c r="P63" i="145"/>
  <c r="P17" i="145"/>
  <c r="P60" i="145"/>
  <c r="P38" i="144"/>
  <c r="P10" i="144"/>
  <c r="P44" i="144"/>
  <c r="P49" i="144"/>
  <c r="P62" i="144"/>
  <c r="P8" i="144"/>
  <c r="P59" i="144"/>
  <c r="P67" i="144"/>
  <c r="P66" i="144"/>
  <c r="P7" i="144"/>
  <c r="P56" i="144"/>
  <c r="P37" i="144"/>
  <c r="P18" i="144"/>
  <c r="P61" i="144"/>
  <c r="P41" i="144"/>
  <c r="P40" i="144"/>
  <c r="P54" i="144"/>
  <c r="P30" i="144"/>
  <c r="P24" i="144"/>
  <c r="P46" i="144"/>
  <c r="P33" i="144"/>
  <c r="P15" i="144"/>
  <c r="P65" i="144"/>
  <c r="P11" i="144"/>
  <c r="P13" i="144"/>
  <c r="P16" i="144"/>
  <c r="P31" i="144"/>
  <c r="P55" i="144"/>
  <c r="P20" i="144"/>
  <c r="P51" i="144"/>
  <c r="P32" i="144"/>
  <c r="P26" i="144"/>
  <c r="P58" i="144"/>
  <c r="P36" i="144"/>
  <c r="P63" i="144"/>
  <c r="P12" i="144"/>
  <c r="P17" i="144"/>
  <c r="P9" i="144"/>
  <c r="P23" i="144"/>
  <c r="P60" i="144"/>
  <c r="P47" i="144"/>
  <c r="P43" i="144"/>
  <c r="P29" i="144"/>
  <c r="P27" i="144"/>
  <c r="P35" i="144"/>
  <c r="P64" i="144"/>
  <c r="P52" i="144"/>
  <c r="P34" i="144"/>
  <c r="P28" i="144"/>
  <c r="P19" i="144"/>
  <c r="P57" i="144"/>
  <c r="P53" i="144"/>
  <c r="P22" i="144"/>
  <c r="P42" i="144"/>
  <c r="P25" i="144"/>
  <c r="P39" i="144"/>
  <c r="P14" i="144"/>
  <c r="P45" i="144"/>
  <c r="P48" i="144"/>
  <c r="P21" i="144"/>
  <c r="P25" i="143"/>
  <c r="P26" i="143"/>
  <c r="P35" i="143"/>
  <c r="P22" i="143"/>
  <c r="P61" i="143"/>
  <c r="P10" i="143"/>
  <c r="P42" i="143"/>
  <c r="P24" i="143"/>
  <c r="P33" i="143"/>
  <c r="P15" i="143"/>
  <c r="P7" i="143"/>
  <c r="P40" i="143"/>
  <c r="P66" i="143"/>
  <c r="P14" i="143"/>
  <c r="P12" i="143"/>
  <c r="P9" i="143"/>
  <c r="P28" i="143"/>
  <c r="P58" i="143"/>
  <c r="P64" i="143"/>
  <c r="P49" i="143"/>
  <c r="P11" i="143"/>
  <c r="P62" i="143"/>
  <c r="P54" i="143"/>
  <c r="P16" i="143"/>
  <c r="P18" i="143"/>
  <c r="P48" i="143"/>
  <c r="P51" i="143"/>
  <c r="P30" i="143"/>
  <c r="P17" i="143"/>
  <c r="P56" i="143"/>
  <c r="P34" i="143"/>
  <c r="P46" i="143"/>
  <c r="P43" i="143"/>
  <c r="P60" i="143"/>
  <c r="P45" i="143"/>
  <c r="P59" i="143"/>
  <c r="P20" i="143"/>
  <c r="P63" i="143"/>
  <c r="P37" i="143"/>
  <c r="P57" i="143"/>
  <c r="P50" i="143"/>
  <c r="P36" i="143"/>
  <c r="P23" i="143"/>
  <c r="P8" i="143"/>
  <c r="P19" i="143"/>
  <c r="P31" i="143"/>
  <c r="P65" i="143"/>
  <c r="P53" i="143"/>
  <c r="P32" i="143"/>
  <c r="P44" i="143"/>
  <c r="P52" i="143"/>
  <c r="P27" i="143"/>
  <c r="P41" i="143"/>
  <c r="P39" i="143"/>
  <c r="P55" i="143"/>
  <c r="P38" i="143"/>
  <c r="P47" i="143"/>
  <c r="P21" i="143"/>
  <c r="P29" i="143"/>
  <c r="P49" i="142"/>
  <c r="P67" i="142"/>
  <c r="P46" i="142"/>
  <c r="P28" i="142"/>
  <c r="P41" i="142"/>
  <c r="P11" i="142"/>
  <c r="P55" i="142"/>
  <c r="P18" i="142"/>
  <c r="P36" i="142"/>
  <c r="P27" i="142"/>
  <c r="P12" i="142"/>
  <c r="P16" i="142"/>
  <c r="P23" i="142"/>
  <c r="P43" i="142"/>
  <c r="P15" i="142"/>
  <c r="P66" i="142"/>
  <c r="P53" i="142"/>
  <c r="P31" i="142"/>
  <c r="P37" i="142"/>
  <c r="P38" i="142"/>
  <c r="P52" i="142"/>
  <c r="P21" i="142"/>
  <c r="P29" i="142"/>
  <c r="P39" i="142"/>
  <c r="P42" i="142"/>
  <c r="P17" i="142"/>
  <c r="P45" i="142"/>
  <c r="P61" i="142"/>
  <c r="P22" i="142"/>
  <c r="P19" i="142"/>
  <c r="P32" i="142"/>
  <c r="P8" i="142"/>
  <c r="P59" i="142"/>
  <c r="P64" i="142"/>
  <c r="P13" i="142"/>
  <c r="P47" i="142"/>
  <c r="P25" i="142"/>
  <c r="P63" i="142"/>
  <c r="P56" i="142"/>
  <c r="P57" i="142"/>
  <c r="P7" i="142"/>
  <c r="P9" i="142"/>
  <c r="P40" i="142"/>
  <c r="P26" i="142"/>
  <c r="P48" i="142"/>
  <c r="P33" i="142"/>
  <c r="P50" i="142"/>
  <c r="P51" i="142"/>
  <c r="P44" i="142"/>
  <c r="P60" i="142"/>
  <c r="P34" i="142"/>
  <c r="P68" i="142"/>
  <c r="P14" i="142"/>
  <c r="P30" i="142"/>
  <c r="P62" i="142"/>
  <c r="P10" i="142"/>
  <c r="P24" i="142"/>
  <c r="P35" i="142"/>
  <c r="P54" i="142"/>
  <c r="P58" i="142"/>
  <c r="P65" i="142"/>
  <c r="Q16" i="141"/>
  <c r="Q13" i="141"/>
  <c r="Q23" i="141"/>
  <c r="Q28" i="141"/>
  <c r="Q15" i="141"/>
  <c r="Q47" i="141"/>
  <c r="Q8" i="141"/>
  <c r="Q27" i="141"/>
  <c r="Q41" i="141"/>
  <c r="Q49" i="141"/>
  <c r="Q20" i="141"/>
  <c r="Q18" i="141"/>
  <c r="Q53" i="141"/>
  <c r="Q62" i="141"/>
  <c r="Q9" i="141"/>
  <c r="Q12" i="141"/>
  <c r="Q59" i="141"/>
  <c r="Q24" i="141"/>
  <c r="Q34" i="141"/>
  <c r="Q38" i="141"/>
  <c r="Q61" i="141"/>
  <c r="Q31" i="141"/>
  <c r="Q30" i="141"/>
  <c r="Q39" i="141"/>
  <c r="Q52" i="141"/>
  <c r="Q26" i="141"/>
  <c r="Q51" i="141"/>
  <c r="Q7" i="141"/>
  <c r="Q14" i="141"/>
  <c r="Q33" i="141"/>
  <c r="Q40" i="141"/>
  <c r="Q35" i="141"/>
  <c r="Q10" i="141"/>
  <c r="Q58" i="141"/>
  <c r="Q55" i="141"/>
  <c r="Q57" i="141"/>
  <c r="Q17" i="141"/>
  <c r="Q29" i="141"/>
  <c r="Q22" i="141"/>
  <c r="Q56" i="141"/>
  <c r="Q42" i="141"/>
  <c r="Q50" i="141"/>
  <c r="Q25" i="141"/>
  <c r="Q60" i="141"/>
  <c r="Q37" i="141"/>
  <c r="Q44" i="141"/>
  <c r="Q32" i="141"/>
  <c r="Q43" i="141"/>
  <c r="Q11" i="141"/>
  <c r="Q36" i="141"/>
  <c r="Q54" i="141"/>
  <c r="Q48" i="141"/>
  <c r="Q19" i="141"/>
  <c r="Q46" i="141"/>
  <c r="Q21" i="141"/>
  <c r="Q22" i="140"/>
  <c r="Q53" i="140"/>
  <c r="Q35" i="140"/>
  <c r="Q28" i="140"/>
  <c r="Q25" i="140"/>
  <c r="Q52" i="140"/>
  <c r="Q31" i="140"/>
  <c r="Q42" i="140"/>
  <c r="Q55" i="140"/>
  <c r="Q17" i="140"/>
  <c r="Q54" i="140"/>
  <c r="Q58" i="140"/>
  <c r="Q38" i="140"/>
  <c r="Q11" i="140"/>
  <c r="Q45" i="140"/>
  <c r="Q46" i="140"/>
  <c r="Q40" i="140"/>
  <c r="Q41" i="140"/>
  <c r="Q50" i="140"/>
  <c r="Q16" i="140"/>
  <c r="Q34" i="140"/>
  <c r="Q18" i="140"/>
  <c r="Q14" i="140"/>
  <c r="Q19" i="140"/>
  <c r="Q9" i="140"/>
  <c r="Q26" i="140"/>
  <c r="Q13" i="140"/>
  <c r="Q21" i="140"/>
  <c r="Q36" i="140"/>
  <c r="Q47" i="140"/>
  <c r="Q24" i="140"/>
  <c r="Q7" i="140"/>
  <c r="Q60" i="140"/>
  <c r="Q29" i="140"/>
  <c r="Q20" i="140"/>
  <c r="Q8" i="140"/>
  <c r="Q39" i="140"/>
  <c r="Q30" i="140"/>
  <c r="Q51" i="140"/>
  <c r="Q15" i="140"/>
  <c r="Q49" i="140"/>
  <c r="Q44" i="140"/>
  <c r="Q23" i="140"/>
  <c r="Q59" i="140"/>
  <c r="Q37" i="140"/>
  <c r="Q61" i="140"/>
  <c r="Q56" i="140"/>
  <c r="Q57" i="140"/>
  <c r="Q12" i="140"/>
  <c r="Q32" i="140"/>
  <c r="Q27" i="140"/>
  <c r="Q62" i="140"/>
  <c r="Q43" i="140"/>
  <c r="Q33" i="140"/>
  <c r="Q10" i="140"/>
  <c r="Q22" i="139"/>
  <c r="Q21" i="139"/>
  <c r="Q48" i="139"/>
  <c r="Q39" i="139"/>
  <c r="Q36" i="139"/>
  <c r="Q62" i="139"/>
  <c r="Q20" i="139"/>
  <c r="Q19" i="139"/>
  <c r="Q38" i="139"/>
  <c r="Q17" i="139"/>
  <c r="Q53" i="139"/>
  <c r="Q45" i="139"/>
  <c r="Q55" i="139"/>
  <c r="Q41" i="139"/>
  <c r="Q7" i="139"/>
  <c r="Q13" i="139"/>
  <c r="Q61" i="139"/>
  <c r="Q52" i="139"/>
  <c r="Q58" i="139"/>
  <c r="Q8" i="139"/>
  <c r="Q25" i="139"/>
  <c r="Q40" i="139"/>
  <c r="Q28" i="139"/>
  <c r="Q9" i="139"/>
  <c r="Q27" i="139"/>
  <c r="Q15" i="139"/>
  <c r="Q57" i="139"/>
  <c r="Q11" i="139"/>
  <c r="Q56" i="139"/>
  <c r="Q32" i="139"/>
  <c r="Q10" i="139"/>
  <c r="Q54" i="139"/>
  <c r="Q14" i="139"/>
  <c r="Q16" i="139"/>
  <c r="Q37" i="139"/>
  <c r="Q23" i="139"/>
  <c r="Q49" i="139"/>
  <c r="Q31" i="139"/>
  <c r="Q50" i="139"/>
  <c r="Q47" i="139"/>
  <c r="Q43" i="139"/>
  <c r="Q59" i="139"/>
  <c r="Q34" i="139"/>
  <c r="Q60" i="139"/>
  <c r="Q42" i="139"/>
  <c r="Q44" i="139"/>
  <c r="Q35" i="139"/>
  <c r="Q30" i="139"/>
  <c r="Q29" i="139"/>
  <c r="Q51" i="139"/>
  <c r="Q12" i="139"/>
  <c r="Q33" i="139"/>
  <c r="Q46" i="139"/>
  <c r="Q26" i="139"/>
  <c r="Q24" i="139"/>
  <c r="Q56" i="138"/>
  <c r="Q39" i="138"/>
  <c r="Q55" i="138"/>
  <c r="Q23" i="138"/>
  <c r="Q32" i="138"/>
  <c r="Q33" i="138"/>
  <c r="Q18" i="138"/>
  <c r="Q26" i="138"/>
  <c r="Q12" i="138"/>
  <c r="Q15" i="138"/>
  <c r="Q31" i="138"/>
  <c r="Q10" i="138"/>
  <c r="Q7" i="138"/>
  <c r="Q40" i="138"/>
  <c r="Q17" i="138"/>
  <c r="Q22" i="138"/>
  <c r="Q24" i="138"/>
  <c r="Q36" i="138"/>
  <c r="Q14" i="138"/>
  <c r="Q48" i="138"/>
  <c r="Q28" i="138"/>
  <c r="Q35" i="138"/>
  <c r="Q9" i="138"/>
  <c r="Q27" i="138"/>
  <c r="Q41" i="138"/>
  <c r="Q57" i="138"/>
  <c r="Q50" i="138"/>
  <c r="Q34" i="138"/>
  <c r="Q62" i="138"/>
  <c r="Q21" i="138"/>
  <c r="Q13" i="138"/>
  <c r="Q37" i="138"/>
  <c r="Q60" i="138"/>
  <c r="Q52" i="138"/>
  <c r="Q45" i="138"/>
  <c r="Q19" i="138"/>
  <c r="Q58" i="138"/>
  <c r="Q29" i="138"/>
  <c r="Q11" i="138"/>
  <c r="Q47" i="138"/>
  <c r="Q43" i="138"/>
  <c r="Q53" i="138"/>
  <c r="Q20" i="138"/>
  <c r="Q30" i="138"/>
  <c r="Q59" i="138"/>
  <c r="Q44" i="138"/>
  <c r="Q61" i="138"/>
  <c r="Q54" i="138"/>
  <c r="Q51" i="138"/>
  <c r="Q49" i="138"/>
  <c r="Q16" i="138"/>
  <c r="Q25" i="138"/>
  <c r="Q8" i="138"/>
  <c r="Q42" i="138"/>
  <c r="Q38" i="138"/>
  <c r="Q18" i="137"/>
  <c r="Q21" i="137"/>
  <c r="Q36" i="137"/>
  <c r="Q43" i="137"/>
  <c r="Q59" i="137"/>
  <c r="Q13" i="137"/>
  <c r="Q14" i="137"/>
  <c r="Q52" i="137"/>
  <c r="Q34" i="137"/>
  <c r="Q12" i="137"/>
  <c r="Q19" i="137"/>
  <c r="Q61" i="137"/>
  <c r="Q46" i="137"/>
  <c r="Q37" i="137"/>
  <c r="Q32" i="137"/>
  <c r="Q9" i="137"/>
  <c r="Q53" i="137"/>
  <c r="Q62" i="137"/>
  <c r="Q50" i="137"/>
  <c r="Q39" i="137"/>
  <c r="Q23" i="137"/>
  <c r="Q38" i="137"/>
  <c r="Q41" i="137"/>
  <c r="Q20" i="137"/>
  <c r="Q11" i="137"/>
  <c r="Q45" i="137"/>
  <c r="Q28" i="137"/>
  <c r="Q27" i="137"/>
  <c r="Q42" i="137"/>
  <c r="Q30" i="137"/>
  <c r="Q26" i="137"/>
  <c r="Q49" i="137"/>
  <c r="Q16" i="137"/>
  <c r="Q58" i="137"/>
  <c r="Q17" i="137"/>
  <c r="Q54" i="137"/>
  <c r="Q25" i="137"/>
  <c r="Q22" i="137"/>
  <c r="Q10" i="137"/>
  <c r="Q51" i="137"/>
  <c r="Q44" i="137"/>
  <c r="Q47" i="137"/>
  <c r="Q7" i="137"/>
  <c r="Q8" i="137"/>
  <c r="Q33" i="137"/>
  <c r="Q35" i="137"/>
  <c r="Q31" i="137"/>
  <c r="Q29" i="137"/>
  <c r="Q57" i="137"/>
  <c r="Q40" i="137"/>
  <c r="Q15" i="137"/>
  <c r="Q24" i="137"/>
  <c r="Q48" i="137"/>
  <c r="Q56" i="137"/>
  <c r="Q55" i="137"/>
  <c r="Q46" i="136"/>
  <c r="Q47" i="136"/>
  <c r="Q38" i="136"/>
  <c r="Q44" i="136"/>
  <c r="Q48" i="136"/>
  <c r="Q33" i="136"/>
  <c r="Q64" i="136"/>
  <c r="Q55" i="136"/>
  <c r="Q39" i="136"/>
  <c r="Q22" i="136"/>
  <c r="Q20" i="136"/>
  <c r="Q17" i="136"/>
  <c r="Q51" i="136"/>
  <c r="Q35" i="136"/>
  <c r="Q57" i="136"/>
  <c r="Q26" i="136"/>
  <c r="Q42" i="136"/>
  <c r="Q50" i="136"/>
  <c r="Q56" i="136"/>
  <c r="Q45" i="136"/>
  <c r="Q30" i="136"/>
  <c r="Q29" i="136"/>
  <c r="Q58" i="136"/>
  <c r="Q63" i="136"/>
  <c r="Q25" i="136"/>
  <c r="Q41" i="136"/>
  <c r="Q10" i="136"/>
  <c r="Q37" i="136"/>
  <c r="Q27" i="136"/>
  <c r="Q40" i="136"/>
  <c r="Q31" i="136"/>
  <c r="Q60" i="136"/>
  <c r="Q53" i="136"/>
  <c r="Q28" i="136"/>
  <c r="Q49" i="136"/>
  <c r="Q61" i="136"/>
  <c r="Q8" i="136"/>
  <c r="Q24" i="136"/>
  <c r="Q19" i="136"/>
  <c r="Q14" i="136"/>
  <c r="Q18" i="136"/>
  <c r="Q36" i="136"/>
  <c r="Q62" i="136"/>
  <c r="Q7" i="136"/>
  <c r="Q9" i="136"/>
  <c r="Q52" i="136"/>
  <c r="Q66" i="136"/>
  <c r="Q43" i="136"/>
  <c r="Q65" i="136"/>
  <c r="Q23" i="136"/>
  <c r="Q54" i="136"/>
  <c r="Q16" i="136"/>
  <c r="Q11" i="136"/>
  <c r="Q34" i="136"/>
  <c r="Q15" i="136"/>
  <c r="Q59" i="136"/>
  <c r="Q12" i="136"/>
  <c r="Q32" i="136"/>
  <c r="Q21" i="136"/>
  <c r="Q27" i="135"/>
  <c r="Q13" i="135"/>
  <c r="Q47" i="135"/>
  <c r="Q30" i="135"/>
  <c r="Q12" i="135"/>
  <c r="Q26" i="135"/>
  <c r="Q40" i="135"/>
  <c r="Q33" i="135"/>
  <c r="Q56" i="135"/>
  <c r="Q48" i="135"/>
  <c r="Q62" i="135"/>
  <c r="Q9" i="135"/>
  <c r="Q61" i="135"/>
  <c r="Q58" i="135"/>
  <c r="Q57" i="135"/>
  <c r="Q52" i="135"/>
  <c r="Q29" i="135"/>
  <c r="Q11" i="135"/>
  <c r="Q46" i="135"/>
  <c r="Q55" i="135"/>
  <c r="Q24" i="135"/>
  <c r="Q66" i="135"/>
  <c r="Q45" i="135"/>
  <c r="Q22" i="135"/>
  <c r="Q8" i="135"/>
  <c r="Q25" i="135"/>
  <c r="Q63" i="135"/>
  <c r="Q20" i="135"/>
  <c r="Q49" i="135"/>
  <c r="Q60" i="135"/>
  <c r="Q65" i="135"/>
  <c r="Q38" i="135"/>
  <c r="Q54" i="135"/>
  <c r="Q37" i="135"/>
  <c r="Q19" i="135"/>
  <c r="Q14" i="135"/>
  <c r="Q23" i="135"/>
  <c r="Q31" i="135"/>
  <c r="Q10" i="135"/>
  <c r="Q42" i="135"/>
  <c r="Q28" i="135"/>
  <c r="Q32" i="135"/>
  <c r="Q15" i="135"/>
  <c r="Q18" i="135"/>
  <c r="Q7" i="135"/>
  <c r="Q43" i="135"/>
  <c r="Q53" i="135"/>
  <c r="Q51" i="135"/>
  <c r="Q50" i="135"/>
  <c r="Q44" i="135"/>
  <c r="Q36" i="135"/>
  <c r="Q59" i="135"/>
  <c r="Q17" i="135"/>
  <c r="Q35" i="135"/>
  <c r="Q16" i="135"/>
  <c r="Q64" i="135"/>
  <c r="Q41" i="135"/>
  <c r="Q34" i="135"/>
  <c r="Q39" i="135"/>
  <c r="Q24" i="134"/>
  <c r="Q45" i="134"/>
  <c r="Q34" i="134"/>
  <c r="Q44" i="134"/>
  <c r="Q29" i="134"/>
  <c r="Q68" i="134"/>
  <c r="Q48" i="134"/>
  <c r="Q32" i="134"/>
  <c r="Q51" i="134"/>
  <c r="Q43" i="134"/>
  <c r="Q50" i="134"/>
  <c r="Q55" i="134"/>
  <c r="Q40" i="134"/>
  <c r="Q31" i="134"/>
  <c r="Q42" i="134"/>
  <c r="Q26" i="134"/>
  <c r="Q18" i="134"/>
  <c r="Q9" i="134"/>
  <c r="Q21" i="134"/>
  <c r="Q38" i="134"/>
  <c r="Q46" i="134"/>
  <c r="Q67" i="134"/>
  <c r="Q66" i="134"/>
  <c r="Q59" i="134"/>
  <c r="Q7" i="134"/>
  <c r="Q65" i="134"/>
  <c r="Q14" i="134"/>
  <c r="Q33" i="134"/>
  <c r="Q28" i="134"/>
  <c r="Q62" i="134"/>
  <c r="Q60" i="134"/>
  <c r="Q58" i="134"/>
  <c r="Q53" i="134"/>
  <c r="Q64" i="134"/>
  <c r="Q27" i="134"/>
  <c r="Q19" i="134"/>
  <c r="Q63" i="134"/>
  <c r="Q25" i="134"/>
  <c r="Q41" i="134"/>
  <c r="Q22" i="134"/>
  <c r="Q17" i="134"/>
  <c r="Q37" i="134"/>
  <c r="Q49" i="134"/>
  <c r="Q61" i="134"/>
  <c r="Q23" i="134"/>
  <c r="Q39" i="134"/>
  <c r="Q47" i="134"/>
  <c r="Q12" i="134"/>
  <c r="Q35" i="134"/>
  <c r="Q13" i="134"/>
  <c r="Q10" i="134"/>
  <c r="Q8" i="134"/>
  <c r="Q54" i="134"/>
  <c r="Q11" i="134"/>
  <c r="Q20" i="134"/>
  <c r="Q57" i="134"/>
  <c r="Q52" i="134"/>
  <c r="Q36" i="134"/>
  <c r="Q15" i="134"/>
  <c r="Q30" i="134"/>
  <c r="Q16" i="134"/>
  <c r="Q56" i="134"/>
  <c r="Q12" i="133"/>
  <c r="Q67" i="133"/>
  <c r="Q49" i="133"/>
  <c r="Q17" i="133"/>
  <c r="Q23" i="133"/>
  <c r="Q44" i="133"/>
  <c r="Q38" i="133"/>
  <c r="Q21" i="133"/>
  <c r="Q10" i="133"/>
  <c r="Q7" i="133"/>
  <c r="Q9" i="133"/>
  <c r="Q25" i="133"/>
  <c r="Q61" i="133"/>
  <c r="Q60" i="133"/>
  <c r="Q66" i="133"/>
  <c r="Q33" i="133"/>
  <c r="Q18" i="133"/>
  <c r="Q16" i="133"/>
  <c r="Q28" i="133"/>
  <c r="Q47" i="133"/>
  <c r="Q46" i="133"/>
  <c r="Q15" i="133"/>
  <c r="Q20" i="133"/>
  <c r="Q53" i="133"/>
  <c r="Q27" i="133"/>
  <c r="Q26" i="133"/>
  <c r="Q65" i="133"/>
  <c r="Q64" i="133"/>
  <c r="Q30" i="133"/>
  <c r="Q11" i="133"/>
  <c r="Q42" i="133"/>
  <c r="Q19" i="133"/>
  <c r="Q29" i="133"/>
  <c r="Q13" i="133"/>
  <c r="Q40" i="133"/>
  <c r="Q58" i="133"/>
  <c r="Q31" i="133"/>
  <c r="Q62" i="133"/>
  <c r="Q50" i="133"/>
  <c r="Q52" i="133"/>
  <c r="Q51" i="133"/>
  <c r="Q8" i="133"/>
  <c r="Q37" i="133"/>
  <c r="Q39" i="133"/>
  <c r="Q22" i="133"/>
  <c r="Q35" i="133"/>
  <c r="Q14" i="133"/>
  <c r="Q55" i="133"/>
  <c r="Q56" i="133"/>
  <c r="Q63" i="133"/>
  <c r="Q57" i="133"/>
  <c r="Q36" i="133"/>
  <c r="Q45" i="133"/>
  <c r="Q41" i="133"/>
  <c r="Q32" i="133"/>
  <c r="Q34" i="133"/>
  <c r="Q59" i="133"/>
  <c r="Q54" i="133"/>
  <c r="Q24" i="133"/>
  <c r="Q48" i="133"/>
  <c r="Q28" i="132"/>
  <c r="Q51" i="132"/>
  <c r="Q34" i="132"/>
  <c r="Q16" i="132"/>
  <c r="Q21" i="132"/>
  <c r="Q36" i="132"/>
  <c r="Q58" i="132"/>
  <c r="Q49" i="132"/>
  <c r="Q66" i="132"/>
  <c r="Q13" i="132"/>
  <c r="Q41" i="132"/>
  <c r="Q45" i="132"/>
  <c r="Q54" i="132"/>
  <c r="Q31" i="132"/>
  <c r="Q11" i="132"/>
  <c r="Q42" i="132"/>
  <c r="Q9" i="132"/>
  <c r="Q37" i="132"/>
  <c r="Q39" i="132"/>
  <c r="Q32" i="132"/>
  <c r="Q33" i="132"/>
  <c r="Q30" i="132"/>
  <c r="Q40" i="132"/>
  <c r="Q24" i="132"/>
  <c r="Q53" i="132"/>
  <c r="Q48" i="132"/>
  <c r="Q20" i="132"/>
  <c r="Q56" i="132"/>
  <c r="Q19" i="132"/>
  <c r="Q8" i="132"/>
  <c r="Q50" i="132"/>
  <c r="Q18" i="132"/>
  <c r="Q52" i="132"/>
  <c r="Q7" i="132"/>
  <c r="Q64" i="132"/>
  <c r="Q60" i="132"/>
  <c r="Q12" i="132"/>
  <c r="Q14" i="132"/>
  <c r="Q35" i="132"/>
  <c r="Q10" i="132"/>
  <c r="Q44" i="132"/>
  <c r="Q25" i="132"/>
  <c r="Q61" i="132"/>
  <c r="Q27" i="132"/>
  <c r="Q65" i="132"/>
  <c r="Q29" i="132"/>
  <c r="Q63" i="132"/>
  <c r="Q15" i="132"/>
  <c r="Q47" i="132"/>
  <c r="Q55" i="132"/>
  <c r="Q23" i="132"/>
  <c r="Q38" i="132"/>
  <c r="Q26" i="132"/>
  <c r="Q43" i="132"/>
  <c r="Q62" i="132"/>
  <c r="Q57" i="132"/>
  <c r="Q22" i="132"/>
  <c r="Q59" i="132"/>
  <c r="Q46" i="132"/>
  <c r="Q17" i="132"/>
  <c r="Q22" i="131"/>
  <c r="Q39" i="131"/>
  <c r="Q20" i="131"/>
  <c r="Q24" i="131"/>
  <c r="Q17" i="131"/>
  <c r="Q35" i="131"/>
  <c r="Q8" i="131"/>
  <c r="Q43" i="131"/>
  <c r="Q25" i="131"/>
  <c r="Q38" i="131"/>
  <c r="Q52" i="131"/>
  <c r="Q23" i="131"/>
  <c r="Q51" i="131"/>
  <c r="Q54" i="131"/>
  <c r="Q58" i="131"/>
  <c r="Q31" i="131"/>
  <c r="Q37" i="131"/>
  <c r="Q47" i="131"/>
  <c r="Q48" i="131"/>
  <c r="Q60" i="131"/>
  <c r="Q30" i="131"/>
  <c r="Q45" i="131"/>
  <c r="Q29" i="131"/>
  <c r="Q16" i="131"/>
  <c r="Q53" i="131"/>
  <c r="Q13" i="131"/>
  <c r="Q61" i="131"/>
  <c r="Q10" i="131"/>
  <c r="Q11" i="131"/>
  <c r="Q41" i="131"/>
  <c r="Q12" i="131"/>
  <c r="Q26" i="131"/>
  <c r="Q15" i="131"/>
  <c r="Q18" i="131"/>
  <c r="Q40" i="131"/>
  <c r="Q44" i="131"/>
  <c r="Q34" i="131"/>
  <c r="Q9" i="131"/>
  <c r="Q7" i="131"/>
  <c r="Q46" i="131"/>
  <c r="Q50" i="131"/>
  <c r="Q28" i="131"/>
  <c r="Q57" i="131"/>
  <c r="Q42" i="131"/>
  <c r="Q49" i="131"/>
  <c r="Q56" i="131"/>
  <c r="Q55" i="131"/>
  <c r="Q36" i="131"/>
  <c r="Q21" i="131"/>
  <c r="Q59" i="131"/>
  <c r="Q19" i="131"/>
  <c r="Q14" i="131"/>
  <c r="Q32" i="131"/>
  <c r="Q27" i="131"/>
  <c r="Q18" i="130"/>
  <c r="Q9" i="130"/>
  <c r="Q12" i="130"/>
  <c r="Q47" i="130"/>
  <c r="Q42" i="130"/>
  <c r="Q60" i="130"/>
  <c r="Q43" i="130"/>
  <c r="Q40" i="130"/>
  <c r="Q28" i="130"/>
  <c r="Q55" i="130"/>
  <c r="Q41" i="130"/>
  <c r="Q26" i="130"/>
  <c r="Q52" i="130"/>
  <c r="Q8" i="130"/>
  <c r="Q32" i="130"/>
  <c r="Q34" i="130"/>
  <c r="Q16" i="130"/>
  <c r="Q54" i="130"/>
  <c r="Q29" i="130"/>
  <c r="Q49" i="130"/>
  <c r="Q44" i="130"/>
  <c r="Q50" i="130"/>
  <c r="Q22" i="130"/>
  <c r="Q25" i="130"/>
  <c r="Q10" i="130"/>
  <c r="Q23" i="130"/>
  <c r="Q33" i="130"/>
  <c r="Q14" i="130"/>
  <c r="Q17" i="130"/>
  <c r="Q21" i="130"/>
  <c r="Q59" i="130"/>
  <c r="Q58" i="130"/>
  <c r="Q57" i="130"/>
  <c r="Q39" i="130"/>
  <c r="Q46" i="130"/>
  <c r="Q27" i="130"/>
  <c r="Q56" i="130"/>
  <c r="Q36" i="130"/>
  <c r="Q11" i="130"/>
  <c r="Q45" i="130"/>
  <c r="Q20" i="130"/>
  <c r="Q31" i="130"/>
  <c r="Q30" i="130"/>
  <c r="Q24" i="130"/>
  <c r="Q51" i="130"/>
  <c r="Q48" i="130"/>
  <c r="Q35" i="130"/>
  <c r="Q37" i="130"/>
  <c r="Q38" i="130"/>
  <c r="Q13" i="130"/>
  <c r="Q19" i="130"/>
  <c r="Q53" i="130"/>
  <c r="Q7" i="130"/>
  <c r="Q11" i="129"/>
  <c r="Q17" i="129"/>
  <c r="Q16" i="129"/>
  <c r="Q14" i="129"/>
  <c r="Q40" i="129"/>
  <c r="Q54" i="129"/>
  <c r="Q36" i="129"/>
  <c r="Q22" i="129"/>
  <c r="Q55" i="129"/>
  <c r="Q34" i="129"/>
  <c r="Q20" i="129"/>
  <c r="Q41" i="129"/>
  <c r="Q10" i="129"/>
  <c r="Q32" i="129"/>
  <c r="Q18" i="129"/>
  <c r="Q48" i="129"/>
  <c r="Q24" i="129"/>
  <c r="Q13" i="129"/>
  <c r="Q42" i="129"/>
  <c r="Q35" i="129"/>
  <c r="Q44" i="129"/>
  <c r="Q21" i="129"/>
  <c r="Q26" i="129"/>
  <c r="Q47" i="129"/>
  <c r="Q45" i="129"/>
  <c r="Q31" i="129"/>
  <c r="Q8" i="129"/>
  <c r="Q53" i="129"/>
  <c r="Q7" i="129"/>
  <c r="Q43" i="129"/>
  <c r="Q57" i="129"/>
  <c r="Q51" i="129"/>
  <c r="Q29" i="129"/>
  <c r="Q9" i="129"/>
  <c r="Q39" i="129"/>
  <c r="Q27" i="129"/>
  <c r="Q30" i="129"/>
  <c r="Q59" i="129"/>
  <c r="Q52" i="129"/>
  <c r="Q37" i="129"/>
  <c r="Q25" i="129"/>
  <c r="Q49" i="129"/>
  <c r="Q38" i="129"/>
  <c r="Q56" i="129"/>
  <c r="Q58" i="129"/>
  <c r="Q19" i="129"/>
  <c r="Q46" i="129"/>
  <c r="Q28" i="129"/>
  <c r="Q15" i="129"/>
  <c r="Q50" i="129"/>
  <c r="Q23" i="129"/>
  <c r="Q33" i="129"/>
  <c r="Q60" i="129"/>
  <c r="Q57" i="128"/>
  <c r="Q54" i="128"/>
  <c r="Q32" i="128"/>
  <c r="Q10" i="128"/>
  <c r="Q18" i="128"/>
  <c r="Q50" i="128"/>
  <c r="Q36" i="128"/>
  <c r="Q9" i="128"/>
  <c r="Q45" i="128"/>
  <c r="Q22" i="128"/>
  <c r="Q16" i="128"/>
  <c r="Q24" i="128"/>
  <c r="Q26" i="128"/>
  <c r="Q55" i="128"/>
  <c r="Q25" i="128"/>
  <c r="Q60" i="128"/>
  <c r="Q27" i="128"/>
  <c r="Q13" i="128"/>
  <c r="Q49" i="128"/>
  <c r="Q43" i="128"/>
  <c r="Q37" i="128"/>
  <c r="Q17" i="128"/>
  <c r="Q41" i="128"/>
  <c r="Q21" i="128"/>
  <c r="Q12" i="128"/>
  <c r="Q34" i="128"/>
  <c r="Q48" i="128"/>
  <c r="Q52" i="128"/>
  <c r="Q39" i="128"/>
  <c r="Q58" i="128"/>
  <c r="Q20" i="128"/>
  <c r="Q59" i="128"/>
  <c r="Q47" i="128"/>
  <c r="Q33" i="128"/>
  <c r="Q23" i="128"/>
  <c r="Q29" i="128"/>
  <c r="Q51" i="128"/>
  <c r="Q40" i="128"/>
  <c r="Q15" i="128"/>
  <c r="Q56" i="128"/>
  <c r="Q30" i="128"/>
  <c r="Q53" i="128"/>
  <c r="Q7" i="128"/>
  <c r="Q44" i="128"/>
  <c r="Q11" i="128"/>
  <c r="Q38" i="128"/>
  <c r="Q14" i="128"/>
  <c r="Q19" i="128"/>
  <c r="Q42" i="128"/>
  <c r="Q35" i="128"/>
  <c r="Q28" i="128"/>
  <c r="Q31" i="128"/>
  <c r="Q8" i="128"/>
  <c r="Q38" i="127"/>
  <c r="Q55" i="127"/>
  <c r="Q65" i="127"/>
  <c r="Q18" i="127"/>
  <c r="Q64" i="127"/>
  <c r="Q26" i="127"/>
  <c r="Q35" i="127"/>
  <c r="Q52" i="127"/>
  <c r="Q45" i="127"/>
  <c r="Q57" i="127"/>
  <c r="Q20" i="127"/>
  <c r="Q63" i="127"/>
  <c r="Q29" i="127"/>
  <c r="Q58" i="127"/>
  <c r="Q53" i="127"/>
  <c r="Q43" i="127"/>
  <c r="Q54" i="127"/>
  <c r="Q30" i="127"/>
  <c r="Q40" i="127"/>
  <c r="Q19" i="127"/>
  <c r="Q28" i="127"/>
  <c r="Q14" i="127"/>
  <c r="Q22" i="127"/>
  <c r="Q27" i="127"/>
  <c r="Q62" i="127"/>
  <c r="Q21" i="127"/>
  <c r="Q41" i="127"/>
  <c r="Q46" i="127"/>
  <c r="Q44" i="127"/>
  <c r="Q9" i="127"/>
  <c r="Q8" i="127"/>
  <c r="Q61" i="127"/>
  <c r="Q31" i="127"/>
  <c r="Q32" i="127"/>
  <c r="Q50" i="127"/>
  <c r="Q59" i="127"/>
  <c r="Q47" i="127"/>
  <c r="Q13" i="127"/>
  <c r="Q56" i="127"/>
  <c r="Q34" i="127"/>
  <c r="Q16" i="127"/>
  <c r="Q10" i="127"/>
  <c r="Q49" i="127"/>
  <c r="Q33" i="127"/>
  <c r="Q48" i="127"/>
  <c r="Q25" i="127"/>
  <c r="Q7" i="127"/>
  <c r="Q42" i="127"/>
  <c r="Q15" i="127"/>
  <c r="Q36" i="127"/>
  <c r="Q37" i="127"/>
  <c r="Q17" i="127"/>
  <c r="Q23" i="127"/>
  <c r="Q60" i="127"/>
  <c r="Q24" i="127"/>
  <c r="Q51" i="127"/>
  <c r="Q11" i="127"/>
  <c r="Q12" i="127"/>
  <c r="P45" i="126"/>
  <c r="P13" i="126"/>
  <c r="P11" i="126"/>
  <c r="P29" i="126"/>
  <c r="P34" i="126"/>
  <c r="P15" i="126"/>
  <c r="P22" i="126"/>
  <c r="P20" i="126"/>
  <c r="P23" i="126"/>
  <c r="P39" i="126"/>
  <c r="P12" i="126"/>
  <c r="P8" i="126"/>
  <c r="P30" i="126"/>
  <c r="P7" i="126"/>
  <c r="P44" i="126"/>
  <c r="P9" i="126"/>
  <c r="P26" i="126"/>
  <c r="P32" i="126"/>
  <c r="P14" i="126"/>
  <c r="P40" i="126"/>
  <c r="P27" i="126"/>
  <c r="P24" i="126"/>
  <c r="P10" i="126"/>
  <c r="P35" i="126"/>
  <c r="P17" i="126"/>
  <c r="P38" i="126"/>
  <c r="P43" i="126"/>
  <c r="P28" i="126"/>
  <c r="P36" i="126"/>
  <c r="P37" i="126"/>
  <c r="P42" i="126"/>
  <c r="P16" i="126"/>
  <c r="P31" i="126"/>
  <c r="P19" i="126"/>
  <c r="P33" i="126"/>
  <c r="P25" i="126"/>
  <c r="P18" i="126"/>
  <c r="P41" i="126"/>
  <c r="P26" i="125"/>
  <c r="P17" i="125"/>
  <c r="P35" i="125"/>
  <c r="P49" i="125"/>
  <c r="P48" i="125"/>
  <c r="P13" i="125"/>
  <c r="P30" i="125"/>
  <c r="P29" i="125"/>
  <c r="P32" i="125"/>
  <c r="P37" i="125"/>
  <c r="P43" i="125"/>
  <c r="P33" i="125"/>
  <c r="P9" i="125"/>
  <c r="P7" i="125"/>
  <c r="P36" i="125"/>
  <c r="P12" i="125"/>
  <c r="P28" i="125"/>
  <c r="P15" i="125"/>
  <c r="P22" i="125"/>
  <c r="P19" i="125"/>
  <c r="P34" i="125"/>
  <c r="P38" i="125"/>
  <c r="P25" i="125"/>
  <c r="P44" i="125"/>
  <c r="P14" i="125"/>
  <c r="P47" i="125"/>
  <c r="P23" i="125"/>
  <c r="P42" i="125"/>
  <c r="P11" i="125"/>
  <c r="P16" i="125"/>
  <c r="P8" i="125"/>
  <c r="P18" i="125"/>
  <c r="P46" i="125"/>
  <c r="P10" i="125"/>
  <c r="P20" i="125"/>
  <c r="P45" i="125"/>
  <c r="P27" i="125"/>
  <c r="P31" i="125"/>
  <c r="P21" i="125"/>
  <c r="P40" i="125"/>
  <c r="P41" i="125"/>
  <c r="P24" i="125"/>
</calcChain>
</file>

<file path=xl/sharedStrings.xml><?xml version="1.0" encoding="utf-8"?>
<sst xmlns="http://schemas.openxmlformats.org/spreadsheetml/2006/main" count="10629" uniqueCount="5339">
  <si>
    <t>مبادئ الفقيه</t>
  </si>
  <si>
    <t>رابطة الحروف</t>
  </si>
  <si>
    <t>اللغة العربية</t>
  </si>
  <si>
    <t>إملاء</t>
  </si>
  <si>
    <t>الديانة</t>
  </si>
  <si>
    <t>هداية الصبيان</t>
  </si>
  <si>
    <t>عقيدة العوام</t>
  </si>
  <si>
    <t>مبادئ الفقه</t>
  </si>
  <si>
    <t>عقيدة التوحيد</t>
  </si>
  <si>
    <t>تحفة الاطفال</t>
  </si>
  <si>
    <t>خلاصة نور اليقين</t>
  </si>
  <si>
    <t>خريدة البهية</t>
  </si>
  <si>
    <t>هداية المستفيد</t>
  </si>
  <si>
    <t>جواهر الكلامية</t>
  </si>
  <si>
    <t>التصريف</t>
  </si>
  <si>
    <t>مختصر جدا</t>
  </si>
  <si>
    <t xml:space="preserve">فتح القريب </t>
  </si>
  <si>
    <t>قطر الغيث</t>
  </si>
  <si>
    <t>الامثلة التصريفية</t>
  </si>
  <si>
    <t>القواعد الإعلال</t>
  </si>
  <si>
    <t>الاربعين النووية</t>
  </si>
  <si>
    <t>نظم العوامل</t>
  </si>
  <si>
    <t>كفاية العوام</t>
  </si>
  <si>
    <t>شرح الورقات</t>
  </si>
  <si>
    <t>قاعدة الكيلاني عزي</t>
  </si>
  <si>
    <t>تسهيل نيل المعاني</t>
  </si>
  <si>
    <t>بلوغ المرام</t>
  </si>
  <si>
    <t>نظم العريطى</t>
  </si>
  <si>
    <t>تفسير الجلالين</t>
  </si>
  <si>
    <t>شرح ام البراهين</t>
  </si>
  <si>
    <t>قرة العين</t>
  </si>
  <si>
    <t>رسالة أهل السنة</t>
  </si>
  <si>
    <t>الخلفاء الراشدون</t>
  </si>
  <si>
    <t>الكواكب الدرية</t>
  </si>
  <si>
    <t>منحة المغيث</t>
  </si>
  <si>
    <t>لتبيان فى علوم القران</t>
  </si>
  <si>
    <t>علم الفرائض</t>
  </si>
  <si>
    <t>نظم المقصود</t>
  </si>
  <si>
    <t>فرائد البهية</t>
  </si>
  <si>
    <t>ستين مسئلة</t>
  </si>
  <si>
    <t>إيضاح المبهم</t>
  </si>
  <si>
    <t>NO</t>
  </si>
  <si>
    <t>NOPES</t>
  </si>
  <si>
    <t>NIS</t>
  </si>
  <si>
    <t>NAMA</t>
  </si>
  <si>
    <t>ASR</t>
  </si>
  <si>
    <t>KLS</t>
  </si>
  <si>
    <t>RUANG</t>
  </si>
  <si>
    <t>فصلاتان</t>
  </si>
  <si>
    <t>النّظام</t>
  </si>
  <si>
    <t>لغة المندوريّة</t>
  </si>
  <si>
    <t>فراائد البهية</t>
  </si>
  <si>
    <t>متممة الأجرومية</t>
  </si>
  <si>
    <t>MADRASAH DINIYAH TAKMILIYAH (MDT) MIFTAHUL ULUM</t>
  </si>
  <si>
    <t>TAHUN PELAJARAN 1447 - 1448 H.</t>
  </si>
  <si>
    <t>A02</t>
  </si>
  <si>
    <t>A05</t>
  </si>
  <si>
    <t>A06</t>
  </si>
  <si>
    <t>B01</t>
  </si>
  <si>
    <t>B02</t>
  </si>
  <si>
    <t>B03</t>
  </si>
  <si>
    <t>B04</t>
  </si>
  <si>
    <t>C01</t>
  </si>
  <si>
    <t>D02</t>
  </si>
  <si>
    <t>D04</t>
  </si>
  <si>
    <t>E02</t>
  </si>
  <si>
    <t>E04</t>
  </si>
  <si>
    <t>F01</t>
  </si>
  <si>
    <t>F05</t>
  </si>
  <si>
    <t>A01</t>
  </si>
  <si>
    <t>A04</t>
  </si>
  <si>
    <t>A07</t>
  </si>
  <si>
    <t>A08</t>
  </si>
  <si>
    <t>C04</t>
  </si>
  <si>
    <t>D03</t>
  </si>
  <si>
    <t>F03</t>
  </si>
  <si>
    <t>F04</t>
  </si>
  <si>
    <t>C05</t>
  </si>
  <si>
    <t>D05</t>
  </si>
  <si>
    <t>A03</t>
  </si>
  <si>
    <t>C02</t>
  </si>
  <si>
    <t>C03</t>
  </si>
  <si>
    <t>E03</t>
  </si>
  <si>
    <t>Izzah Afkarina</t>
  </si>
  <si>
    <t>D01</t>
  </si>
  <si>
    <t>F06</t>
  </si>
  <si>
    <t>Khusnul Khotimah</t>
  </si>
  <si>
    <t>Wardatus Sholeha</t>
  </si>
  <si>
    <t>D07</t>
  </si>
  <si>
    <t>Siti Aisyah</t>
  </si>
  <si>
    <t>D06</t>
  </si>
  <si>
    <t>Qurrotul Uyun</t>
  </si>
  <si>
    <t>Hikmatul Karimah</t>
  </si>
  <si>
    <t>Wardatul Jannah</t>
  </si>
  <si>
    <t>Uswatun Hasanah</t>
  </si>
  <si>
    <t>01</t>
  </si>
  <si>
    <t>02</t>
  </si>
  <si>
    <t>03</t>
  </si>
  <si>
    <t>04</t>
  </si>
  <si>
    <t>05</t>
  </si>
  <si>
    <t>06</t>
  </si>
  <si>
    <t>07</t>
  </si>
  <si>
    <t>08</t>
  </si>
  <si>
    <t>321250504</t>
  </si>
  <si>
    <t>09001</t>
  </si>
  <si>
    <t>3719824</t>
  </si>
  <si>
    <t>Zianatul Milla</t>
  </si>
  <si>
    <t>III C MDTW</t>
  </si>
  <si>
    <t>09002</t>
  </si>
  <si>
    <t>Muhibbatul Hasanah</t>
  </si>
  <si>
    <t>09003</t>
  </si>
  <si>
    <t>4032040</t>
  </si>
  <si>
    <t>Safira Mujahida Diniya Azkiya</t>
  </si>
  <si>
    <t>09004</t>
  </si>
  <si>
    <t>Puspita Sari</t>
  </si>
  <si>
    <t>09005</t>
  </si>
  <si>
    <t>3932261</t>
  </si>
  <si>
    <t>Rika Fyrnanda</t>
  </si>
  <si>
    <t>09006</t>
  </si>
  <si>
    <t>321240397</t>
  </si>
  <si>
    <t>Annisa Putri Nur Rohman</t>
  </si>
  <si>
    <t>09007</t>
  </si>
  <si>
    <t>321240398</t>
  </si>
  <si>
    <t>09008</t>
  </si>
  <si>
    <t>321240393</t>
  </si>
  <si>
    <t>Natasya Nada Habibah</t>
  </si>
  <si>
    <t>09009</t>
  </si>
  <si>
    <t>321240394</t>
  </si>
  <si>
    <t>Irma Wildaniyah</t>
  </si>
  <si>
    <t>09010</t>
  </si>
  <si>
    <t>321240510</t>
  </si>
  <si>
    <t>Nailatul Hikmah</t>
  </si>
  <si>
    <t>09011</t>
  </si>
  <si>
    <t>321240514</t>
  </si>
  <si>
    <t>Lu'Luul Mahmudah</t>
  </si>
  <si>
    <t>09012</t>
  </si>
  <si>
    <t>321240517</t>
  </si>
  <si>
    <t>Divayatul Adimah</t>
  </si>
  <si>
    <t>09013</t>
  </si>
  <si>
    <t>321250501</t>
  </si>
  <si>
    <t>Uyun Husnul Hidayah</t>
  </si>
  <si>
    <t>09014</t>
  </si>
  <si>
    <t>321240399</t>
  </si>
  <si>
    <t>Nur Halimatus Sakdiyeh</t>
  </si>
  <si>
    <t>09015</t>
  </si>
  <si>
    <t>321240529</t>
  </si>
  <si>
    <t>Siti Lailatul Masruroh</t>
  </si>
  <si>
    <t>09016</t>
  </si>
  <si>
    <t>321240525</t>
  </si>
  <si>
    <t>Nurul Lailatul Lutfiyah</t>
  </si>
  <si>
    <t>09017</t>
  </si>
  <si>
    <t>321240405</t>
  </si>
  <si>
    <t>09018</t>
  </si>
  <si>
    <t>321240385</t>
  </si>
  <si>
    <t>Ahlul Mufi</t>
  </si>
  <si>
    <t>09019</t>
  </si>
  <si>
    <t>321240533</t>
  </si>
  <si>
    <t>Musrifatul Jannah</t>
  </si>
  <si>
    <t>09020</t>
  </si>
  <si>
    <t>321240406</t>
  </si>
  <si>
    <t>Yusro Lana Putri</t>
  </si>
  <si>
    <t>09021</t>
  </si>
  <si>
    <t>321240414</t>
  </si>
  <si>
    <t>Ariza Maimunah</t>
  </si>
  <si>
    <t>09022</t>
  </si>
  <si>
    <t>321240538</t>
  </si>
  <si>
    <t>Sinta Nur Aini</t>
  </si>
  <si>
    <t>09023</t>
  </si>
  <si>
    <t>321240411</t>
  </si>
  <si>
    <t>Adinda Suci Rahmawati</t>
  </si>
  <si>
    <t>09024</t>
  </si>
  <si>
    <t>321240542</t>
  </si>
  <si>
    <t>Fatma Nailatur Rohmah</t>
  </si>
  <si>
    <t>09025</t>
  </si>
  <si>
    <t>321240413</t>
  </si>
  <si>
    <t>Fariska Widya Anggraeni</t>
  </si>
  <si>
    <t>09026</t>
  </si>
  <si>
    <t>321240419</t>
  </si>
  <si>
    <t>Khofifatur Rohmah</t>
  </si>
  <si>
    <t>09027</t>
  </si>
  <si>
    <t>321240416</t>
  </si>
  <si>
    <t>09028</t>
  </si>
  <si>
    <t>321240421</t>
  </si>
  <si>
    <t>Ilmi Nailani Zulfi</t>
  </si>
  <si>
    <t>09029</t>
  </si>
  <si>
    <t>321240559</t>
  </si>
  <si>
    <t>Anidha Izzatun Nisa'</t>
  </si>
  <si>
    <t>09030</t>
  </si>
  <si>
    <t>321240554</t>
  </si>
  <si>
    <t>Alfiatul Nikmah</t>
  </si>
  <si>
    <t>09031</t>
  </si>
  <si>
    <t>321240437</t>
  </si>
  <si>
    <t>Annida Al Humairoh</t>
  </si>
  <si>
    <t>09032</t>
  </si>
  <si>
    <t>321240432</t>
  </si>
  <si>
    <t>Diah Ayu Fitri Octavia</t>
  </si>
  <si>
    <t>09033</t>
  </si>
  <si>
    <t>321240428</t>
  </si>
  <si>
    <t>09034</t>
  </si>
  <si>
    <t>321240434</t>
  </si>
  <si>
    <t>Luluk Mukarromah</t>
  </si>
  <si>
    <t>09035</t>
  </si>
  <si>
    <t>321240440</t>
  </si>
  <si>
    <t>Hima Nuria Sabila</t>
  </si>
  <si>
    <t>09036</t>
  </si>
  <si>
    <t>321240563</t>
  </si>
  <si>
    <t>Rahmatul Hijjah</t>
  </si>
  <si>
    <t>09037</t>
  </si>
  <si>
    <t>321240438</t>
  </si>
  <si>
    <t>Izzatus Sholiha</t>
  </si>
  <si>
    <t>09038</t>
  </si>
  <si>
    <t>321240443</t>
  </si>
  <si>
    <t>Rizka Maulida</t>
  </si>
  <si>
    <t>09039</t>
  </si>
  <si>
    <t>321240444</t>
  </si>
  <si>
    <t>Nandita Fayrus Aprilia</t>
  </si>
  <si>
    <t>09040</t>
  </si>
  <si>
    <t>321240568</t>
  </si>
  <si>
    <t>09041</t>
  </si>
  <si>
    <t>321240445</t>
  </si>
  <si>
    <t>Nurul Hakimah</t>
  </si>
  <si>
    <t>09042</t>
  </si>
  <si>
    <t>09043</t>
  </si>
  <si>
    <t>Fikri Hanik</t>
  </si>
  <si>
    <t>09044</t>
  </si>
  <si>
    <t>321240447</t>
  </si>
  <si>
    <t>Adelia Putri</t>
  </si>
  <si>
    <t>09045</t>
  </si>
  <si>
    <t>321240449</t>
  </si>
  <si>
    <t>09046</t>
  </si>
  <si>
    <t>Siti Alisa Mabruroh</t>
  </si>
  <si>
    <t>09047</t>
  </si>
  <si>
    <t>321240570</t>
  </si>
  <si>
    <t>Wardatul Maulida</t>
  </si>
  <si>
    <t>09048</t>
  </si>
  <si>
    <t>321240452</t>
  </si>
  <si>
    <t>Henslyn Angelliena</t>
  </si>
  <si>
    <t>09049</t>
  </si>
  <si>
    <t>321240575</t>
  </si>
  <si>
    <t>Ulifia Fikrina</t>
  </si>
  <si>
    <t>09050</t>
  </si>
  <si>
    <t>321240579</t>
  </si>
  <si>
    <t>Lailiatun Nafilah</t>
  </si>
  <si>
    <t>09051</t>
  </si>
  <si>
    <t>321240581</t>
  </si>
  <si>
    <t>Afika Ainurrohmah</t>
  </si>
  <si>
    <t>09052</t>
  </si>
  <si>
    <t>321240577</t>
  </si>
  <si>
    <t>Fahira Zelsabila</t>
  </si>
  <si>
    <t>09053</t>
  </si>
  <si>
    <t>321240586</t>
  </si>
  <si>
    <t>Isvinatul Husna</t>
  </si>
  <si>
    <t>09054</t>
  </si>
  <si>
    <t>321240582</t>
  </si>
  <si>
    <t>Tantra Amelia Efendi</t>
  </si>
  <si>
    <t>09055</t>
  </si>
  <si>
    <t>321240587</t>
  </si>
  <si>
    <t>Zakia Faradilah</t>
  </si>
  <si>
    <t>09056</t>
  </si>
  <si>
    <t>321240463</t>
  </si>
  <si>
    <t>Anisa Nur Sila Rohma</t>
  </si>
  <si>
    <t>09057</t>
  </si>
  <si>
    <t>321240465</t>
  </si>
  <si>
    <t>Iska</t>
  </si>
  <si>
    <t>09058</t>
  </si>
  <si>
    <t>321240591</t>
  </si>
  <si>
    <t>Nor Azizatus Zulfa</t>
  </si>
  <si>
    <t>09059</t>
  </si>
  <si>
    <t>321240592</t>
  </si>
  <si>
    <t>Nadifatul Mukaromah</t>
  </si>
  <si>
    <t>PM</t>
  </si>
  <si>
    <t>09060</t>
  </si>
  <si>
    <t>321240595</t>
  </si>
  <si>
    <t>Winda Nur Afifah</t>
  </si>
  <si>
    <t>09061</t>
  </si>
  <si>
    <t>321240471</t>
  </si>
  <si>
    <t>Nurul Hotija</t>
  </si>
  <si>
    <t>09062</t>
  </si>
  <si>
    <t>321250505</t>
  </si>
  <si>
    <t>Muniayatus Zahro</t>
  </si>
  <si>
    <t>09063</t>
  </si>
  <si>
    <t>321240473</t>
  </si>
  <si>
    <t>Nafilatul Mubarokah</t>
  </si>
  <si>
    <t>09064</t>
  </si>
  <si>
    <t>321240472</t>
  </si>
  <si>
    <t>09065</t>
  </si>
  <si>
    <t>321240470</t>
  </si>
  <si>
    <t>Nurizza Amalia</t>
  </si>
  <si>
    <t>09066</t>
  </si>
  <si>
    <t>321240474</t>
  </si>
  <si>
    <t>Putri Nisyatul Karimah</t>
  </si>
  <si>
    <t>09067</t>
  </si>
  <si>
    <t>321240605</t>
  </si>
  <si>
    <t>Risqiatus Sholeha</t>
  </si>
  <si>
    <t>09068</t>
  </si>
  <si>
    <t>321240604</t>
  </si>
  <si>
    <t>Putri Rara Kartika</t>
  </si>
  <si>
    <t>09069</t>
  </si>
  <si>
    <t>321240607</t>
  </si>
  <si>
    <t>Habibah</t>
  </si>
  <si>
    <t>09070</t>
  </si>
  <si>
    <t>321240479</t>
  </si>
  <si>
    <t>Sofiatul Jannah</t>
  </si>
  <si>
    <t>09071</t>
  </si>
  <si>
    <t>321240480</t>
  </si>
  <si>
    <t>Azizah Putri Maulidiyah</t>
  </si>
  <si>
    <t>09072</t>
  </si>
  <si>
    <t>321240482</t>
  </si>
  <si>
    <t>Wasilah Mirakonitatila</t>
  </si>
  <si>
    <t>09073</t>
  </si>
  <si>
    <t>321240485</t>
  </si>
  <si>
    <t>09074</t>
  </si>
  <si>
    <t>321240609</t>
  </si>
  <si>
    <t>Aminatus Zahro</t>
  </si>
  <si>
    <t>09075</t>
  </si>
  <si>
    <t>321240610</t>
  </si>
  <si>
    <t>Dewi Hardiyanti</t>
  </si>
  <si>
    <t>09076</t>
  </si>
  <si>
    <t>321240490</t>
  </si>
  <si>
    <t>Khoirun Nisa</t>
  </si>
  <si>
    <t>09077</t>
  </si>
  <si>
    <t>321240613</t>
  </si>
  <si>
    <t>Wardah Nadzifatul Labib</t>
  </si>
  <si>
    <t>09078</t>
  </si>
  <si>
    <t>321240614</t>
  </si>
  <si>
    <t>Maulidya Fitri</t>
  </si>
  <si>
    <t>09079</t>
  </si>
  <si>
    <t>321240615</t>
  </si>
  <si>
    <t>Silfiyani Rusyadi</t>
  </si>
  <si>
    <t>09080</t>
  </si>
  <si>
    <t>321240497</t>
  </si>
  <si>
    <t>Zahrotul Wardah</t>
  </si>
  <si>
    <t>09081</t>
  </si>
  <si>
    <t>321240621</t>
  </si>
  <si>
    <t>Siska Sutriani</t>
  </si>
  <si>
    <t>09082</t>
  </si>
  <si>
    <t>Ulil Magfiroh</t>
  </si>
  <si>
    <t>09083</t>
  </si>
  <si>
    <t>3931964</t>
  </si>
  <si>
    <t>Ika Afifatu Toyyibah</t>
  </si>
  <si>
    <t>00001</t>
  </si>
  <si>
    <t>Hastin Sofiana</t>
  </si>
  <si>
    <t>SIFIR F</t>
  </si>
  <si>
    <t>00002</t>
  </si>
  <si>
    <t>Atika Hikmatus Soleha</t>
  </si>
  <si>
    <t>00003</t>
  </si>
  <si>
    <t>Warda</t>
  </si>
  <si>
    <t>00004</t>
  </si>
  <si>
    <t>Afriza Putri</t>
  </si>
  <si>
    <t>00005</t>
  </si>
  <si>
    <t>Farah Nur Fitria</t>
  </si>
  <si>
    <t>00006</t>
  </si>
  <si>
    <t>Syarifah Aulia Ainur Rohmah</t>
  </si>
  <si>
    <t>F02</t>
  </si>
  <si>
    <t>00007</t>
  </si>
  <si>
    <t>Siti Nur Aini</t>
  </si>
  <si>
    <t>00008</t>
  </si>
  <si>
    <t>Arifa Fitria Ramadhani</t>
  </si>
  <si>
    <t>00009</t>
  </si>
  <si>
    <t>Wilda Fauziyah</t>
  </si>
  <si>
    <t>00010</t>
  </si>
  <si>
    <t>Ika Valencia Anggraeni</t>
  </si>
  <si>
    <t>00011</t>
  </si>
  <si>
    <t>Fani Azhari Desi Azizah</t>
  </si>
  <si>
    <t>00012</t>
  </si>
  <si>
    <t>Ananda Lidya Stefanny</t>
  </si>
  <si>
    <t>00013</t>
  </si>
  <si>
    <t>Putri Roviana</t>
  </si>
  <si>
    <t>00014</t>
  </si>
  <si>
    <t>Putri Naila Sari</t>
  </si>
  <si>
    <t>00015</t>
  </si>
  <si>
    <t>Ila Nuriz Zaqiatul Hafidzah</t>
  </si>
  <si>
    <t>00016</t>
  </si>
  <si>
    <t>Uyun Wafa Reza</t>
  </si>
  <si>
    <t>00017</t>
  </si>
  <si>
    <t>Afdila Nur Maidasari</t>
  </si>
  <si>
    <t>00018</t>
  </si>
  <si>
    <t>Kamila Nuzulul  Hikmah</t>
  </si>
  <si>
    <t>00019</t>
  </si>
  <si>
    <t>Aisha Farhana Farah Mardatillah</t>
  </si>
  <si>
    <t>00020</t>
  </si>
  <si>
    <t>Virgina Safira Az Zahra</t>
  </si>
  <si>
    <t>00021</t>
  </si>
  <si>
    <t>Ajeng Lailatul Khasanah</t>
  </si>
  <si>
    <t>00022</t>
  </si>
  <si>
    <t>Nia Ramadhani</t>
  </si>
  <si>
    <t>00023</t>
  </si>
  <si>
    <t>Sabrina Balqis Izzatunnisa Meriyanto</t>
  </si>
  <si>
    <t>00024</t>
  </si>
  <si>
    <t>Fika Nur Hidayati</t>
  </si>
  <si>
    <t>00025</t>
  </si>
  <si>
    <t>Shella Aulia Putri</t>
  </si>
  <si>
    <t>00026</t>
  </si>
  <si>
    <t>Lika Malikal Mulqi</t>
  </si>
  <si>
    <t>00027</t>
  </si>
  <si>
    <t>Nurul Latifatus Syarifah</t>
  </si>
  <si>
    <t>00028</t>
  </si>
  <si>
    <t>Putri Zahira Arrahma</t>
  </si>
  <si>
    <t>00029</t>
  </si>
  <si>
    <t>Seftia Dini Malala Maurisa</t>
  </si>
  <si>
    <t>00030</t>
  </si>
  <si>
    <t>Milatus Melinda</t>
  </si>
  <si>
    <t>00031</t>
  </si>
  <si>
    <t>Nur Fitria</t>
  </si>
  <si>
    <t>00032</t>
  </si>
  <si>
    <t>Zamrotun Nisfah</t>
  </si>
  <si>
    <t>00033</t>
  </si>
  <si>
    <t>Silvia Nur Islamiyah</t>
  </si>
  <si>
    <t>00034</t>
  </si>
  <si>
    <t>Aulia Rohmatul Fadilah</t>
  </si>
  <si>
    <t>00035</t>
  </si>
  <si>
    <t>Anisa Nur Hafidzhoh Fauzan</t>
  </si>
  <si>
    <t>00036</t>
  </si>
  <si>
    <t>Zidna Izza Zulfa</t>
  </si>
  <si>
    <t>00037</t>
  </si>
  <si>
    <t>Eka Fitria Nuril Azkiya</t>
  </si>
  <si>
    <t>00038</t>
  </si>
  <si>
    <t>Amira Fitri Dzaturrohmah</t>
  </si>
  <si>
    <t>00039</t>
  </si>
  <si>
    <t>Nurul Jannah</t>
  </si>
  <si>
    <t>00040</t>
  </si>
  <si>
    <t>Naura Asyifa Husnah</t>
  </si>
  <si>
    <t>00041</t>
  </si>
  <si>
    <t>Siti Khofifah</t>
  </si>
  <si>
    <t>SIFIR G</t>
  </si>
  <si>
    <t>00042</t>
  </si>
  <si>
    <t>Zainina Zilva Ramadhani</t>
  </si>
  <si>
    <t>00043</t>
  </si>
  <si>
    <t>Rachel Asiyah Hikmatuz Zahra</t>
  </si>
  <si>
    <t>00044</t>
  </si>
  <si>
    <t>Lailatul Nur Asyifah</t>
  </si>
  <si>
    <t>00045</t>
  </si>
  <si>
    <t>Hafizah Aristiyah Auliana</t>
  </si>
  <si>
    <t>00046</t>
  </si>
  <si>
    <t>00047</t>
  </si>
  <si>
    <t>Ayra Nanda Azzahra</t>
  </si>
  <si>
    <t>00048</t>
  </si>
  <si>
    <t>Nuraiin Hasrina Azzahra</t>
  </si>
  <si>
    <t>00049</t>
  </si>
  <si>
    <t>Uswatun Khasanah</t>
  </si>
  <si>
    <t>00050</t>
  </si>
  <si>
    <t>Najmatuz Syafara Az-zahra</t>
  </si>
  <si>
    <t>00051</t>
  </si>
  <si>
    <t>Nur Fadila</t>
  </si>
  <si>
    <t>00052</t>
  </si>
  <si>
    <t>Annisa Rahmania</t>
  </si>
  <si>
    <t>00053</t>
  </si>
  <si>
    <t>Salsa Tri Wahyuni</t>
  </si>
  <si>
    <t>00054</t>
  </si>
  <si>
    <t>Meta Aulia Widyantoro</t>
  </si>
  <si>
    <t>00055</t>
  </si>
  <si>
    <t>Fitrotul Maghfiroh</t>
  </si>
  <si>
    <t>00056</t>
  </si>
  <si>
    <t>Maulidah Zazkiya Afkarina</t>
  </si>
  <si>
    <t>00057</t>
  </si>
  <si>
    <t>Sevi Susanti Pamungkas</t>
  </si>
  <si>
    <t>00058</t>
  </si>
  <si>
    <t>Salsa Bella</t>
  </si>
  <si>
    <t>00059</t>
  </si>
  <si>
    <t>Fifi Firdaus Siya</t>
  </si>
  <si>
    <t>00060</t>
  </si>
  <si>
    <t>Lujjah Fi'isyatir Rodiyah</t>
  </si>
  <si>
    <t>00061</t>
  </si>
  <si>
    <t>Amira Fitridatur Rohmah</t>
  </si>
  <si>
    <t>00062</t>
  </si>
  <si>
    <t>Dini Islamiyah</t>
  </si>
  <si>
    <t>00063</t>
  </si>
  <si>
    <t>Risma Aprilia Putri</t>
  </si>
  <si>
    <t>00064</t>
  </si>
  <si>
    <t>Hurun'in El Sahabi</t>
  </si>
  <si>
    <t>00065</t>
  </si>
  <si>
    <t>Ayu Firnanda Kharisma Putri</t>
  </si>
  <si>
    <t>00066</t>
  </si>
  <si>
    <t>Adiba Zakia Azzahra</t>
  </si>
  <si>
    <t>00067</t>
  </si>
  <si>
    <t>Naila Adzkal Azkiya' Al Fath</t>
  </si>
  <si>
    <t>00068</t>
  </si>
  <si>
    <t>Hidayatul Hasanah</t>
  </si>
  <si>
    <t>00069</t>
  </si>
  <si>
    <t>Hilyatun Nafisa</t>
  </si>
  <si>
    <t>00070</t>
  </si>
  <si>
    <t>Siti Nuroniyah Lu'lu'ul Arizah</t>
  </si>
  <si>
    <t>00071</t>
  </si>
  <si>
    <t>Atika Maulida</t>
  </si>
  <si>
    <t>00072</t>
  </si>
  <si>
    <t>Siti Fatimatus Zahro</t>
  </si>
  <si>
    <t>00073</t>
  </si>
  <si>
    <t>Vadilla Juniar Rahmah</t>
  </si>
  <si>
    <t>00074</t>
  </si>
  <si>
    <t>00075</t>
  </si>
  <si>
    <t>Putri Lefina Margareta</t>
  </si>
  <si>
    <t>00076</t>
  </si>
  <si>
    <t>Natasya Farah Nur Fitria</t>
  </si>
  <si>
    <t>00077</t>
  </si>
  <si>
    <t>As-zahra Maulidia</t>
  </si>
  <si>
    <t>00078</t>
  </si>
  <si>
    <t>Julia Rahma Ramadani</t>
  </si>
  <si>
    <t>00079</t>
  </si>
  <si>
    <t>Risalatul Karimah</t>
  </si>
  <si>
    <t>01001</t>
  </si>
  <si>
    <t>311250400</t>
  </si>
  <si>
    <t>Azzahra Nurizza Arrafiqah</t>
  </si>
  <si>
    <t>I i MDTA</t>
  </si>
  <si>
    <t>01002</t>
  </si>
  <si>
    <t>311250828</t>
  </si>
  <si>
    <t>Jihan Dwi Adinda Ramadanti</t>
  </si>
  <si>
    <t>01003</t>
  </si>
  <si>
    <t>311251026</t>
  </si>
  <si>
    <t xml:space="preserve">Nur Hakiki Dewi </t>
  </si>
  <si>
    <t>01004</t>
  </si>
  <si>
    <t>311250635</t>
  </si>
  <si>
    <t>Ghinan Nafsi Ar-Rohman</t>
  </si>
  <si>
    <t>01005</t>
  </si>
  <si>
    <t>311250797</t>
  </si>
  <si>
    <t>Zaskiatul Khoiroh</t>
  </si>
  <si>
    <t>01006</t>
  </si>
  <si>
    <t>311250405</t>
  </si>
  <si>
    <t>Siti Nur Haliza</t>
  </si>
  <si>
    <t>01007</t>
  </si>
  <si>
    <t>311250407</t>
  </si>
  <si>
    <t>Anindita Keisha Zahra</t>
  </si>
  <si>
    <t>01008</t>
  </si>
  <si>
    <t>311250408</t>
  </si>
  <si>
    <t>Zahwa Hamidah Zahra</t>
  </si>
  <si>
    <t>01009</t>
  </si>
  <si>
    <t>311250404</t>
  </si>
  <si>
    <t>Selfiana</t>
  </si>
  <si>
    <t>01010</t>
  </si>
  <si>
    <t>311240725</t>
  </si>
  <si>
    <t>Aprilia Lailatul Alfi Seril</t>
  </si>
  <si>
    <t>01011</t>
  </si>
  <si>
    <t>311250194</t>
  </si>
  <si>
    <t>Hanun Asil Watsiqoh</t>
  </si>
  <si>
    <t>01012</t>
  </si>
  <si>
    <t>311250801</t>
  </si>
  <si>
    <t>Citra Andini Aprilia</t>
  </si>
  <si>
    <t>01013</t>
  </si>
  <si>
    <t>311250410</t>
  </si>
  <si>
    <t>Umi Fadhilah</t>
  </si>
  <si>
    <t>01014</t>
  </si>
  <si>
    <t>311250802</t>
  </si>
  <si>
    <t>Fatimatus Zahra</t>
  </si>
  <si>
    <t>01015</t>
  </si>
  <si>
    <t>311250827</t>
  </si>
  <si>
    <t>Silviatul Munawaroh</t>
  </si>
  <si>
    <t>01016</t>
  </si>
  <si>
    <t>311250187</t>
  </si>
  <si>
    <t>Iva Nia Agustin</t>
  </si>
  <si>
    <t>01017</t>
  </si>
  <si>
    <t>311250794</t>
  </si>
  <si>
    <t>Shevya Afkarina Z.Kay</t>
  </si>
  <si>
    <t>01018</t>
  </si>
  <si>
    <t>311250190</t>
  </si>
  <si>
    <t>Anggi Shintia Febiatiningseh</t>
  </si>
  <si>
    <t>01019</t>
  </si>
  <si>
    <t>311250188</t>
  </si>
  <si>
    <t>Cinta Nur Fatimatus Sabillah</t>
  </si>
  <si>
    <t>01020</t>
  </si>
  <si>
    <t>311251025</t>
  </si>
  <si>
    <t>Nabilatul Nisa</t>
  </si>
  <si>
    <t>01021</t>
  </si>
  <si>
    <t>311250419</t>
  </si>
  <si>
    <t>Rodifatul Andira</t>
  </si>
  <si>
    <t>01022</t>
  </si>
  <si>
    <t>311250805</t>
  </si>
  <si>
    <t>Rosadatul Milla</t>
  </si>
  <si>
    <t>01023</t>
  </si>
  <si>
    <t>Ainun Latifatul Khumairoh</t>
  </si>
  <si>
    <t>01024</t>
  </si>
  <si>
    <t>Aliza Diva Maharani</t>
  </si>
  <si>
    <t>01025</t>
  </si>
  <si>
    <t>Nuria Ulfatul Najwa</t>
  </si>
  <si>
    <t>01026</t>
  </si>
  <si>
    <t>Qorina Kaifiyatul Kamaliyah</t>
  </si>
  <si>
    <t>01027</t>
  </si>
  <si>
    <t>Rifa</t>
  </si>
  <si>
    <t>01028</t>
  </si>
  <si>
    <t>Mutia Faradila</t>
  </si>
  <si>
    <t>01029</t>
  </si>
  <si>
    <t>Nur Azizah</t>
  </si>
  <si>
    <t>01030</t>
  </si>
  <si>
    <t>Nadatul Lu'lu'ah</t>
  </si>
  <si>
    <t>01031</t>
  </si>
  <si>
    <t>Nailatul Magfiroh</t>
  </si>
  <si>
    <t>01032</t>
  </si>
  <si>
    <t>Safiratul Nazwa</t>
  </si>
  <si>
    <t>01033</t>
  </si>
  <si>
    <t>Mufidatul Khoiriyah</t>
  </si>
  <si>
    <t>01034</t>
  </si>
  <si>
    <t>Aulin Nusa Rojabbiyah</t>
  </si>
  <si>
    <t>01035</t>
  </si>
  <si>
    <t>Faradhila Annisa</t>
  </si>
  <si>
    <t>01036</t>
  </si>
  <si>
    <t>Zahira Septiana</t>
  </si>
  <si>
    <t>01037</t>
  </si>
  <si>
    <t>Nur Alfina</t>
  </si>
  <si>
    <t>01038</t>
  </si>
  <si>
    <t>Siti Khotimah Amira</t>
  </si>
  <si>
    <t>01039</t>
  </si>
  <si>
    <t>Aura Putri Syahirah</t>
  </si>
  <si>
    <t>01040</t>
  </si>
  <si>
    <t>Virli Aulia Fikia Putri</t>
  </si>
  <si>
    <t>01041</t>
  </si>
  <si>
    <t>Alifa Azzahra Dwi Ramadhani</t>
  </si>
  <si>
    <t>01042</t>
  </si>
  <si>
    <t>Alifa Nur Nayla</t>
  </si>
  <si>
    <t>01043</t>
  </si>
  <si>
    <t>Nayla Anatasya Putri</t>
  </si>
  <si>
    <t>01044</t>
  </si>
  <si>
    <t>Meifa Anzalia Putri</t>
  </si>
  <si>
    <t>01045</t>
  </si>
  <si>
    <t>Avivatul Mukarromah</t>
  </si>
  <si>
    <t>01046</t>
  </si>
  <si>
    <t>Ita Atur Rizkiya</t>
  </si>
  <si>
    <t>01047</t>
  </si>
  <si>
    <t>Nayla Wardatul Jannah</t>
  </si>
  <si>
    <t>01048</t>
  </si>
  <si>
    <t>Imroatul Mufida</t>
  </si>
  <si>
    <t>01049</t>
  </si>
  <si>
    <t>Adinda Putri Dwi Anatasya</t>
  </si>
  <si>
    <t>01050</t>
  </si>
  <si>
    <t>Lailatul Ambiyaq</t>
  </si>
  <si>
    <t>01051</t>
  </si>
  <si>
    <t>Atika Najwa</t>
  </si>
  <si>
    <t>01052</t>
  </si>
  <si>
    <t>Jihan Mualidia Talita Ulfa</t>
  </si>
  <si>
    <t>01053</t>
  </si>
  <si>
    <t>Putri Tiara Kamilah</t>
  </si>
  <si>
    <t>01054</t>
  </si>
  <si>
    <t>Afika Nafisatul Aqila</t>
  </si>
  <si>
    <t>01055</t>
  </si>
  <si>
    <t>311250832</t>
  </si>
  <si>
    <t>Gracia Putri Yushel</t>
  </si>
  <si>
    <t>I J MDTA</t>
  </si>
  <si>
    <t>01056</t>
  </si>
  <si>
    <t>311250812</t>
  </si>
  <si>
    <t>Riska Qomariya</t>
  </si>
  <si>
    <t>01057</t>
  </si>
  <si>
    <t>311240714</t>
  </si>
  <si>
    <t>Raisa Salma</t>
  </si>
  <si>
    <t>01058</t>
  </si>
  <si>
    <t>311250817</t>
  </si>
  <si>
    <t>Siti Rofiatul Kholila</t>
  </si>
  <si>
    <t>01059</t>
  </si>
  <si>
    <t>311250799</t>
  </si>
  <si>
    <t>Robiatul Adawiyah</t>
  </si>
  <si>
    <t>01060</t>
  </si>
  <si>
    <t>311250818</t>
  </si>
  <si>
    <t>Khoirun Syamsa Nur Fadila</t>
  </si>
  <si>
    <t>01061</t>
  </si>
  <si>
    <t>311251024</t>
  </si>
  <si>
    <t>Balqis Ramadhani</t>
  </si>
  <si>
    <t>01062</t>
  </si>
  <si>
    <t>311250803</t>
  </si>
  <si>
    <t>Dina Sintia</t>
  </si>
  <si>
    <t>01063</t>
  </si>
  <si>
    <t>311250821</t>
  </si>
  <si>
    <t>Fitriawati</t>
  </si>
  <si>
    <t>01064</t>
  </si>
  <si>
    <t>311250413</t>
  </si>
  <si>
    <t xml:space="preserve">Zidma Ilma </t>
  </si>
  <si>
    <t>01065</t>
  </si>
  <si>
    <t>311250414</t>
  </si>
  <si>
    <t>Safira Salsabila</t>
  </si>
  <si>
    <t>01066</t>
  </si>
  <si>
    <t>311251035</t>
  </si>
  <si>
    <t xml:space="preserve">Aulia Damayanti </t>
  </si>
  <si>
    <t>01067</t>
  </si>
  <si>
    <t>311250191</t>
  </si>
  <si>
    <t>Syafira Azzahra Raiza</t>
  </si>
  <si>
    <t>01068</t>
  </si>
  <si>
    <t>311251037</t>
  </si>
  <si>
    <t>Wardatun Naili Saumi</t>
  </si>
  <si>
    <t>01069</t>
  </si>
  <si>
    <t>311250417</t>
  </si>
  <si>
    <t>Nayla Jannatun Sauqia</t>
  </si>
  <si>
    <t>01070</t>
  </si>
  <si>
    <t>311250829</t>
  </si>
  <si>
    <t>Atika Fauzana Aidayani</t>
  </si>
  <si>
    <t>01071</t>
  </si>
  <si>
    <t>311250418</t>
  </si>
  <si>
    <t>Dian Ayu Lestari</t>
  </si>
  <si>
    <t>01072</t>
  </si>
  <si>
    <t>311250422</t>
  </si>
  <si>
    <t>Andin Dwi Lizam</t>
  </si>
  <si>
    <t>Luar</t>
  </si>
  <si>
    <t>01073</t>
  </si>
  <si>
    <t>311250420</t>
  </si>
  <si>
    <t>Indana Zulfa</t>
  </si>
  <si>
    <t>01074</t>
  </si>
  <si>
    <t>Lutfal Oktavia Abidin</t>
  </si>
  <si>
    <t>01075</t>
  </si>
  <si>
    <t>Shalsahabila Chairotus Arrahmania</t>
  </si>
  <si>
    <t>01076</t>
  </si>
  <si>
    <t>Aisyah</t>
  </si>
  <si>
    <t>01077</t>
  </si>
  <si>
    <t>Auliya Izzatun Nisa</t>
  </si>
  <si>
    <t>01078</t>
  </si>
  <si>
    <t>Nafisa Mullaila Az Zahra</t>
  </si>
  <si>
    <t>01079</t>
  </si>
  <si>
    <t>Aina Thalita Zahra</t>
  </si>
  <si>
    <t>01080</t>
  </si>
  <si>
    <t>Kartika Nur Maulidia</t>
  </si>
  <si>
    <t>01081</t>
  </si>
  <si>
    <t>Fitri Nayla Hamdaniyah</t>
  </si>
  <si>
    <t>01082</t>
  </si>
  <si>
    <t>Navila Qurrotul Aini</t>
  </si>
  <si>
    <t>01083</t>
  </si>
  <si>
    <t>Lidia Nur Afifah</t>
  </si>
  <si>
    <t>01084</t>
  </si>
  <si>
    <t>Rodhiatul Azizah</t>
  </si>
  <si>
    <t>01085</t>
  </si>
  <si>
    <t>Zahira Aprilia Safitri</t>
  </si>
  <si>
    <t>01086</t>
  </si>
  <si>
    <t>Alifia Nadia Azahra</t>
  </si>
  <si>
    <t>01087</t>
  </si>
  <si>
    <t>Naufa Aulia</t>
  </si>
  <si>
    <t>01088</t>
  </si>
  <si>
    <t>Naura Sofia Ramadhani</t>
  </si>
  <si>
    <t>01089</t>
  </si>
  <si>
    <t>Anindita Kaysha Zahra</t>
  </si>
  <si>
    <t>01090</t>
  </si>
  <si>
    <t>Aulia Izzatun Nisa</t>
  </si>
  <si>
    <t>01091</t>
  </si>
  <si>
    <t>Vira Khanza Azzahra</t>
  </si>
  <si>
    <t>01092</t>
  </si>
  <si>
    <t>Siti Zuhrotus Zaskia</t>
  </si>
  <si>
    <t>01093</t>
  </si>
  <si>
    <t>Safira Maulidi</t>
  </si>
  <si>
    <t>01094</t>
  </si>
  <si>
    <t>Annisatul Mardiyah Jannatul Ma'wa</t>
  </si>
  <si>
    <t>01095</t>
  </si>
  <si>
    <t>Syala Madinatul Fairusa Abdillah</t>
  </si>
  <si>
    <t>01096</t>
  </si>
  <si>
    <t>Afifah Badriyatus Sholeha</t>
  </si>
  <si>
    <t>01097</t>
  </si>
  <si>
    <t>Imroatus Sholehah</t>
  </si>
  <si>
    <t>01098</t>
  </si>
  <si>
    <t>Najwa Syakiroh</t>
  </si>
  <si>
    <t>01099</t>
  </si>
  <si>
    <t>Ainun Cahya Qurfatul Jannah</t>
  </si>
  <si>
    <t>01100</t>
  </si>
  <si>
    <t>Afifatul Magfiroh</t>
  </si>
  <si>
    <t>01101</t>
  </si>
  <si>
    <t>Siska Oktavia Anggraeni</t>
  </si>
  <si>
    <t>01102</t>
  </si>
  <si>
    <t>Firda Ainir Rofi'ah</t>
  </si>
  <si>
    <t>01103</t>
  </si>
  <si>
    <t>Amelia Putri</t>
  </si>
  <si>
    <t>01104</t>
  </si>
  <si>
    <t>Shofiatus Zulfa</t>
  </si>
  <si>
    <t>01105</t>
  </si>
  <si>
    <t>Zazkia Nadia Meca</t>
  </si>
  <si>
    <t>01106</t>
  </si>
  <si>
    <t>Faizatur Rohmania</t>
  </si>
  <si>
    <t>01107</t>
  </si>
  <si>
    <t>Dinda Anggraeni</t>
  </si>
  <si>
    <t>01108</t>
  </si>
  <si>
    <t>Muazara Musawwamah Maulidiya</t>
  </si>
  <si>
    <t>01109</t>
  </si>
  <si>
    <t>311250831</t>
  </si>
  <si>
    <t>Fiona Afeliya</t>
  </si>
  <si>
    <t xml:space="preserve"> I K MDTA</t>
  </si>
  <si>
    <t>01110</t>
  </si>
  <si>
    <t>311250399</t>
  </si>
  <si>
    <t>Anisatul Fadilah</t>
  </si>
  <si>
    <t>01111</t>
  </si>
  <si>
    <t>311250398</t>
  </si>
  <si>
    <t>Safa Febrian</t>
  </si>
  <si>
    <t>01112</t>
  </si>
  <si>
    <t>311251027</t>
  </si>
  <si>
    <t xml:space="preserve">Azzahra Paramita </t>
  </si>
  <si>
    <t>01113</t>
  </si>
  <si>
    <t>311250814</t>
  </si>
  <si>
    <t>Keyza Ayunda Novelia</t>
  </si>
  <si>
    <t>01114</t>
  </si>
  <si>
    <t>311250402</t>
  </si>
  <si>
    <t>Syarifah Ainuz Zakiya</t>
  </si>
  <si>
    <t>01115</t>
  </si>
  <si>
    <t>311251022</t>
  </si>
  <si>
    <t>Fitri Lutfiana</t>
  </si>
  <si>
    <t>01116</t>
  </si>
  <si>
    <t>311250810</t>
  </si>
  <si>
    <t>Viola Kirana Putri</t>
  </si>
  <si>
    <t>01117</t>
  </si>
  <si>
    <t>311240967</t>
  </si>
  <si>
    <t>Putri Amanda Alvira Destiani</t>
  </si>
  <si>
    <t>01118</t>
  </si>
  <si>
    <t>311250820</t>
  </si>
  <si>
    <t>Dela Wardatul Fasiroh</t>
  </si>
  <si>
    <t>01119</t>
  </si>
  <si>
    <t>311251031</t>
  </si>
  <si>
    <t>Hasaniyatul Karomah</t>
  </si>
  <si>
    <t>01120</t>
  </si>
  <si>
    <t>311250824</t>
  </si>
  <si>
    <t>Nailatur Rohmawati Ismail</t>
  </si>
  <si>
    <t>01121</t>
  </si>
  <si>
    <t>311250807</t>
  </si>
  <si>
    <t>Nurul Syafa Ria</t>
  </si>
  <si>
    <t xml:space="preserve">D01 </t>
  </si>
  <si>
    <t>01122</t>
  </si>
  <si>
    <t>311250808</t>
  </si>
  <si>
    <t xml:space="preserve">Rosalinda </t>
  </si>
  <si>
    <t>01123</t>
  </si>
  <si>
    <t>311240248</t>
  </si>
  <si>
    <t>Syifa'ul Maghfiroh</t>
  </si>
  <si>
    <t>01124</t>
  </si>
  <si>
    <t>311251036</t>
  </si>
  <si>
    <t>Seliy Ayu Widianti</t>
  </si>
  <si>
    <t>01125</t>
  </si>
  <si>
    <t>311251033</t>
  </si>
  <si>
    <t xml:space="preserve">Az-Zahra Safira Rahma </t>
  </si>
  <si>
    <t>01126</t>
  </si>
  <si>
    <t>311250809</t>
  </si>
  <si>
    <t xml:space="preserve">Ainun Fitria </t>
  </si>
  <si>
    <t>01127</t>
  </si>
  <si>
    <t>311250189</t>
  </si>
  <si>
    <t>Wafik Azizah</t>
  </si>
  <si>
    <t>01128</t>
  </si>
  <si>
    <t>311251039</t>
  </si>
  <si>
    <t>Najwa Fajril Fauziyah</t>
  </si>
  <si>
    <t>01129</t>
  </si>
  <si>
    <t>311250421</t>
  </si>
  <si>
    <t>Ainun Ilmiah</t>
  </si>
  <si>
    <t>01130</t>
  </si>
  <si>
    <t>311250423</t>
  </si>
  <si>
    <t>Hilda Rifatul Ulya</t>
  </si>
  <si>
    <t>01131</t>
  </si>
  <si>
    <t>Fitria Nazilul Ikrimah</t>
  </si>
  <si>
    <t>01132</t>
  </si>
  <si>
    <t>Nafisa Iftatun Wafiro</t>
  </si>
  <si>
    <t>01133</t>
  </si>
  <si>
    <t>Jihan Sekar Aprilia</t>
  </si>
  <si>
    <t>01134</t>
  </si>
  <si>
    <t>Nuzul Mala</t>
  </si>
  <si>
    <t>01135</t>
  </si>
  <si>
    <t>Ayu Divana Putri</t>
  </si>
  <si>
    <t>01136</t>
  </si>
  <si>
    <t>Arifatul Ilmiah</t>
  </si>
  <si>
    <t>01137</t>
  </si>
  <si>
    <t>Nur Adibatun Zahwa</t>
  </si>
  <si>
    <t>01138</t>
  </si>
  <si>
    <t>Maulidia Nur Isnawi</t>
  </si>
  <si>
    <t>01139</t>
  </si>
  <si>
    <t>Rizka Isnaini</t>
  </si>
  <si>
    <t>01140</t>
  </si>
  <si>
    <t>Fara Nayla Rodiyah</t>
  </si>
  <si>
    <t>01141</t>
  </si>
  <si>
    <t>Sutri Anif</t>
  </si>
  <si>
    <t>01142</t>
  </si>
  <si>
    <t>Alfi Nuril Jannah</t>
  </si>
  <si>
    <t>01143</t>
  </si>
  <si>
    <t>01144</t>
  </si>
  <si>
    <t>Safika Wulandari</t>
  </si>
  <si>
    <t>01145</t>
  </si>
  <si>
    <t>Putri Dewi Ratnasari</t>
  </si>
  <si>
    <t>01146</t>
  </si>
  <si>
    <t>Izza Afkarin</t>
  </si>
  <si>
    <t>01147</t>
  </si>
  <si>
    <t>Princes Sarianti Nur Zahwa</t>
  </si>
  <si>
    <t>01148</t>
  </si>
  <si>
    <t>Octa Lailiyatul Hasanah</t>
  </si>
  <si>
    <t>01149</t>
  </si>
  <si>
    <t>Aluk Maknunah</t>
  </si>
  <si>
    <t>01150</t>
  </si>
  <si>
    <t>Izza Imro'atul Qonita</t>
  </si>
  <si>
    <t>01151</t>
  </si>
  <si>
    <t>Fahira Salwa Nabila</t>
  </si>
  <si>
    <t>01152</t>
  </si>
  <si>
    <t>Elfina Normalasari</t>
  </si>
  <si>
    <t>01153</t>
  </si>
  <si>
    <t>Anika Munawaroh</t>
  </si>
  <si>
    <t>01154</t>
  </si>
  <si>
    <t>Faiqotul Amalia</t>
  </si>
  <si>
    <t>01155</t>
  </si>
  <si>
    <t>Neonatus Sholihah</t>
  </si>
  <si>
    <t>01156</t>
  </si>
  <si>
    <t>Arini Afwatul Jazila</t>
  </si>
  <si>
    <t>01157</t>
  </si>
  <si>
    <t>Amelia Ramadhani</t>
  </si>
  <si>
    <t>01158</t>
  </si>
  <si>
    <t>Siti Musarofah</t>
  </si>
  <si>
    <t>01159</t>
  </si>
  <si>
    <t>Adelia Shafira</t>
  </si>
  <si>
    <t>01160</t>
  </si>
  <si>
    <t>Rahma Nazila</t>
  </si>
  <si>
    <t>01161</t>
  </si>
  <si>
    <t>Silsa Aidi Wahdaniyah</t>
  </si>
  <si>
    <t>01162</t>
  </si>
  <si>
    <t>Laily Andini Kurniati</t>
  </si>
  <si>
    <t>01163</t>
  </si>
  <si>
    <t>311250826</t>
  </si>
  <si>
    <t>Shahna zatu Mukarromah</t>
  </si>
  <si>
    <t>I L MDTA</t>
  </si>
  <si>
    <t>01164</t>
  </si>
  <si>
    <t>311250401</t>
  </si>
  <si>
    <t>Sayyidatul Ummah</t>
  </si>
  <si>
    <t>01165</t>
  </si>
  <si>
    <t>311250815</t>
  </si>
  <si>
    <t xml:space="preserve">Wardatul Maulida </t>
  </si>
  <si>
    <t>01166</t>
  </si>
  <si>
    <t>311251038</t>
  </si>
  <si>
    <t>Devi Arisna Wati</t>
  </si>
  <si>
    <t>01167</t>
  </si>
  <si>
    <t>311250798</t>
  </si>
  <si>
    <t>Khamelia</t>
  </si>
  <si>
    <t>01168</t>
  </si>
  <si>
    <t>311250631</t>
  </si>
  <si>
    <t>Nur Azila Az-zahra</t>
  </si>
  <si>
    <t>01169</t>
  </si>
  <si>
    <t>311250192</t>
  </si>
  <si>
    <t>Silvi Kamilia Askia</t>
  </si>
  <si>
    <t>01170</t>
  </si>
  <si>
    <t>311250403</t>
  </si>
  <si>
    <t>Naylatul Fitria</t>
  </si>
  <si>
    <t>01171</t>
  </si>
  <si>
    <t>311250830</t>
  </si>
  <si>
    <t>Mariyanah</t>
  </si>
  <si>
    <t>01172</t>
  </si>
  <si>
    <t>311250796</t>
  </si>
  <si>
    <t>Siti Samsiatur Rohima</t>
  </si>
  <si>
    <t>01173</t>
  </si>
  <si>
    <t>311250819</t>
  </si>
  <si>
    <t>Balqis Putri Alim</t>
  </si>
  <si>
    <t>01174</t>
  </si>
  <si>
    <t>311250811</t>
  </si>
  <si>
    <t>Angelia Putri Febriyanti</t>
  </si>
  <si>
    <t>01175</t>
  </si>
  <si>
    <t>311250409</t>
  </si>
  <si>
    <t>Intan Novalia Putri Muslih</t>
  </si>
  <si>
    <t>01176</t>
  </si>
  <si>
    <t>311251029</t>
  </si>
  <si>
    <t>Yasmin Amelia</t>
  </si>
  <si>
    <t>01177</t>
  </si>
  <si>
    <t>311250411</t>
  </si>
  <si>
    <t>Asifa Zahra Maulia</t>
  </si>
  <si>
    <t>01178</t>
  </si>
  <si>
    <t>311250822</t>
  </si>
  <si>
    <t>Rabiatul Firsya Wahyudi</t>
  </si>
  <si>
    <t>01179</t>
  </si>
  <si>
    <t>311250412</t>
  </si>
  <si>
    <t>Hafidatul Nafisah</t>
  </si>
  <si>
    <t>01180</t>
  </si>
  <si>
    <t>311250806</t>
  </si>
  <si>
    <t>Hilwa Iffatul Abida</t>
  </si>
  <si>
    <t>01181</t>
  </si>
  <si>
    <t>Alifatur Rohmah</t>
  </si>
  <si>
    <t>01182</t>
  </si>
  <si>
    <t>311251044</t>
  </si>
  <si>
    <t>Aulia Tifely Meiriska</t>
  </si>
  <si>
    <t>01183</t>
  </si>
  <si>
    <t>311251032</t>
  </si>
  <si>
    <t>Nayaka Febrianto</t>
  </si>
  <si>
    <t>01184</t>
  </si>
  <si>
    <t>311250116</t>
  </si>
  <si>
    <t>Alfira Ayu Wulandari</t>
  </si>
  <si>
    <t>01185</t>
  </si>
  <si>
    <t>Amelia Puspita Sari</t>
  </si>
  <si>
    <t>01186</t>
  </si>
  <si>
    <t>Asfiatul Hasanah</t>
  </si>
  <si>
    <t>01187</t>
  </si>
  <si>
    <t>Laura Anggun Sholihah</t>
  </si>
  <si>
    <t>01188</t>
  </si>
  <si>
    <t>Aulia Izzatunnisa</t>
  </si>
  <si>
    <t>01189</t>
  </si>
  <si>
    <t>Elia Nabil Gilda</t>
  </si>
  <si>
    <t>01190</t>
  </si>
  <si>
    <t>Novia Sinta Bela</t>
  </si>
  <si>
    <t>01191</t>
  </si>
  <si>
    <t>Nazilla Syahla Afifa</t>
  </si>
  <si>
    <t>01192</t>
  </si>
  <si>
    <t>Qisya Ziyana Abidah</t>
  </si>
  <si>
    <t>01193</t>
  </si>
  <si>
    <t>Nadhifatun Nabila</t>
  </si>
  <si>
    <t>01194</t>
  </si>
  <si>
    <t>Maulidatul Hasanah</t>
  </si>
  <si>
    <t>01195</t>
  </si>
  <si>
    <t>Winda Nur Jannah</t>
  </si>
  <si>
    <t>01196</t>
  </si>
  <si>
    <t>Dwi Diva Angelina</t>
  </si>
  <si>
    <t>01197</t>
  </si>
  <si>
    <t>Siti Mualifah</t>
  </si>
  <si>
    <t>01198</t>
  </si>
  <si>
    <t>Feby Franciska Alfatunisa</t>
  </si>
  <si>
    <t>01199</t>
  </si>
  <si>
    <t>Safina</t>
  </si>
  <si>
    <t>01200</t>
  </si>
  <si>
    <t>Mazroatul Akhiroh</t>
  </si>
  <si>
    <t>01201</t>
  </si>
  <si>
    <t>Afra Naila Ar Karna</t>
  </si>
  <si>
    <t>01202</t>
  </si>
  <si>
    <t>Najwa Lailatul Jannah</t>
  </si>
  <si>
    <t>01203</t>
  </si>
  <si>
    <t>Divia Naura Nazila</t>
  </si>
  <si>
    <t>01204</t>
  </si>
  <si>
    <t>Ananda Aura Hiqmah</t>
  </si>
  <si>
    <t>01205</t>
  </si>
  <si>
    <t>Qatrun Nada Salsabila</t>
  </si>
  <si>
    <t>01206</t>
  </si>
  <si>
    <t>Zahraa Maulidah</t>
  </si>
  <si>
    <t>01207</t>
  </si>
  <si>
    <t>Al Karomi</t>
  </si>
  <si>
    <t>01208</t>
  </si>
  <si>
    <t>Fitriatun Nisa</t>
  </si>
  <si>
    <t>01209</t>
  </si>
  <si>
    <t>Nahdia Afkarinas Sa'adah</t>
  </si>
  <si>
    <t>01210</t>
  </si>
  <si>
    <t>Rahmatun Nisa</t>
  </si>
  <si>
    <t>01211</t>
  </si>
  <si>
    <t>Nadifatul Umayya</t>
  </si>
  <si>
    <t>01212</t>
  </si>
  <si>
    <t>Nada Fajria Rahman</t>
  </si>
  <si>
    <t>01213</t>
  </si>
  <si>
    <t>Sariva Hanifa Roisatun Nabila</t>
  </si>
  <si>
    <t>01214</t>
  </si>
  <si>
    <t>Laili Fauziah</t>
  </si>
  <si>
    <t>01215</t>
  </si>
  <si>
    <t>Huswatul Emilia</t>
  </si>
  <si>
    <t>01216</t>
  </si>
  <si>
    <t>Atika Zahra Ratifa</t>
  </si>
  <si>
    <t>01217</t>
  </si>
  <si>
    <t>Zulfa Khoirannisa' Ilamilin</t>
  </si>
  <si>
    <t>01218</t>
  </si>
  <si>
    <t>Adiba Latifah</t>
  </si>
  <si>
    <t>I M MDTA</t>
  </si>
  <si>
    <t>01219</t>
  </si>
  <si>
    <t>Aliyatul Husna</t>
  </si>
  <si>
    <t>01220</t>
  </si>
  <si>
    <t>Anugera Eka Putri Pratama</t>
  </si>
  <si>
    <t>01221</t>
  </si>
  <si>
    <t>Elok Syavira Putri</t>
  </si>
  <si>
    <t>01222</t>
  </si>
  <si>
    <t>Azkia Azzahro</t>
  </si>
  <si>
    <t>01223</t>
  </si>
  <si>
    <t>Salsabila Nadhiva</t>
  </si>
  <si>
    <t>01224</t>
  </si>
  <si>
    <t>Hilmia Eka Saputri</t>
  </si>
  <si>
    <t>01225</t>
  </si>
  <si>
    <t>Azura Rena Ridwana Setiawan</t>
  </si>
  <si>
    <t>01226</t>
  </si>
  <si>
    <t>Putri Najmia Zahira</t>
  </si>
  <si>
    <t>01227</t>
  </si>
  <si>
    <t>Ratna Dewi Cahyani</t>
  </si>
  <si>
    <t>01228</t>
  </si>
  <si>
    <t>01229</t>
  </si>
  <si>
    <t>Malika Kahza Azzahra</t>
  </si>
  <si>
    <t>01230</t>
  </si>
  <si>
    <t>Najwa Naimatil Marhamah</t>
  </si>
  <si>
    <t>01231</t>
  </si>
  <si>
    <t>Aulia Izzatun Nisa Al Majid</t>
  </si>
  <si>
    <t>01232</t>
  </si>
  <si>
    <t>Su'adatul Machmudah</t>
  </si>
  <si>
    <t>01233</t>
  </si>
  <si>
    <t>Najwa Salsabila</t>
  </si>
  <si>
    <t>01234</t>
  </si>
  <si>
    <t>Alfiyatut Taskiyah</t>
  </si>
  <si>
    <t>01235</t>
  </si>
  <si>
    <t>Alfi Karimatil Ma'rifah</t>
  </si>
  <si>
    <t>01236</t>
  </si>
  <si>
    <t>Nuril Maulida</t>
  </si>
  <si>
    <t>01237</t>
  </si>
  <si>
    <t>Syifa Nur Fadilah</t>
  </si>
  <si>
    <t>01238</t>
  </si>
  <si>
    <t>Cantika Putri Oktaviana</t>
  </si>
  <si>
    <t>01239</t>
  </si>
  <si>
    <t>01240</t>
  </si>
  <si>
    <t>Azwa Dayana Batrisya Siwi</t>
  </si>
  <si>
    <t>01241</t>
  </si>
  <si>
    <t>Imel Cahyani</t>
  </si>
  <si>
    <t>01242</t>
  </si>
  <si>
    <t>Zafira Mikayla Sabana</t>
  </si>
  <si>
    <t>01243</t>
  </si>
  <si>
    <t>Amiratun Nisak</t>
  </si>
  <si>
    <t>01244</t>
  </si>
  <si>
    <t>Fathin Rafifah Artanti</t>
  </si>
  <si>
    <t>01245</t>
  </si>
  <si>
    <t>Vinka Latiful Qulub</t>
  </si>
  <si>
    <t>01246</t>
  </si>
  <si>
    <t>Sofiatus Zahro</t>
  </si>
  <si>
    <t>01247</t>
  </si>
  <si>
    <t>Iswatun Hasanah</t>
  </si>
  <si>
    <t>01248</t>
  </si>
  <si>
    <t>Siti Lutfiatun Hasanah</t>
  </si>
  <si>
    <t>01249</t>
  </si>
  <si>
    <t>Davin Mumtazah</t>
  </si>
  <si>
    <t>01250</t>
  </si>
  <si>
    <t>Avita Aprilia</t>
  </si>
  <si>
    <t>01251</t>
  </si>
  <si>
    <t>Najwa Adelia Qisya</t>
  </si>
  <si>
    <t>01252</t>
  </si>
  <si>
    <t>Fahromatus Zahra</t>
  </si>
  <si>
    <t>01253</t>
  </si>
  <si>
    <t>01254</t>
  </si>
  <si>
    <t>Sheila Natasya Salima Putri</t>
  </si>
  <si>
    <t>01255</t>
  </si>
  <si>
    <t>Mahmudatul Rofiah</t>
  </si>
  <si>
    <t>01256</t>
  </si>
  <si>
    <t>Azalea Khaliqa Dzahin</t>
  </si>
  <si>
    <t>01257</t>
  </si>
  <si>
    <t>Fina Zida Shobrina</t>
  </si>
  <si>
    <t>01258</t>
  </si>
  <si>
    <t>Azizatur Rosita</t>
  </si>
  <si>
    <t>01259</t>
  </si>
  <si>
    <t>Bilqis Rahmadhani</t>
  </si>
  <si>
    <t>01260</t>
  </si>
  <si>
    <t>Najwa Andinata Juliati</t>
  </si>
  <si>
    <t>01261</t>
  </si>
  <si>
    <t>Ulfatus Solehah</t>
  </si>
  <si>
    <t>01262</t>
  </si>
  <si>
    <t>Mikaila Anisa Pohan</t>
  </si>
  <si>
    <t>01263</t>
  </si>
  <si>
    <t>Aira Amna Jazila</t>
  </si>
  <si>
    <t>01264</t>
  </si>
  <si>
    <t>Airin Zinatul Millah</t>
  </si>
  <si>
    <t>01265</t>
  </si>
  <si>
    <t>Novy Anatasya Putri</t>
  </si>
  <si>
    <t>01266</t>
  </si>
  <si>
    <t>01267</t>
  </si>
  <si>
    <t>Adiba Khanza Azzahra</t>
  </si>
  <si>
    <t>01268</t>
  </si>
  <si>
    <t>Aprilia Wardah Fawaida</t>
  </si>
  <si>
    <t>01269</t>
  </si>
  <si>
    <t>Vika Nuraiyni</t>
  </si>
  <si>
    <t>01270</t>
  </si>
  <si>
    <t>Lutfiatul Hasanah</t>
  </si>
  <si>
    <t>01271</t>
  </si>
  <si>
    <t>Bela Safira</t>
  </si>
  <si>
    <t>01272</t>
  </si>
  <si>
    <t>Atqiya Adelia</t>
  </si>
  <si>
    <t>01273</t>
  </si>
  <si>
    <t>Faizatun Naimah</t>
  </si>
  <si>
    <t>01274</t>
  </si>
  <si>
    <t>Kamilatur Rohmah</t>
  </si>
  <si>
    <t>01275</t>
  </si>
  <si>
    <t>Aulia Izzatun Nisa'</t>
  </si>
  <si>
    <t>01276</t>
  </si>
  <si>
    <t>Nayla Okta K</t>
  </si>
  <si>
    <t>02001</t>
  </si>
  <si>
    <t>311240959</t>
  </si>
  <si>
    <t>Alia Asfany</t>
  </si>
  <si>
    <t>II J MDTA</t>
  </si>
  <si>
    <t>02002</t>
  </si>
  <si>
    <t>311250609</t>
  </si>
  <si>
    <t xml:space="preserve">Najmil Layly Kusnia </t>
  </si>
  <si>
    <t>02003</t>
  </si>
  <si>
    <t>311240242</t>
  </si>
  <si>
    <t>Zahra Amelia</t>
  </si>
  <si>
    <t>02004</t>
  </si>
  <si>
    <t>311250128</t>
  </si>
  <si>
    <t>Fatimatuz Zahra</t>
  </si>
  <si>
    <t>02005</t>
  </si>
  <si>
    <t>311250703</t>
  </si>
  <si>
    <t>Fatimatuz Zahro</t>
  </si>
  <si>
    <t>02006</t>
  </si>
  <si>
    <t>311250622</t>
  </si>
  <si>
    <t>Anggun Maulidiyah</t>
  </si>
  <si>
    <t>02007</t>
  </si>
  <si>
    <t>311250623</t>
  </si>
  <si>
    <t>Fasalya Agustin</t>
  </si>
  <si>
    <t>02008</t>
  </si>
  <si>
    <t>311250626</t>
  </si>
  <si>
    <t>Assurotul Kaila Puspitasari</t>
  </si>
  <si>
    <t>02009</t>
  </si>
  <si>
    <t>311251006</t>
  </si>
  <si>
    <t>Laylatul Sabila Azzahra</t>
  </si>
  <si>
    <t>02010</t>
  </si>
  <si>
    <t>311251007</t>
  </si>
  <si>
    <t xml:space="preserve">Elly Maghfiroh </t>
  </si>
  <si>
    <t>02011</t>
  </si>
  <si>
    <t>311251008</t>
  </si>
  <si>
    <t>02012</t>
  </si>
  <si>
    <t>311250712</t>
  </si>
  <si>
    <t>Virginia Marsa Bella</t>
  </si>
  <si>
    <t>02013</t>
  </si>
  <si>
    <t>311250713</t>
  </si>
  <si>
    <t>Olivia Mayka Dewi</t>
  </si>
  <si>
    <t>02014</t>
  </si>
  <si>
    <t>311250714</t>
  </si>
  <si>
    <t>Andin Eka Putri</t>
  </si>
  <si>
    <t>02015</t>
  </si>
  <si>
    <t>311250715</t>
  </si>
  <si>
    <t>Viola Aprilia</t>
  </si>
  <si>
    <t>02016</t>
  </si>
  <si>
    <t>311240235</t>
  </si>
  <si>
    <t>Zahrotul Laili</t>
  </si>
  <si>
    <t>02017</t>
  </si>
  <si>
    <t>311250124</t>
  </si>
  <si>
    <t>Siti Maulidatul Khasanah</t>
  </si>
  <si>
    <t>02018</t>
  </si>
  <si>
    <t>311251009</t>
  </si>
  <si>
    <t>Vanesa Aulia Az Zahra</t>
  </si>
  <si>
    <t>02019</t>
  </si>
  <si>
    <t>311250671</t>
  </si>
  <si>
    <t>Nadivah Lailatul Izza</t>
  </si>
  <si>
    <t>02020</t>
  </si>
  <si>
    <t>311250141</t>
  </si>
  <si>
    <t>Kissma Ramadhani</t>
  </si>
  <si>
    <t>02021</t>
  </si>
  <si>
    <t>311250142</t>
  </si>
  <si>
    <t>Siti Afiyatus Zahro</t>
  </si>
  <si>
    <t>02022</t>
  </si>
  <si>
    <t>311250143</t>
  </si>
  <si>
    <t>Lailatul Hasanah</t>
  </si>
  <si>
    <t>02023</t>
  </si>
  <si>
    <t>311250144</t>
  </si>
  <si>
    <t>Naylatul Fitriyah</t>
  </si>
  <si>
    <t>02024</t>
  </si>
  <si>
    <t>311250125</t>
  </si>
  <si>
    <t>Putri Nur Azizah</t>
  </si>
  <si>
    <t>02025</t>
  </si>
  <si>
    <t>311250126</t>
  </si>
  <si>
    <t>Varah Musdalifah</t>
  </si>
  <si>
    <t>02026</t>
  </si>
  <si>
    <t>311250649</t>
  </si>
  <si>
    <t>Ainur Ri'ayeh</t>
  </si>
  <si>
    <t>02027</t>
  </si>
  <si>
    <t>311250650</t>
  </si>
  <si>
    <t>Nur Aini</t>
  </si>
  <si>
    <t>02028</t>
  </si>
  <si>
    <t>311250651</t>
  </si>
  <si>
    <t>Nafisa</t>
  </si>
  <si>
    <t>02029</t>
  </si>
  <si>
    <t>311250652</t>
  </si>
  <si>
    <t>Delinda Julia Adiba Azzahro</t>
  </si>
  <si>
    <t>02030</t>
  </si>
  <si>
    <t>311250614</t>
  </si>
  <si>
    <t>Faiqotul Jannah</t>
  </si>
  <si>
    <t>02031</t>
  </si>
  <si>
    <t>311250127</t>
  </si>
  <si>
    <t>Nurul Istiqomah</t>
  </si>
  <si>
    <t>02032</t>
  </si>
  <si>
    <t>311250700</t>
  </si>
  <si>
    <t xml:space="preserve">Zakirotul Faizah </t>
  </si>
  <si>
    <t>02033</t>
  </si>
  <si>
    <t>311250620</t>
  </si>
  <si>
    <t>Niki Aulia Rahma</t>
  </si>
  <si>
    <t>02034</t>
  </si>
  <si>
    <t>311250668</t>
  </si>
  <si>
    <t>Ameliya</t>
  </si>
  <si>
    <t>02035</t>
  </si>
  <si>
    <t>311250688</t>
  </si>
  <si>
    <t>Nurin Najwa</t>
  </si>
  <si>
    <t>02036</t>
  </si>
  <si>
    <t>311250669</t>
  </si>
  <si>
    <t>Citra Laudya Ambar Ningsih</t>
  </si>
  <si>
    <t>02037</t>
  </si>
  <si>
    <t>311250670</t>
  </si>
  <si>
    <t>Zahra Anggita</t>
  </si>
  <si>
    <t>02038</t>
  </si>
  <si>
    <t>311250689</t>
  </si>
  <si>
    <t>Winda Alfiatul Hasanah</t>
  </si>
  <si>
    <t>02039</t>
  </si>
  <si>
    <t>311250690</t>
  </si>
  <si>
    <t>Alfiatus Sakinah</t>
  </si>
  <si>
    <t>02040</t>
  </si>
  <si>
    <t>311250691</t>
  </si>
  <si>
    <t>Lailiatun Nasyifah</t>
  </si>
  <si>
    <t>02041</t>
  </si>
  <si>
    <t>Indri Haifa Melzani</t>
  </si>
  <si>
    <t>02042</t>
  </si>
  <si>
    <t>Kasifatul Arofah</t>
  </si>
  <si>
    <t>02043</t>
  </si>
  <si>
    <t>Intan Nuraini</t>
  </si>
  <si>
    <t>02044</t>
  </si>
  <si>
    <t>Juliana Safara</t>
  </si>
  <si>
    <t>02045</t>
  </si>
  <si>
    <t>Aira Citra Safira</t>
  </si>
  <si>
    <t>02046</t>
  </si>
  <si>
    <t>Danisa Fatma</t>
  </si>
  <si>
    <t>02047</t>
  </si>
  <si>
    <t>Ica Nabila Az Zahra</t>
  </si>
  <si>
    <t>02048</t>
  </si>
  <si>
    <t>Dwi Indah Puspitasari</t>
  </si>
  <si>
    <t>02049</t>
  </si>
  <si>
    <t>Ainur rahmah</t>
  </si>
  <si>
    <t>02050</t>
  </si>
  <si>
    <t>Naura Diana Soba</t>
  </si>
  <si>
    <t>02051</t>
  </si>
  <si>
    <t>Maulidiyani Wulandari</t>
  </si>
  <si>
    <t>02052</t>
  </si>
  <si>
    <t>Sazkia Lafiatus Zahro</t>
  </si>
  <si>
    <t>02053</t>
  </si>
  <si>
    <t>Fauziah Aprilia</t>
  </si>
  <si>
    <t>02054</t>
  </si>
  <si>
    <t>Diva Agustin</t>
  </si>
  <si>
    <t>02055</t>
  </si>
  <si>
    <t>Aisyah Zakiyatun Nafisah</t>
  </si>
  <si>
    <t>02056</t>
  </si>
  <si>
    <t>Novitasari</t>
  </si>
  <si>
    <t>02057</t>
  </si>
  <si>
    <t>Izza Afkarina Bulgis Khumairoh</t>
  </si>
  <si>
    <t>02058</t>
  </si>
  <si>
    <t>Dewi Yulia Agustin</t>
  </si>
  <si>
    <t>02059</t>
  </si>
  <si>
    <t>Talita Zahra Agni Marzuki</t>
  </si>
  <si>
    <t>02060</t>
  </si>
  <si>
    <t>Cici Alisa</t>
  </si>
  <si>
    <t>02061</t>
  </si>
  <si>
    <t>Qonita Zahiratul Izzah</t>
  </si>
  <si>
    <t>02062</t>
  </si>
  <si>
    <t>311231140</t>
  </si>
  <si>
    <t>Nadifatus Zahro</t>
  </si>
  <si>
    <t>II K MDTA</t>
  </si>
  <si>
    <t>02063</t>
  </si>
  <si>
    <t>311240244</t>
  </si>
  <si>
    <t>Wulan Dwi Aprilia Afandi</t>
  </si>
  <si>
    <t>02064</t>
  </si>
  <si>
    <t>311240719</t>
  </si>
  <si>
    <t>Silfia Diqotun Niswah</t>
  </si>
  <si>
    <t>02065</t>
  </si>
  <si>
    <t>311250628</t>
  </si>
  <si>
    <t>Khoirotul Ummatis Su'adah</t>
  </si>
  <si>
    <t>02066</t>
  </si>
  <si>
    <t>311250629</t>
  </si>
  <si>
    <t>Adinda Nuril Afifah</t>
  </si>
  <si>
    <t>02067</t>
  </si>
  <si>
    <t>311250630</t>
  </si>
  <si>
    <t>02068</t>
  </si>
  <si>
    <t>311250606</t>
  </si>
  <si>
    <t>Kanza Aulia Zahrani Maulidi</t>
  </si>
  <si>
    <t>02069</t>
  </si>
  <si>
    <t>311250632</t>
  </si>
  <si>
    <t>Filkian Lailun Nisfiyah</t>
  </si>
  <si>
    <t>02070</t>
  </si>
  <si>
    <t>311250633</t>
  </si>
  <si>
    <t>Nafizah</t>
  </si>
  <si>
    <t>02071</t>
  </si>
  <si>
    <t>311240623</t>
  </si>
  <si>
    <t>Deanisa Alfaira Habiba</t>
  </si>
  <si>
    <t>02072</t>
  </si>
  <si>
    <t>311241102</t>
  </si>
  <si>
    <t>Cahya Maulida Bahri</t>
  </si>
  <si>
    <t>02073</t>
  </si>
  <si>
    <t>311250603</t>
  </si>
  <si>
    <t>Kamila Kamil</t>
  </si>
  <si>
    <t>02074</t>
  </si>
  <si>
    <t>311250672</t>
  </si>
  <si>
    <t>Aisyah Miftahul Riskiah</t>
  </si>
  <si>
    <t>02075</t>
  </si>
  <si>
    <t>311250716</t>
  </si>
  <si>
    <t>Aqila Asilia Rohma</t>
  </si>
  <si>
    <t>02076</t>
  </si>
  <si>
    <t>311250717</t>
  </si>
  <si>
    <t>Mar'atus Sholiha</t>
  </si>
  <si>
    <t>02077</t>
  </si>
  <si>
    <t>311250718</t>
  </si>
  <si>
    <t>Safira Yetul M.</t>
  </si>
  <si>
    <t>02078</t>
  </si>
  <si>
    <t>311230992</t>
  </si>
  <si>
    <t>Safira Aulia Putri</t>
  </si>
  <si>
    <t>02079</t>
  </si>
  <si>
    <t>311250719</t>
  </si>
  <si>
    <t>Hofidatur Rofiah</t>
  </si>
  <si>
    <t>02080</t>
  </si>
  <si>
    <t>311240995</t>
  </si>
  <si>
    <t>Nagita Elicia Afitri</t>
  </si>
  <si>
    <t>02081</t>
  </si>
  <si>
    <t>311250605</t>
  </si>
  <si>
    <t>Putri Nia Ramdhani</t>
  </si>
  <si>
    <t>02082</t>
  </si>
  <si>
    <t>311240455</t>
  </si>
  <si>
    <t>Ilmin Nurun Ni'mah</t>
  </si>
  <si>
    <t>02083</t>
  </si>
  <si>
    <t>311250129</t>
  </si>
  <si>
    <t>Ayunda Nayli Salsabila R.</t>
  </si>
  <si>
    <t>02084</t>
  </si>
  <si>
    <t>311250130</t>
  </si>
  <si>
    <t>Adinda Nayli Salsabila R.</t>
  </si>
  <si>
    <t>02085</t>
  </si>
  <si>
    <t>311250693</t>
  </si>
  <si>
    <t>Reva Renata Alesha Paramesti</t>
  </si>
  <si>
    <t>02086</t>
  </si>
  <si>
    <t>311250695</t>
  </si>
  <si>
    <t>Aisyah Putri Ramadhani</t>
  </si>
  <si>
    <t>02087</t>
  </si>
  <si>
    <t>311250696</t>
  </si>
  <si>
    <t>Siti Nur Zaenab</t>
  </si>
  <si>
    <t>02088</t>
  </si>
  <si>
    <t>311250728</t>
  </si>
  <si>
    <t>Lailatul Qodariyah</t>
  </si>
  <si>
    <t>02089</t>
  </si>
  <si>
    <t>311240236</t>
  </si>
  <si>
    <t>Syarifah Hilda</t>
  </si>
  <si>
    <t>02090</t>
  </si>
  <si>
    <t>311250604</t>
  </si>
  <si>
    <t>Anisatul Firdausiyah</t>
  </si>
  <si>
    <t>02091</t>
  </si>
  <si>
    <t>311250673</t>
  </si>
  <si>
    <t>Nindy Olivia Sari</t>
  </si>
  <si>
    <t>02092</t>
  </si>
  <si>
    <t>311250697</t>
  </si>
  <si>
    <t>Nur Jannah Nigmatul Maghfiroh</t>
  </si>
  <si>
    <t>02093</t>
  </si>
  <si>
    <t>311250653</t>
  </si>
  <si>
    <t>Arini Wulandari</t>
  </si>
  <si>
    <t>02094</t>
  </si>
  <si>
    <t>311250654</t>
  </si>
  <si>
    <t>Faizah Faridaturrohmatullah</t>
  </si>
  <si>
    <t>02095</t>
  </si>
  <si>
    <t>311250131</t>
  </si>
  <si>
    <t>Silvia</t>
  </si>
  <si>
    <t>02096</t>
  </si>
  <si>
    <t>311250655</t>
  </si>
  <si>
    <t>Aulia Wima Najwa Rani</t>
  </si>
  <si>
    <t>02097</t>
  </si>
  <si>
    <t>311250674</t>
  </si>
  <si>
    <t>Nabilatus Sholeha</t>
  </si>
  <si>
    <t>02098</t>
  </si>
  <si>
    <t>311250146</t>
  </si>
  <si>
    <t>Keyra Alfunada</t>
  </si>
  <si>
    <t>02099</t>
  </si>
  <si>
    <t>311250656</t>
  </si>
  <si>
    <t>Isti'adatul Mukoh Khoiroh</t>
  </si>
  <si>
    <t>02100</t>
  </si>
  <si>
    <t>311250675</t>
  </si>
  <si>
    <t xml:space="preserve">Faira Febri Ana </t>
  </si>
  <si>
    <t>02101</t>
  </si>
  <si>
    <t>311250147</t>
  </si>
  <si>
    <t>Indira Pratiwi</t>
  </si>
  <si>
    <t>02102</t>
  </si>
  <si>
    <t>311250148</t>
  </si>
  <si>
    <t>Olivia Putri</t>
  </si>
  <si>
    <t>02103</t>
  </si>
  <si>
    <t>Fa'iqotul Jennah</t>
  </si>
  <si>
    <t>02104</t>
  </si>
  <si>
    <t>Ifadatul Fajriyah</t>
  </si>
  <si>
    <t>02105</t>
  </si>
  <si>
    <t>Najwa Livi Anggrayni</t>
  </si>
  <si>
    <t>02106</t>
  </si>
  <si>
    <t>Malwinatul Izza</t>
  </si>
  <si>
    <t>02107</t>
  </si>
  <si>
    <t>Adi Batur Rosyadah</t>
  </si>
  <si>
    <t>02108</t>
  </si>
  <si>
    <t>Shinta Nuria Azzahra</t>
  </si>
  <si>
    <t>02109</t>
  </si>
  <si>
    <t>Nadifa Marsya Alihroffi</t>
  </si>
  <si>
    <t>02110</t>
  </si>
  <si>
    <t>Erlyta Arsifa Salsabilla</t>
  </si>
  <si>
    <t>02111</t>
  </si>
  <si>
    <t>Isti'anatul Maulidiya</t>
  </si>
  <si>
    <t>02112</t>
  </si>
  <si>
    <t>Mia Asqiatul Jannah</t>
  </si>
  <si>
    <t>02113</t>
  </si>
  <si>
    <t>Dwi Nur Aisyah</t>
  </si>
  <si>
    <t>02114</t>
  </si>
  <si>
    <t>Afifatul Karimah</t>
  </si>
  <si>
    <t>02115</t>
  </si>
  <si>
    <t>Anisatul Musrifah</t>
  </si>
  <si>
    <t>02116</t>
  </si>
  <si>
    <t>Wilda Alifa Rizqiani</t>
  </si>
  <si>
    <t>02117</t>
  </si>
  <si>
    <t>Khuswatun Hasanah</t>
  </si>
  <si>
    <t>02118</t>
  </si>
  <si>
    <t>Kayla Salsabila</t>
  </si>
  <si>
    <t>02119</t>
  </si>
  <si>
    <t>Ribby Kamelia Azfa</t>
  </si>
  <si>
    <t>02120</t>
  </si>
  <si>
    <t>Renita Nur Fadila</t>
  </si>
  <si>
    <t>02121</t>
  </si>
  <si>
    <t>Mufidatul Qori'ah</t>
  </si>
  <si>
    <t>02122</t>
  </si>
  <si>
    <t>Siti Salwatun Nadzyfah</t>
  </si>
  <si>
    <t>02123</t>
  </si>
  <si>
    <t>311240646</t>
  </si>
  <si>
    <t>Husnul Khotimah</t>
  </si>
  <si>
    <t>II L MDTA</t>
  </si>
  <si>
    <t>02124</t>
  </si>
  <si>
    <t>311250117</t>
  </si>
  <si>
    <t>Malika Hunaivi Millata</t>
  </si>
  <si>
    <t>02125</t>
  </si>
  <si>
    <t>311250677</t>
  </si>
  <si>
    <t>Fira Nafishoh</t>
  </si>
  <si>
    <t>02126</t>
  </si>
  <si>
    <t>311250149</t>
  </si>
  <si>
    <t>Jamilatul Badriyah</t>
  </si>
  <si>
    <t>02127</t>
  </si>
  <si>
    <t>311250678</t>
  </si>
  <si>
    <t>Andara syelia Rohib</t>
  </si>
  <si>
    <t>02128</t>
  </si>
  <si>
    <t>311250998</t>
  </si>
  <si>
    <t>Eva Ainul Hasanah</t>
  </si>
  <si>
    <t>02129</t>
  </si>
  <si>
    <t>311250634</t>
  </si>
  <si>
    <t>Indy Zahirotuz Zahiroh</t>
  </si>
  <si>
    <t>02130</t>
  </si>
  <si>
    <t>311250679</t>
  </si>
  <si>
    <t>Mardiyah</t>
  </si>
  <si>
    <t>02131</t>
  </si>
  <si>
    <t>311250636</t>
  </si>
  <si>
    <t>Rakhel Aulia</t>
  </si>
  <si>
    <t>02132</t>
  </si>
  <si>
    <t>311250637</t>
  </si>
  <si>
    <t>Ayu Masita Sari</t>
  </si>
  <si>
    <t>02133</t>
  </si>
  <si>
    <t>311251019</t>
  </si>
  <si>
    <t>Aula Habluna Nazila</t>
  </si>
  <si>
    <t>02134</t>
  </si>
  <si>
    <t>311250639</t>
  </si>
  <si>
    <t>Ainun Zaskiyah</t>
  </si>
  <si>
    <t>02135</t>
  </si>
  <si>
    <t>311250720</t>
  </si>
  <si>
    <t>02136</t>
  </si>
  <si>
    <t>311250721</t>
  </si>
  <si>
    <t>Hanunnatun Nafiiyah Susanto</t>
  </si>
  <si>
    <t>02137</t>
  </si>
  <si>
    <t>311250722</t>
  </si>
  <si>
    <t>Ainun Nikmah</t>
  </si>
  <si>
    <t>02138</t>
  </si>
  <si>
    <t>311250723</t>
  </si>
  <si>
    <t>02139</t>
  </si>
  <si>
    <t>311240456</t>
  </si>
  <si>
    <t>Elen Rahmatika Aziziah</t>
  </si>
  <si>
    <t>02140</t>
  </si>
  <si>
    <t>311250607</t>
  </si>
  <si>
    <t>Nuril Ilmiah</t>
  </si>
  <si>
    <t>02141</t>
  </si>
  <si>
    <t>311251010</t>
  </si>
  <si>
    <t>Qorin Nur Aisyah</t>
  </si>
  <si>
    <t>02142</t>
  </si>
  <si>
    <t>311250608</t>
  </si>
  <si>
    <t>Afifa Nahda Humairoh</t>
  </si>
  <si>
    <t>02143</t>
  </si>
  <si>
    <t>311250610</t>
  </si>
  <si>
    <t>Siti Elisa Ana Khumairoh</t>
  </si>
  <si>
    <t>02144</t>
  </si>
  <si>
    <t>311250611</t>
  </si>
  <si>
    <t>Khomaria Balqis Nurul Azizah</t>
  </si>
  <si>
    <t>02145</t>
  </si>
  <si>
    <t>311251011</t>
  </si>
  <si>
    <t>Aurora Zavirotul Haviza</t>
  </si>
  <si>
    <t>02146</t>
  </si>
  <si>
    <t>311250698</t>
  </si>
  <si>
    <t xml:space="preserve">Nur Alifah </t>
  </si>
  <si>
    <t>02147</t>
  </si>
  <si>
    <t>311251012</t>
  </si>
  <si>
    <t>Luthfi Ainia Faida Azmi</t>
  </si>
  <si>
    <t>02148</t>
  </si>
  <si>
    <t>311250657</t>
  </si>
  <si>
    <t xml:space="preserve">Putri Nadia Natasyah </t>
  </si>
  <si>
    <t>02149</t>
  </si>
  <si>
    <t>311250658</t>
  </si>
  <si>
    <t>Dinda Fasya Kirana</t>
  </si>
  <si>
    <t>02150</t>
  </si>
  <si>
    <t>Nisa Nur Aini</t>
  </si>
  <si>
    <t>02151</t>
  </si>
  <si>
    <t>311250676</t>
  </si>
  <si>
    <t>Soleha Putri Ananda</t>
  </si>
  <si>
    <t>02152</t>
  </si>
  <si>
    <t>311250659</t>
  </si>
  <si>
    <t>Shafa Zahratul Aulia</t>
  </si>
  <si>
    <t>02153</t>
  </si>
  <si>
    <t>311250999</t>
  </si>
  <si>
    <t>Fransisca Virginia Anastasya Putri</t>
  </si>
  <si>
    <t>02154</t>
  </si>
  <si>
    <t>311250660</t>
  </si>
  <si>
    <t>Syafa Afkarina</t>
  </si>
  <si>
    <t>02155</t>
  </si>
  <si>
    <t>311241099</t>
  </si>
  <si>
    <t>Almira Nur Aida</t>
  </si>
  <si>
    <t>02156</t>
  </si>
  <si>
    <t>311251013</t>
  </si>
  <si>
    <t xml:space="preserve">Adinda Febrin Ayudian </t>
  </si>
  <si>
    <t>02157</t>
  </si>
  <si>
    <t>311250701</t>
  </si>
  <si>
    <t>Evrilana Nuril Nabila</t>
  </si>
  <si>
    <t>02158</t>
  </si>
  <si>
    <t>311240962</t>
  </si>
  <si>
    <t>Tasya Maulidya Pratiwi</t>
  </si>
  <si>
    <t>02159</t>
  </si>
  <si>
    <t>311240717</t>
  </si>
  <si>
    <t>Asyifatus Sa'adah Nur Aini</t>
  </si>
  <si>
    <t>02160</t>
  </si>
  <si>
    <t>311250115</t>
  </si>
  <si>
    <t>Nayla Salwa Zaliyanti</t>
  </si>
  <si>
    <t>02161</t>
  </si>
  <si>
    <t>311251001</t>
  </si>
  <si>
    <t>Siti Lailatul Nur Fitria</t>
  </si>
  <si>
    <t>02162</t>
  </si>
  <si>
    <t>311240108</t>
  </si>
  <si>
    <t>Alfia Syah</t>
  </si>
  <si>
    <t>02163</t>
  </si>
  <si>
    <t>311251000</t>
  </si>
  <si>
    <t>Aila Zuhra Novi Andila</t>
  </si>
  <si>
    <t>02164</t>
  </si>
  <si>
    <t>311250616</t>
  </si>
  <si>
    <t>Fathin Fatimatu Qiraatu</t>
  </si>
  <si>
    <t>02165</t>
  </si>
  <si>
    <t>Keysha Anindya Zahira</t>
  </si>
  <si>
    <t>02166</t>
  </si>
  <si>
    <t>Siti Rokhmah</t>
  </si>
  <si>
    <t>02167</t>
  </si>
  <si>
    <t>Mutiara Indah</t>
  </si>
  <si>
    <t>02168</t>
  </si>
  <si>
    <t>Salwa Izzati Kamila</t>
  </si>
  <si>
    <t>02169</t>
  </si>
  <si>
    <t>Izza Qur'ani Nazila Lukman</t>
  </si>
  <si>
    <t>02170</t>
  </si>
  <si>
    <t>Inayah Zahrotus Syifa</t>
  </si>
  <si>
    <t>02171</t>
  </si>
  <si>
    <t>Icha Hawa Syaputri</t>
  </si>
  <si>
    <t>02172</t>
  </si>
  <si>
    <t>Fifti Aprilia Lailatul Havidoh</t>
  </si>
  <si>
    <t>02173</t>
  </si>
  <si>
    <t>Silfia Dafina Aulia</t>
  </si>
  <si>
    <t>02174</t>
  </si>
  <si>
    <t>Wafiq Azkia Afkarina</t>
  </si>
  <si>
    <t>02175</t>
  </si>
  <si>
    <t>Masrurotun Nafisah</t>
  </si>
  <si>
    <t>02176</t>
  </si>
  <si>
    <t>Firda Alwadani</t>
  </si>
  <si>
    <t>02177</t>
  </si>
  <si>
    <t>Fitrotus Zakiyah</t>
  </si>
  <si>
    <t>02178</t>
  </si>
  <si>
    <t>Baitun Nur Rohma</t>
  </si>
  <si>
    <t>02179</t>
  </si>
  <si>
    <t>Arina Salsabila</t>
  </si>
  <si>
    <t>02180</t>
  </si>
  <si>
    <t>Nahdiah Nuris Sa'adah</t>
  </si>
  <si>
    <t>02181</t>
  </si>
  <si>
    <t>Inni Maulidatul Ula</t>
  </si>
  <si>
    <t>02182</t>
  </si>
  <si>
    <t>Karimatus Sofia</t>
  </si>
  <si>
    <t>02183</t>
  </si>
  <si>
    <t>Kanza Zahra Amira Rahmani</t>
  </si>
  <si>
    <t>02184</t>
  </si>
  <si>
    <t>Siti Fatia Ainunnaja</t>
  </si>
  <si>
    <t>02185</t>
  </si>
  <si>
    <t>Renata Floraysa</t>
  </si>
  <si>
    <t>02186</t>
  </si>
  <si>
    <t>311250118</t>
  </si>
  <si>
    <t>Laili Faradiah</t>
  </si>
  <si>
    <t>II M MDTA</t>
  </si>
  <si>
    <t>02187</t>
  </si>
  <si>
    <t>311250119</t>
  </si>
  <si>
    <t>Husnayatin Andhawiyah</t>
  </si>
  <si>
    <t>02188</t>
  </si>
  <si>
    <t>311240718</t>
  </si>
  <si>
    <t>Adinda Maulidia Febriana</t>
  </si>
  <si>
    <t>02189</t>
  </si>
  <si>
    <t>311240974</t>
  </si>
  <si>
    <t>Fitri Anjani Saputri</t>
  </si>
  <si>
    <t>02190</t>
  </si>
  <si>
    <t>311250134</t>
  </si>
  <si>
    <t>Lu'luatil Maknunah</t>
  </si>
  <si>
    <t>02191</t>
  </si>
  <si>
    <t>311250135</t>
  </si>
  <si>
    <t>Layna Agustin Ramadhani</t>
  </si>
  <si>
    <t>02192</t>
  </si>
  <si>
    <t>311250136</t>
  </si>
  <si>
    <t>Aisyah Romadona Izzatul Putri</t>
  </si>
  <si>
    <t>02193</t>
  </si>
  <si>
    <t>311251042</t>
  </si>
  <si>
    <t>Layyinatul Albiyah</t>
  </si>
  <si>
    <t>02194</t>
  </si>
  <si>
    <t>311250120</t>
  </si>
  <si>
    <t>02195</t>
  </si>
  <si>
    <t>311250121</t>
  </si>
  <si>
    <t>Cindy Diva Aprilia</t>
  </si>
  <si>
    <t>02196</t>
  </si>
  <si>
    <t>311240625</t>
  </si>
  <si>
    <t xml:space="preserve">Silvia Nur Aisyah </t>
  </si>
  <si>
    <t>02197</t>
  </si>
  <si>
    <t>311250680</t>
  </si>
  <si>
    <t>Siti Amina Dwi Anggraini</t>
  </si>
  <si>
    <t>02198</t>
  </si>
  <si>
    <t>311250681</t>
  </si>
  <si>
    <t>Nabila Aulia Safa</t>
  </si>
  <si>
    <t>02199</t>
  </si>
  <si>
    <t>311250640</t>
  </si>
  <si>
    <t>Kaera Nazwa Arumy</t>
  </si>
  <si>
    <t>02200</t>
  </si>
  <si>
    <t>311250641</t>
  </si>
  <si>
    <t>Adelia Fahiratus Zahro</t>
  </si>
  <si>
    <t>02201</t>
  </si>
  <si>
    <t>311250682</t>
  </si>
  <si>
    <t xml:space="preserve">Amelia Yasmin </t>
  </si>
  <si>
    <t>02202</t>
  </si>
  <si>
    <t>311250642</t>
  </si>
  <si>
    <t>Khumairoh Ramadhani</t>
  </si>
  <si>
    <t>02203</t>
  </si>
  <si>
    <t>311250643</t>
  </si>
  <si>
    <t xml:space="preserve">Ana Lutfia </t>
  </si>
  <si>
    <t>02204</t>
  </si>
  <si>
    <t>311250683</t>
  </si>
  <si>
    <t>Riha Itriatul Mafudhah</t>
  </si>
  <si>
    <t>02205</t>
  </si>
  <si>
    <t>311251015</t>
  </si>
  <si>
    <t>Ayu Regina Putri</t>
  </si>
  <si>
    <t>02206</t>
  </si>
  <si>
    <t>311250724</t>
  </si>
  <si>
    <t>Tupyatis Salamah</t>
  </si>
  <si>
    <t>02207</t>
  </si>
  <si>
    <t>311250725</t>
  </si>
  <si>
    <t>Aulia Luna Az-zahra</t>
  </si>
  <si>
    <t>02208</t>
  </si>
  <si>
    <t>311250726</t>
  </si>
  <si>
    <t>Bela Tri Safira</t>
  </si>
  <si>
    <t>02209</t>
  </si>
  <si>
    <t>311250727</t>
  </si>
  <si>
    <t>Naila Farahatus Zahra</t>
  </si>
  <si>
    <t>02210</t>
  </si>
  <si>
    <t>311240065</t>
  </si>
  <si>
    <t>Rifatul Hazizah</t>
  </si>
  <si>
    <t>D 05</t>
  </si>
  <si>
    <t>02211</t>
  </si>
  <si>
    <t>311250612</t>
  </si>
  <si>
    <t>Malika Azalea Fathira An-Najmah</t>
  </si>
  <si>
    <t>02212</t>
  </si>
  <si>
    <t>311250613</t>
  </si>
  <si>
    <t>Finzah Linzi Fizriyah</t>
  </si>
  <si>
    <t>02213</t>
  </si>
  <si>
    <t>311250615</t>
  </si>
  <si>
    <t>Dita Aprilia</t>
  </si>
  <si>
    <t>02214</t>
  </si>
  <si>
    <t>311250132</t>
  </si>
  <si>
    <t>Devi Adelia Nur Badriah</t>
  </si>
  <si>
    <t>02215</t>
  </si>
  <si>
    <t>311251020</t>
  </si>
  <si>
    <t>Rosidatus Syifa</t>
  </si>
  <si>
    <t>02216</t>
  </si>
  <si>
    <t>311250661</t>
  </si>
  <si>
    <t>Syifa Afkarina</t>
  </si>
  <si>
    <t>02217</t>
  </si>
  <si>
    <t>311250662</t>
  </si>
  <si>
    <t>Shabiyya Jahra Faiha</t>
  </si>
  <si>
    <t>02218</t>
  </si>
  <si>
    <t>311250663</t>
  </si>
  <si>
    <t>Zaskiyah</t>
  </si>
  <si>
    <t>02219</t>
  </si>
  <si>
    <t>311251014</t>
  </si>
  <si>
    <t>Valent Ziat Rizkyna Aulia</t>
  </si>
  <si>
    <t>02220</t>
  </si>
  <si>
    <t>311250702</t>
  </si>
  <si>
    <t>Lutviatul Kamila</t>
  </si>
  <si>
    <t>02221</t>
  </si>
  <si>
    <t>311251002</t>
  </si>
  <si>
    <t>Siti Aisyah Putri</t>
  </si>
  <si>
    <t>02222</t>
  </si>
  <si>
    <t>311250704</t>
  </si>
  <si>
    <t>Alfiah Ramadhani</t>
  </si>
  <si>
    <t>02223</t>
  </si>
  <si>
    <t>311250705</t>
  </si>
  <si>
    <t>Siti Nur Azizah</t>
  </si>
  <si>
    <t>02224</t>
  </si>
  <si>
    <t>311250706</t>
  </si>
  <si>
    <t>Rismawati</t>
  </si>
  <si>
    <t>02225</t>
  </si>
  <si>
    <t>311250664</t>
  </si>
  <si>
    <t>Binta Atiqotul Azkiya</t>
  </si>
  <si>
    <t>02226</t>
  </si>
  <si>
    <t>Faza Alya Kamalin</t>
  </si>
  <si>
    <t>02227</t>
  </si>
  <si>
    <t>Sintiya Putri Ramadani</t>
  </si>
  <si>
    <t>02228</t>
  </si>
  <si>
    <t>Faza Ilya Kamalin</t>
  </si>
  <si>
    <t>02229</t>
  </si>
  <si>
    <t>Ismi Hannani Lainun</t>
  </si>
  <si>
    <t>02230</t>
  </si>
  <si>
    <t>Silvia Sari Amanda Putri</t>
  </si>
  <si>
    <t>02231</t>
  </si>
  <si>
    <t>Aliya Azizatun Nisa</t>
  </si>
  <si>
    <t>02232</t>
  </si>
  <si>
    <t>Fauzatul Jannah</t>
  </si>
  <si>
    <t>02233</t>
  </si>
  <si>
    <t>Dia Lintang Ramadani</t>
  </si>
  <si>
    <t>02234</t>
  </si>
  <si>
    <t>Sofa Kamelia</t>
  </si>
  <si>
    <t>02235</t>
  </si>
  <si>
    <t>Qudratun Nada Salsabila</t>
  </si>
  <si>
    <t>02236</t>
  </si>
  <si>
    <t>Raisyah Hawa Oktaviansyah</t>
  </si>
  <si>
    <t>02237</t>
  </si>
  <si>
    <t>Balgis Zaimatul Cholik</t>
  </si>
  <si>
    <t>02238</t>
  </si>
  <si>
    <t>Sa'idatul Fitriani</t>
  </si>
  <si>
    <t>02239</t>
  </si>
  <si>
    <t>Hilmiyah Faizatul Mafahir</t>
  </si>
  <si>
    <t>02240</t>
  </si>
  <si>
    <t>Inayatus Sholehah</t>
  </si>
  <si>
    <t>02241</t>
  </si>
  <si>
    <t>Jauharotun Nafisah</t>
  </si>
  <si>
    <t>02242</t>
  </si>
  <si>
    <t>Robi'atul Maulidiyah</t>
  </si>
  <si>
    <t>02243</t>
  </si>
  <si>
    <t>Prita Aprilia</t>
  </si>
  <si>
    <t>02244</t>
  </si>
  <si>
    <t>Azzahtun Nur Afkarina</t>
  </si>
  <si>
    <t>02245</t>
  </si>
  <si>
    <t>Safira</t>
  </si>
  <si>
    <t>02246</t>
  </si>
  <si>
    <t>311240638</t>
  </si>
  <si>
    <t>Khoirotus Syahro Rohimatun</t>
  </si>
  <si>
    <t>II N MDTA</t>
  </si>
  <si>
    <t>02247</t>
  </si>
  <si>
    <t>311250648</t>
  </si>
  <si>
    <t>Lusiana Dewi</t>
  </si>
  <si>
    <t>02248</t>
  </si>
  <si>
    <t>311250711</t>
  </si>
  <si>
    <t xml:space="preserve">Auziah Ramadhani </t>
  </si>
  <si>
    <t>02249</t>
  </si>
  <si>
    <t>311250729</t>
  </si>
  <si>
    <t>Izza Maulidatul Karomah</t>
  </si>
  <si>
    <t>02250</t>
  </si>
  <si>
    <t>311251016</t>
  </si>
  <si>
    <t>02251</t>
  </si>
  <si>
    <t>311251017</t>
  </si>
  <si>
    <t>Revi Wulandari</t>
  </si>
  <si>
    <t>02252</t>
  </si>
  <si>
    <t>311250122</t>
  </si>
  <si>
    <t>Nailil Maghfiroh</t>
  </si>
  <si>
    <t>02253</t>
  </si>
  <si>
    <t>311250600</t>
  </si>
  <si>
    <t>Faza Jauharotul Kamaila</t>
  </si>
  <si>
    <t>02254</t>
  </si>
  <si>
    <t>311250137</t>
  </si>
  <si>
    <t>Ardilatul Zaskia Rafifah</t>
  </si>
  <si>
    <t>02255</t>
  </si>
  <si>
    <t>311250138</t>
  </si>
  <si>
    <t>02256</t>
  </si>
  <si>
    <t>311250601</t>
  </si>
  <si>
    <t>Dea Aura Azhara</t>
  </si>
  <si>
    <t>02257</t>
  </si>
  <si>
    <t>311250602</t>
  </si>
  <si>
    <t>Putri Aira Aulia Maulidina</t>
  </si>
  <si>
    <t>02258</t>
  </si>
  <si>
    <t>311241103</t>
  </si>
  <si>
    <t>Nur Afita Wiji Lestari</t>
  </si>
  <si>
    <t>02259</t>
  </si>
  <si>
    <t>311230991</t>
  </si>
  <si>
    <t>Sofiatul Jamila</t>
  </si>
  <si>
    <t>02260</t>
  </si>
  <si>
    <t>311241101</t>
  </si>
  <si>
    <t>Nanda Irdiana Safitri</t>
  </si>
  <si>
    <t>02261</t>
  </si>
  <si>
    <t>311250140</t>
  </si>
  <si>
    <t>Aprilian Dwi Wagesa</t>
  </si>
  <si>
    <t>02262</t>
  </si>
  <si>
    <t>311250644</t>
  </si>
  <si>
    <t>Ima Nur Sabila</t>
  </si>
  <si>
    <t>02263</t>
  </si>
  <si>
    <t>311250646</t>
  </si>
  <si>
    <t>Devita Halfat Triarta</t>
  </si>
  <si>
    <t>02264</t>
  </si>
  <si>
    <t>311250684</t>
  </si>
  <si>
    <t>I'anatus Sa'adah</t>
  </si>
  <si>
    <t>02265</t>
  </si>
  <si>
    <t>311250685</t>
  </si>
  <si>
    <t>Nuriatus Zahro</t>
  </si>
  <si>
    <t>02266</t>
  </si>
  <si>
    <t>311241100</t>
  </si>
  <si>
    <t>Rif'atul Mukarromah</t>
  </si>
  <si>
    <t>02267</t>
  </si>
  <si>
    <t>311250145</t>
  </si>
  <si>
    <t>Aamirah Nabiilah</t>
  </si>
  <si>
    <t>02268</t>
  </si>
  <si>
    <t>311250647</t>
  </si>
  <si>
    <t>Siti Mu'allifah</t>
  </si>
  <si>
    <t>02269</t>
  </si>
  <si>
    <t>311241104</t>
  </si>
  <si>
    <t>Putri Dinda Ramadhani</t>
  </si>
  <si>
    <t>02270</t>
  </si>
  <si>
    <t>311250617</t>
  </si>
  <si>
    <t>Jumiatika Bilqis Azizah</t>
  </si>
  <si>
    <t>02271</t>
  </si>
  <si>
    <t>311250618</t>
  </si>
  <si>
    <t>Putri Nabila Azzahra</t>
  </si>
  <si>
    <t>02272</t>
  </si>
  <si>
    <t>311250686</t>
  </si>
  <si>
    <t>Lailatul Ilmiah</t>
  </si>
  <si>
    <t>02273</t>
  </si>
  <si>
    <t>311241098</t>
  </si>
  <si>
    <t>Revita Ria Putri</t>
  </si>
  <si>
    <t>02274</t>
  </si>
  <si>
    <t>311250665</t>
  </si>
  <si>
    <t>Ulin Nuha Az-Zahra</t>
  </si>
  <si>
    <t>02275</t>
  </si>
  <si>
    <t>311250687</t>
  </si>
  <si>
    <t>Lailatul Rofiqoh</t>
  </si>
  <si>
    <t>02276</t>
  </si>
  <si>
    <t>311250666</t>
  </si>
  <si>
    <t>Faizatut Diana</t>
  </si>
  <si>
    <t>02277</t>
  </si>
  <si>
    <t>311241105</t>
  </si>
  <si>
    <t>Afiqotul Lailia</t>
  </si>
  <si>
    <t>02278</t>
  </si>
  <si>
    <t>311251003</t>
  </si>
  <si>
    <t>Nailatul Maghfiroh Ramadhani</t>
  </si>
  <si>
    <t>02279</t>
  </si>
  <si>
    <t>311251004</t>
  </si>
  <si>
    <t>Novita Amelia</t>
  </si>
  <si>
    <t>02280</t>
  </si>
  <si>
    <t>311251005</t>
  </si>
  <si>
    <t>Diana Putri Anggraini</t>
  </si>
  <si>
    <t>02281</t>
  </si>
  <si>
    <t>311250619</t>
  </si>
  <si>
    <t>Hayatul Husna</t>
  </si>
  <si>
    <t>02282</t>
  </si>
  <si>
    <t>311250667</t>
  </si>
  <si>
    <t>Siti Nur Halizah</t>
  </si>
  <si>
    <t>02283</t>
  </si>
  <si>
    <t>311250707</t>
  </si>
  <si>
    <t>Siti Nur Ifatus Zahro</t>
  </si>
  <si>
    <t>02284</t>
  </si>
  <si>
    <t>311250708</t>
  </si>
  <si>
    <t>Siti Muyassaroh</t>
  </si>
  <si>
    <t>02285</t>
  </si>
  <si>
    <t>311250710</t>
  </si>
  <si>
    <t>Fernanda Yusnia Ramadani</t>
  </si>
  <si>
    <t>02286</t>
  </si>
  <si>
    <t>Hilyatul Izzah</t>
  </si>
  <si>
    <t>02287</t>
  </si>
  <si>
    <t>Zahra Aulia</t>
  </si>
  <si>
    <t>02288</t>
  </si>
  <si>
    <t>Nada Lutfi Amirul Nisa</t>
  </si>
  <si>
    <t>02289</t>
  </si>
  <si>
    <t>Eva Lia Putri</t>
  </si>
  <si>
    <t>02290</t>
  </si>
  <si>
    <t>Siti Halima</t>
  </si>
  <si>
    <t>02291</t>
  </si>
  <si>
    <t>Mahiroh</t>
  </si>
  <si>
    <t>02292</t>
  </si>
  <si>
    <t>Alisia Nuris Syifa</t>
  </si>
  <si>
    <t>02293</t>
  </si>
  <si>
    <t>Naysila Asofa Rumi</t>
  </si>
  <si>
    <t>02294</t>
  </si>
  <si>
    <t>Maulida Milqi Abi</t>
  </si>
  <si>
    <t>02295</t>
  </si>
  <si>
    <t>Qotrun Nada Salsabila</t>
  </si>
  <si>
    <t>02296</t>
  </si>
  <si>
    <t>Isnaini Mutaza</t>
  </si>
  <si>
    <t>02297</t>
  </si>
  <si>
    <t>Zahira Lidia Maharani</t>
  </si>
  <si>
    <t>02298</t>
  </si>
  <si>
    <t>Siti Nur Diana Nafisah</t>
  </si>
  <si>
    <t>02299</t>
  </si>
  <si>
    <t>Kamilatus Saadah</t>
  </si>
  <si>
    <t>02300</t>
  </si>
  <si>
    <t>Siti Soleha</t>
  </si>
  <si>
    <t>02301</t>
  </si>
  <si>
    <t>Siti Aisyah Wulandari</t>
  </si>
  <si>
    <t>02302</t>
  </si>
  <si>
    <t>Sofia Elmira Rahmadania</t>
  </si>
  <si>
    <t>02303</t>
  </si>
  <si>
    <t>Ananda Khoridatun Anisa</t>
  </si>
  <si>
    <t>02304</t>
  </si>
  <si>
    <t>Nurul Jassica</t>
  </si>
  <si>
    <t>02305</t>
  </si>
  <si>
    <t>Nafisah Hilmi Az Zahra</t>
  </si>
  <si>
    <t>03001</t>
  </si>
  <si>
    <t>Saskia Aurani</t>
  </si>
  <si>
    <t>III L MDTA</t>
  </si>
  <si>
    <t>03002</t>
  </si>
  <si>
    <t>311240963</t>
  </si>
  <si>
    <t>Yasminatul Laila</t>
  </si>
  <si>
    <t>03003</t>
  </si>
  <si>
    <t>311240063</t>
  </si>
  <si>
    <t>Ekawati Al Musrifah</t>
  </si>
  <si>
    <t>03004</t>
  </si>
  <si>
    <t>311250755</t>
  </si>
  <si>
    <t>Silvi Lailatus Zuhro</t>
  </si>
  <si>
    <t>03005</t>
  </si>
  <si>
    <t>311250743</t>
  </si>
  <si>
    <t>Riska Auliya</t>
  </si>
  <si>
    <t>03006</t>
  </si>
  <si>
    <t>311240724</t>
  </si>
  <si>
    <t>Jamilatul Ardila</t>
  </si>
  <si>
    <t>03007</t>
  </si>
  <si>
    <t>311240654</t>
  </si>
  <si>
    <t>Fita Sari</t>
  </si>
  <si>
    <t>03008</t>
  </si>
  <si>
    <t>Qanita Qurrota A'yun</t>
  </si>
  <si>
    <t>03009</t>
  </si>
  <si>
    <t>311240167</t>
  </si>
  <si>
    <t>Ulin Nafishatul Mawaddah</t>
  </si>
  <si>
    <t>03010</t>
  </si>
  <si>
    <t>311240169</t>
  </si>
  <si>
    <t>Sholehatul Amalia</t>
  </si>
  <si>
    <t>03011</t>
  </si>
  <si>
    <t>Alimatus Sholihah</t>
  </si>
  <si>
    <t>03012</t>
  </si>
  <si>
    <t>311250169</t>
  </si>
  <si>
    <t>Hosniyeh</t>
  </si>
  <si>
    <t>03013</t>
  </si>
  <si>
    <t>311250170</t>
  </si>
  <si>
    <t>03014</t>
  </si>
  <si>
    <t>311240636</t>
  </si>
  <si>
    <t>Zenifa Evita Fitriani</t>
  </si>
  <si>
    <t>03015</t>
  </si>
  <si>
    <t>311230337</t>
  </si>
  <si>
    <t>Vela Naili Rohma</t>
  </si>
  <si>
    <t>03016</t>
  </si>
  <si>
    <t>311240170</t>
  </si>
  <si>
    <t>Luluk Maulidatul Fitria</t>
  </si>
  <si>
    <t>03017</t>
  </si>
  <si>
    <t>311240971</t>
  </si>
  <si>
    <t>Neza Diana Okta Fajriyah</t>
  </si>
  <si>
    <t>03018</t>
  </si>
  <si>
    <t>311240965</t>
  </si>
  <si>
    <t>Siti Lailatul Qomariah</t>
  </si>
  <si>
    <t>03019</t>
  </si>
  <si>
    <t>311230347</t>
  </si>
  <si>
    <t>Durrotun Nafisah</t>
  </si>
  <si>
    <t>03020</t>
  </si>
  <si>
    <t>311240619</t>
  </si>
  <si>
    <t>Firdausi Nuzula Az Zahwa</t>
  </si>
  <si>
    <t>03021</t>
  </si>
  <si>
    <t>311230990</t>
  </si>
  <si>
    <t>Dianda Zahwa Anggraini A.</t>
  </si>
  <si>
    <t>03022</t>
  </si>
  <si>
    <t>311230680</t>
  </si>
  <si>
    <t>Caesha Rachel Attalycha P</t>
  </si>
  <si>
    <t>03023</t>
  </si>
  <si>
    <t>311250992</t>
  </si>
  <si>
    <t>Aifatuz Zahro</t>
  </si>
  <si>
    <t>03024</t>
  </si>
  <si>
    <t>311240630</t>
  </si>
  <si>
    <t>Musrifah</t>
  </si>
  <si>
    <t>03025</t>
  </si>
  <si>
    <t>311250736</t>
  </si>
  <si>
    <t>Deshi Nur Izzatul Badriyah</t>
  </si>
  <si>
    <t>03026</t>
  </si>
  <si>
    <t>311241106</t>
  </si>
  <si>
    <t>Adelia Zara Ferdiana</t>
  </si>
  <si>
    <t>03027</t>
  </si>
  <si>
    <t>311230421</t>
  </si>
  <si>
    <t>Jannatul Ramadhani</t>
  </si>
  <si>
    <t>03028</t>
  </si>
  <si>
    <t>311240992</t>
  </si>
  <si>
    <t>Novita Sari</t>
  </si>
  <si>
    <t>03029</t>
  </si>
  <si>
    <t>311250737</t>
  </si>
  <si>
    <t>Nafisyatul Alya</t>
  </si>
  <si>
    <t>03030</t>
  </si>
  <si>
    <t>311241002</t>
  </si>
  <si>
    <t>Shofiyyatus Zainah</t>
  </si>
  <si>
    <t>03031</t>
  </si>
  <si>
    <t>311250738</t>
  </si>
  <si>
    <t>03032</t>
  </si>
  <si>
    <t>311250994</t>
  </si>
  <si>
    <t>Lailatul Qodriyah</t>
  </si>
  <si>
    <t>03033</t>
  </si>
  <si>
    <t>311240243</t>
  </si>
  <si>
    <t>Alfiatus Soleha</t>
  </si>
  <si>
    <t>03034</t>
  </si>
  <si>
    <t>311240075</t>
  </si>
  <si>
    <t>Winda Sahira</t>
  </si>
  <si>
    <t>03035</t>
  </si>
  <si>
    <t>311240659</t>
  </si>
  <si>
    <t xml:space="preserve">Aurelia Feby Anindita </t>
  </si>
  <si>
    <t>03036</t>
  </si>
  <si>
    <t>311240172</t>
  </si>
  <si>
    <t>Vicha Dwi Novyanti</t>
  </si>
  <si>
    <t>03037</t>
  </si>
  <si>
    <t>311250744</t>
  </si>
  <si>
    <t>Safira Ramadani</t>
  </si>
  <si>
    <t>03038</t>
  </si>
  <si>
    <t>311240662</t>
  </si>
  <si>
    <t>Rahma Aulia Az zahra</t>
  </si>
  <si>
    <t>03039</t>
  </si>
  <si>
    <t>311230995</t>
  </si>
  <si>
    <t>Adelia Ais Rojabi</t>
  </si>
  <si>
    <t>03040</t>
  </si>
  <si>
    <t>311240186</t>
  </si>
  <si>
    <t>Gisela Vanesa Putri</t>
  </si>
  <si>
    <t>03041</t>
  </si>
  <si>
    <t>311240715</t>
  </si>
  <si>
    <t>Balqis Masyaila Sabitah</t>
  </si>
  <si>
    <t>03042</t>
  </si>
  <si>
    <t>311240961</t>
  </si>
  <si>
    <t>Fany Mariela Abva</t>
  </si>
  <si>
    <t>03043</t>
  </si>
  <si>
    <t>311240968</t>
  </si>
  <si>
    <t>Defita Eka Rahmawati</t>
  </si>
  <si>
    <t>03044</t>
  </si>
  <si>
    <t>Nafisatul Jannah</t>
  </si>
  <si>
    <t>E01</t>
  </si>
  <si>
    <t>03045</t>
  </si>
  <si>
    <t>311250164</t>
  </si>
  <si>
    <t>Malika Asyifa</t>
  </si>
  <si>
    <t>03046</t>
  </si>
  <si>
    <t>311230984</t>
  </si>
  <si>
    <t>Devi Zahrina Zahra</t>
  </si>
  <si>
    <t>03047</t>
  </si>
  <si>
    <t>311250748</t>
  </si>
  <si>
    <t>Ainun Sakinah</t>
  </si>
  <si>
    <t>03048</t>
  </si>
  <si>
    <t>311241095</t>
  </si>
  <si>
    <t>Zahrotul Shiva</t>
  </si>
  <si>
    <t>03049</t>
  </si>
  <si>
    <t>311250742</t>
  </si>
  <si>
    <t>Merisa Putri Safira</t>
  </si>
  <si>
    <t>03050</t>
  </si>
  <si>
    <t>311240072</t>
  </si>
  <si>
    <t>Nia Nuralyzah</t>
  </si>
  <si>
    <t>03051</t>
  </si>
  <si>
    <t>311250168</t>
  </si>
  <si>
    <t>Vivi Vitria Rahma</t>
  </si>
  <si>
    <t>03052</t>
  </si>
  <si>
    <t>03053</t>
  </si>
  <si>
    <t>Zahro Tussyta</t>
  </si>
  <si>
    <t>03054</t>
  </si>
  <si>
    <t>Kusmala Indah Sari</t>
  </si>
  <si>
    <t>03055</t>
  </si>
  <si>
    <t>Nadiyatul Husna Al-Karimah</t>
  </si>
  <si>
    <t>03056</t>
  </si>
  <si>
    <t>Farhana Maulida</t>
  </si>
  <si>
    <t>03057</t>
  </si>
  <si>
    <t>311230765</t>
  </si>
  <si>
    <t>Reva Yuni Ningsih</t>
  </si>
  <si>
    <t>III M MDTA</t>
  </si>
  <si>
    <t>03058</t>
  </si>
  <si>
    <t>Hilda Dayamanti</t>
  </si>
  <si>
    <t>03059</t>
  </si>
  <si>
    <t>Syarifatul Hikmah</t>
  </si>
  <si>
    <t xml:space="preserve"> A04</t>
  </si>
  <si>
    <t>03060</t>
  </si>
  <si>
    <t>Nifatul Qomariah</t>
  </si>
  <si>
    <t>03061</t>
  </si>
  <si>
    <t>Intan Berliana</t>
  </si>
  <si>
    <t>03062</t>
  </si>
  <si>
    <t>311240669</t>
  </si>
  <si>
    <t>Iysqina Maulaya</t>
  </si>
  <si>
    <t>03063</t>
  </si>
  <si>
    <t>311240652</t>
  </si>
  <si>
    <t>Mafinda Septa Octafila</t>
  </si>
  <si>
    <t>03064</t>
  </si>
  <si>
    <t>311240997</t>
  </si>
  <si>
    <t>Kunni Zahrotun Nabila</t>
  </si>
  <si>
    <t>03065</t>
  </si>
  <si>
    <t>311250171</t>
  </si>
  <si>
    <t>Kilmatun Nafisah</t>
  </si>
  <si>
    <t>03066</t>
  </si>
  <si>
    <t>311240164</t>
  </si>
  <si>
    <t>Aisatun Naylatun Mafazah</t>
  </si>
  <si>
    <t>03067</t>
  </si>
  <si>
    <t>311240977</t>
  </si>
  <si>
    <t>Jessica Helva Ilyana</t>
  </si>
  <si>
    <t>03068</t>
  </si>
  <si>
    <t>311250980</t>
  </si>
  <si>
    <t>Ummi Malika Izza</t>
  </si>
  <si>
    <t>03069</t>
  </si>
  <si>
    <t>311240618</t>
  </si>
  <si>
    <t>Siti Zulfatul Karimah R</t>
  </si>
  <si>
    <t>03070</t>
  </si>
  <si>
    <t>311230989</t>
  </si>
  <si>
    <t>Farah Raida Putri</t>
  </si>
  <si>
    <t>03071</t>
  </si>
  <si>
    <t>311240620</t>
  </si>
  <si>
    <t>Niputu Era Cahyani</t>
  </si>
  <si>
    <t>03072</t>
  </si>
  <si>
    <t>311240178</t>
  </si>
  <si>
    <t>Siti Alfiatun Nurriyah</t>
  </si>
  <si>
    <t>03073</t>
  </si>
  <si>
    <t>311250757</t>
  </si>
  <si>
    <t>Nazwa Meilani Putri</t>
  </si>
  <si>
    <t>03074</t>
  </si>
  <si>
    <t>311240651</t>
  </si>
  <si>
    <t>Alvina Hoirun Nisa'</t>
  </si>
  <si>
    <t>03075</t>
  </si>
  <si>
    <t>311230320</t>
  </si>
  <si>
    <t>Luluatul Nafizah</t>
  </si>
  <si>
    <t>03076</t>
  </si>
  <si>
    <t>Qotrun Nada Sabila</t>
  </si>
  <si>
    <t>03077</t>
  </si>
  <si>
    <t>311240239</t>
  </si>
  <si>
    <t>Hayu Maulani</t>
  </si>
  <si>
    <t>03078</t>
  </si>
  <si>
    <t>311240722</t>
  </si>
  <si>
    <t>Dina Oktaviani Ardila</t>
  </si>
  <si>
    <t>03079</t>
  </si>
  <si>
    <t>311250978</t>
  </si>
  <si>
    <t>Salma Indana Zulfa</t>
  </si>
  <si>
    <t>03080</t>
  </si>
  <si>
    <t>311250758</t>
  </si>
  <si>
    <t>Nurul Aini</t>
  </si>
  <si>
    <t>03081</t>
  </si>
  <si>
    <t>311250759</t>
  </si>
  <si>
    <t>Bidadari Qory Hanifatul Jannah</t>
  </si>
  <si>
    <t>03082</t>
  </si>
  <si>
    <t>311250995</t>
  </si>
  <si>
    <t xml:space="preserve">Aina Febriani </t>
  </si>
  <si>
    <t>03083</t>
  </si>
  <si>
    <t>311240190</t>
  </si>
  <si>
    <t>Nur Laili</t>
  </si>
  <si>
    <t>03084</t>
  </si>
  <si>
    <t>311240626</t>
  </si>
  <si>
    <t>Silvia Qotrun Nada</t>
  </si>
  <si>
    <t>03085</t>
  </si>
  <si>
    <t>311250745</t>
  </si>
  <si>
    <t>Citra Rofiatul Ummah</t>
  </si>
  <si>
    <t>03086</t>
  </si>
  <si>
    <t>311250746</t>
  </si>
  <si>
    <t>Zahira Nauril Ramadhani</t>
  </si>
  <si>
    <t>03087</t>
  </si>
  <si>
    <t>311250747</t>
  </si>
  <si>
    <t>Maliha Marsha Mufida</t>
  </si>
  <si>
    <t>03088</t>
  </si>
  <si>
    <t>Nafidatus Salwa</t>
  </si>
  <si>
    <t>03089</t>
  </si>
  <si>
    <t>311250173</t>
  </si>
  <si>
    <t>Nafatus Zahro</t>
  </si>
  <si>
    <t>03090</t>
  </si>
  <si>
    <t>311250150</t>
  </si>
  <si>
    <t>Siti Munawaroh</t>
  </si>
  <si>
    <t>03091</t>
  </si>
  <si>
    <t>311240721</t>
  </si>
  <si>
    <t>Nuris Salama</t>
  </si>
  <si>
    <t>03092</t>
  </si>
  <si>
    <t>311240189</t>
  </si>
  <si>
    <t>Marwatul Roaini</t>
  </si>
  <si>
    <t>03093</t>
  </si>
  <si>
    <t>311250750</t>
  </si>
  <si>
    <t>Dwi Wulandari</t>
  </si>
  <si>
    <t>03094</t>
  </si>
  <si>
    <t>311240174</t>
  </si>
  <si>
    <t>Qotrun Nada Elizalbahri</t>
  </si>
  <si>
    <t>03095</t>
  </si>
  <si>
    <t>311250165</t>
  </si>
  <si>
    <t>Hikmatul Firza</t>
  </si>
  <si>
    <t>03096</t>
  </si>
  <si>
    <t>Syahrini Amiratussaidah</t>
  </si>
  <si>
    <t>03097</t>
  </si>
  <si>
    <t>311230792</t>
  </si>
  <si>
    <t>Amelya Indriani</t>
  </si>
  <si>
    <t>03098</t>
  </si>
  <si>
    <t>311240629</t>
  </si>
  <si>
    <t>Intan Zainia</t>
  </si>
  <si>
    <t>03099</t>
  </si>
  <si>
    <t>311250749</t>
  </si>
  <si>
    <t>Lutfiana Ulfa</t>
  </si>
  <si>
    <t>03100</t>
  </si>
  <si>
    <t>311240188</t>
  </si>
  <si>
    <t>Dzurrotun Nasihah</t>
  </si>
  <si>
    <t>03101</t>
  </si>
  <si>
    <t>311240994</t>
  </si>
  <si>
    <t>Sofiana Rahma Yanti</t>
  </si>
  <si>
    <t>03102</t>
  </si>
  <si>
    <t>311250979</t>
  </si>
  <si>
    <t>Nur Wahida</t>
  </si>
  <si>
    <t>03103</t>
  </si>
  <si>
    <t>311240461</t>
  </si>
  <si>
    <t>Fida Husna</t>
  </si>
  <si>
    <t>03104</t>
  </si>
  <si>
    <t xml:space="preserve">Kayla Nisa </t>
  </si>
  <si>
    <t>03105</t>
  </si>
  <si>
    <t>Qurrotul Shoima</t>
  </si>
  <si>
    <t>03106</t>
  </si>
  <si>
    <t>Miy Riza Elsabela</t>
  </si>
  <si>
    <t>03107</t>
  </si>
  <si>
    <t>Maura Azzahra</t>
  </si>
  <si>
    <t>03108</t>
  </si>
  <si>
    <t>Vivin Diauliya</t>
  </si>
  <si>
    <t>03109</t>
  </si>
  <si>
    <t>03110</t>
  </si>
  <si>
    <t>Asyifatul Hikmah</t>
  </si>
  <si>
    <t>03111</t>
  </si>
  <si>
    <t>Nadia Qotrunnada Fara Salsabila</t>
  </si>
  <si>
    <t>03112</t>
  </si>
  <si>
    <t>Rina Nuraini</t>
  </si>
  <si>
    <t>03113</t>
  </si>
  <si>
    <t>Zulfia Qotrun Nada</t>
  </si>
  <si>
    <t>III N MDTA</t>
  </si>
  <si>
    <t>03114</t>
  </si>
  <si>
    <t>311240085</t>
  </si>
  <si>
    <t>Maulidia Faizatur R</t>
  </si>
  <si>
    <t>03115</t>
  </si>
  <si>
    <t>311240986</t>
  </si>
  <si>
    <t>Putri Ni'matus Sa'diyah</t>
  </si>
  <si>
    <t>03116</t>
  </si>
  <si>
    <t>311240663</t>
  </si>
  <si>
    <t>Nadirotus Sholeha</t>
  </si>
  <si>
    <t>03117</t>
  </si>
  <si>
    <t>311240666</t>
  </si>
  <si>
    <t>Filza Nafisah</t>
  </si>
  <si>
    <t>03118</t>
  </si>
  <si>
    <t>311240650</t>
  </si>
  <si>
    <t>Lailatus Zahro</t>
  </si>
  <si>
    <t>03119</t>
  </si>
  <si>
    <t>Adelia Putri Intan Nuraini</t>
  </si>
  <si>
    <t>03120</t>
  </si>
  <si>
    <t>311240191</t>
  </si>
  <si>
    <t>Faizatul Husna M</t>
  </si>
  <si>
    <t>03121</t>
  </si>
  <si>
    <t>311250767</t>
  </si>
  <si>
    <t>Saidatun Nafisah</t>
  </si>
  <si>
    <t>03122</t>
  </si>
  <si>
    <t>311240631</t>
  </si>
  <si>
    <t>Afkarina Diyantul Fahiroh</t>
  </si>
  <si>
    <t>03123</t>
  </si>
  <si>
    <t>Amelinda Rista</t>
  </si>
  <si>
    <t>03124</t>
  </si>
  <si>
    <t>311240960</t>
  </si>
  <si>
    <t>Anisa Fitriani</t>
  </si>
  <si>
    <t>03125</t>
  </si>
  <si>
    <t>311250768</t>
  </si>
  <si>
    <t>Jamilatul Laili</t>
  </si>
  <si>
    <t>03126</t>
  </si>
  <si>
    <t>311230664</t>
  </si>
  <si>
    <t>Elsa Dwi Ayu Firjina</t>
  </si>
  <si>
    <t>03127</t>
  </si>
  <si>
    <t>Alifka Cahyana Putri Sholihah</t>
  </si>
  <si>
    <t>03128</t>
  </si>
  <si>
    <t>311230350</t>
  </si>
  <si>
    <t>Revita Salsabila Putri</t>
  </si>
  <si>
    <t>03129</t>
  </si>
  <si>
    <t>311250756</t>
  </si>
  <si>
    <t>Rahelia Safa Sabrina</t>
  </si>
  <si>
    <t>03130</t>
  </si>
  <si>
    <t>311240966</t>
  </si>
  <si>
    <t>Fina Assaidatul Habibah M.W</t>
  </si>
  <si>
    <t>03131</t>
  </si>
  <si>
    <t>311231141</t>
  </si>
  <si>
    <t>Rina Fitriana</t>
  </si>
  <si>
    <t>03132</t>
  </si>
  <si>
    <t>311240168</t>
  </si>
  <si>
    <t>Fika Rohmaulatus Sholeha</t>
  </si>
  <si>
    <t>03133</t>
  </si>
  <si>
    <t>311240458</t>
  </si>
  <si>
    <t>Siti Aifah Nurul Jannah</t>
  </si>
  <si>
    <t>03134</t>
  </si>
  <si>
    <t>311230358</t>
  </si>
  <si>
    <t>Nadiatul Qomariah</t>
  </si>
  <si>
    <t>03135</t>
  </si>
  <si>
    <t>311240622</t>
  </si>
  <si>
    <t>Ulil Maghfiroh</t>
  </si>
  <si>
    <t>03136</t>
  </si>
  <si>
    <t>311250760</t>
  </si>
  <si>
    <t>Aura Adelia Putri</t>
  </si>
  <si>
    <t>03137</t>
  </si>
  <si>
    <t>311250761</t>
  </si>
  <si>
    <t>Nuril Dwi Maulida</t>
  </si>
  <si>
    <t>03138</t>
  </si>
  <si>
    <t>Dian zaskia indri</t>
  </si>
  <si>
    <t>03139</t>
  </si>
  <si>
    <t>311230669</t>
  </si>
  <si>
    <t>Izzah Afkarina Mutmainnah</t>
  </si>
  <si>
    <t>03140</t>
  </si>
  <si>
    <t>311250772</t>
  </si>
  <si>
    <t>Ayu Devita Lia</t>
  </si>
  <si>
    <t>03141</t>
  </si>
  <si>
    <t>311250981</t>
  </si>
  <si>
    <t>Fatimah Maftuhatul Wus'a Attasriqiyah</t>
  </si>
  <si>
    <t>03142</t>
  </si>
  <si>
    <t>311250762</t>
  </si>
  <si>
    <t>Nur Naila Yiliana Ni'mah</t>
  </si>
  <si>
    <t>03143</t>
  </si>
  <si>
    <t>311250151</t>
  </si>
  <si>
    <t>Ilmiatul Maftuhah</t>
  </si>
  <si>
    <t>03144</t>
  </si>
  <si>
    <t>311250152</t>
  </si>
  <si>
    <t>Putri Amelia Zahrotul Laila</t>
  </si>
  <si>
    <t>03145</t>
  </si>
  <si>
    <t>311250982</t>
  </si>
  <si>
    <t>Aura Citra Adelia</t>
  </si>
  <si>
    <t>03146</t>
  </si>
  <si>
    <t>311250153</t>
  </si>
  <si>
    <t>Zahra Ramadhani</t>
  </si>
  <si>
    <t>03147</t>
  </si>
  <si>
    <t>311250154</t>
  </si>
  <si>
    <t>Nailil Nuril R.</t>
  </si>
  <si>
    <t>03148</t>
  </si>
  <si>
    <t>311250155</t>
  </si>
  <si>
    <t>Fatimah Azarah</t>
  </si>
  <si>
    <t>03149</t>
  </si>
  <si>
    <t>311250156</t>
  </si>
  <si>
    <t>Ayudiah Lestari</t>
  </si>
  <si>
    <t>03150</t>
  </si>
  <si>
    <t>311250766</t>
  </si>
  <si>
    <t>Dyla Setiyowati</t>
  </si>
  <si>
    <t>03151</t>
  </si>
  <si>
    <t>311250996</t>
  </si>
  <si>
    <t>Syarifatul Ramadani</t>
  </si>
  <si>
    <t>03152</t>
  </si>
  <si>
    <t>311240091</t>
  </si>
  <si>
    <t>Syafa'atul Khoiriyah</t>
  </si>
  <si>
    <t>03153</t>
  </si>
  <si>
    <t>311240165</t>
  </si>
  <si>
    <t>Anisa Yulianti Az Zahra</t>
  </si>
  <si>
    <t>03154</t>
  </si>
  <si>
    <t>311230985</t>
  </si>
  <si>
    <t>Alifia Nadifa</t>
  </si>
  <si>
    <t>03155</t>
  </si>
  <si>
    <t>311240237</t>
  </si>
  <si>
    <t>Ulfatul Karomah</t>
  </si>
  <si>
    <t>03156</t>
  </si>
  <si>
    <t>311240245</t>
  </si>
  <si>
    <t>Diaz Ambar Oktavia</t>
  </si>
  <si>
    <t>03157</t>
  </si>
  <si>
    <t>311240984</t>
  </si>
  <si>
    <t>Imro'atus Zaidah</t>
  </si>
  <si>
    <t>03158</t>
  </si>
  <si>
    <t>311250984</t>
  </si>
  <si>
    <t>Lailatus Sa'adah Riyah</t>
  </si>
  <si>
    <t>03159</t>
  </si>
  <si>
    <t>311240633</t>
  </si>
  <si>
    <t>Putri Aprilia</t>
  </si>
  <si>
    <t>03160</t>
  </si>
  <si>
    <t>311250753</t>
  </si>
  <si>
    <t>Aulia Safara</t>
  </si>
  <si>
    <t>03161</t>
  </si>
  <si>
    <t>311250754</t>
  </si>
  <si>
    <t>Aulia Jihan</t>
  </si>
  <si>
    <t>03162</t>
  </si>
  <si>
    <t>Salsa Bella Raudatul Jannah</t>
  </si>
  <si>
    <t>03163</t>
  </si>
  <si>
    <t>Wildatus Zakiyah</t>
  </si>
  <si>
    <t>03164</t>
  </si>
  <si>
    <t>Isnaini Maulidiyah</t>
  </si>
  <si>
    <t>03165</t>
  </si>
  <si>
    <t>Anisatul Haliyah Salimah</t>
  </si>
  <si>
    <t>03166</t>
  </si>
  <si>
    <t>Dyah Amelia Choifara</t>
  </si>
  <si>
    <t>03167</t>
  </si>
  <si>
    <t>Nafisatul Munawwaroh</t>
  </si>
  <si>
    <t>03168</t>
  </si>
  <si>
    <t>Luna Maya</t>
  </si>
  <si>
    <t>03169</t>
  </si>
  <si>
    <t>311230353</t>
  </si>
  <si>
    <t>Jessika Aprilia Zandiorifa Azzahra</t>
  </si>
  <si>
    <t>III O MDTA</t>
  </si>
  <si>
    <t>03170</t>
  </si>
  <si>
    <t>311240987</t>
  </si>
  <si>
    <t>Riska Rifatul Jannah</t>
  </si>
  <si>
    <t>03171</t>
  </si>
  <si>
    <t xml:space="preserve">Qonita Rachmaniyah </t>
  </si>
  <si>
    <t>03172</t>
  </si>
  <si>
    <t>Nayla Fairus Zahro</t>
  </si>
  <si>
    <t>03173</t>
  </si>
  <si>
    <t>03174</t>
  </si>
  <si>
    <t>311240071</t>
  </si>
  <si>
    <t>Kamilatul Izzah</t>
  </si>
  <si>
    <t>03175</t>
  </si>
  <si>
    <t>311250732</t>
  </si>
  <si>
    <t>Khoirotul Amalia</t>
  </si>
  <si>
    <t>03176</t>
  </si>
  <si>
    <t>311250765</t>
  </si>
  <si>
    <t>Naifatul Kamila</t>
  </si>
  <si>
    <t>03177</t>
  </si>
  <si>
    <t>311240635</t>
  </si>
  <si>
    <t>Selin Madiatul Hasanah</t>
  </si>
  <si>
    <t>03178</t>
  </si>
  <si>
    <t>311240655</t>
  </si>
  <si>
    <t>03179</t>
  </si>
  <si>
    <t>311240624</t>
  </si>
  <si>
    <t xml:space="preserve">Mega Dwi Lestari </t>
  </si>
  <si>
    <t>03180</t>
  </si>
  <si>
    <t>311240250</t>
  </si>
  <si>
    <t>Pirdaus</t>
  </si>
  <si>
    <t>03181</t>
  </si>
  <si>
    <t>311240639</t>
  </si>
  <si>
    <t xml:space="preserve">Nur Afifah </t>
  </si>
  <si>
    <t>03182</t>
  </si>
  <si>
    <t>311240972</t>
  </si>
  <si>
    <t>Kesya Azzahra</t>
  </si>
  <si>
    <t>03183</t>
  </si>
  <si>
    <t>311240241</t>
  </si>
  <si>
    <t>Fanisa Zulfiatus Zahra</t>
  </si>
  <si>
    <t>03184</t>
  </si>
  <si>
    <t>311240979</t>
  </si>
  <si>
    <t>Farhatul Maghfiroh</t>
  </si>
  <si>
    <t>03185</t>
  </si>
  <si>
    <t>Alifiyah Fitrah Ramadhaniyah</t>
  </si>
  <si>
    <t>03186</t>
  </si>
  <si>
    <t>311240180</t>
  </si>
  <si>
    <t>Arifatul Mubayyinah</t>
  </si>
  <si>
    <t>03187</t>
  </si>
  <si>
    <t>311250769</t>
  </si>
  <si>
    <t>Naylatus Safira</t>
  </si>
  <si>
    <t>03188</t>
  </si>
  <si>
    <t>Nova Oktavia</t>
  </si>
  <si>
    <t>03189</t>
  </si>
  <si>
    <t>311250771</t>
  </si>
  <si>
    <t>Izza Zulfaniyah</t>
  </si>
  <si>
    <t>03190</t>
  </si>
  <si>
    <t>311240643</t>
  </si>
  <si>
    <t>Nayla Erfinda Firdausi</t>
  </si>
  <si>
    <t>03191</t>
  </si>
  <si>
    <t>311240644</t>
  </si>
  <si>
    <t>Nur Diana Ulfa Salsabila</t>
  </si>
  <si>
    <t>03192</t>
  </si>
  <si>
    <t>311240070</t>
  </si>
  <si>
    <t>Ilmi Nurhidayati</t>
  </si>
  <si>
    <t>03193</t>
  </si>
  <si>
    <t>311240657</t>
  </si>
  <si>
    <t>Afrilia Anjani</t>
  </si>
  <si>
    <t>03194</t>
  </si>
  <si>
    <t>Sinta Fairus Zuhro</t>
  </si>
  <si>
    <t>03195</t>
  </si>
  <si>
    <t>311240064</t>
  </si>
  <si>
    <t>D 02</t>
  </si>
  <si>
    <t>03196</t>
  </si>
  <si>
    <t>311240627</t>
  </si>
  <si>
    <t>Aulia Safyra Az Zahra</t>
  </si>
  <si>
    <t>03197</t>
  </si>
  <si>
    <t>311240640</t>
  </si>
  <si>
    <t>Arivah Qotrun Nada</t>
  </si>
  <si>
    <t>03198</t>
  </si>
  <si>
    <t>311240182</t>
  </si>
  <si>
    <t>Alin Firnanda</t>
  </si>
  <si>
    <t>03199</t>
  </si>
  <si>
    <t>311240069</t>
  </si>
  <si>
    <t>Amelia Safira</t>
  </si>
  <si>
    <t>03200</t>
  </si>
  <si>
    <t>311250157</t>
  </si>
  <si>
    <t>Mila Rosa Nova Afandi</t>
  </si>
  <si>
    <t>03201</t>
  </si>
  <si>
    <t>Nur Hebah Nafisah</t>
  </si>
  <si>
    <t>03202</t>
  </si>
  <si>
    <t>311250983</t>
  </si>
  <si>
    <t xml:space="preserve">Humairoh </t>
  </si>
  <si>
    <t>03203</t>
  </si>
  <si>
    <t>311250159</t>
  </si>
  <si>
    <t>Putri Anggun Oktaviani</t>
  </si>
  <si>
    <t>03204</t>
  </si>
  <si>
    <t>311250160</t>
  </si>
  <si>
    <t>Zahra Tsalitsa Aulya</t>
  </si>
  <si>
    <t>03205</t>
  </si>
  <si>
    <t>311250731</t>
  </si>
  <si>
    <t>Sunita Diah Wardani</t>
  </si>
  <si>
    <t>03206</t>
  </si>
  <si>
    <t>311250986</t>
  </si>
  <si>
    <t>Siti Ruqoyyah</t>
  </si>
  <si>
    <t>03207</t>
  </si>
  <si>
    <t>311240653</t>
  </si>
  <si>
    <t>Riska Aden Putri</t>
  </si>
  <si>
    <t>03208</t>
  </si>
  <si>
    <t>311240985</t>
  </si>
  <si>
    <t>Shafira Maulida Royani</t>
  </si>
  <si>
    <t>03209</t>
  </si>
  <si>
    <t>311250167</t>
  </si>
  <si>
    <t>Wilda Tsania Al-Kamila</t>
  </si>
  <si>
    <t>03210</t>
  </si>
  <si>
    <t>311250730</t>
  </si>
  <si>
    <t>Najwa Azkiyaillah Zaen</t>
  </si>
  <si>
    <t>03211</t>
  </si>
  <si>
    <t>Siti Zahra</t>
  </si>
  <si>
    <t>03212</t>
  </si>
  <si>
    <t>311250987</t>
  </si>
  <si>
    <t>Marwah Putri Aulia</t>
  </si>
  <si>
    <t>03213</t>
  </si>
  <si>
    <t>311250763</t>
  </si>
  <si>
    <t>Fefita Revica Aulia Fitri</t>
  </si>
  <si>
    <t>03214</t>
  </si>
  <si>
    <t>311250764</t>
  </si>
  <si>
    <t>Liliana Aulia Zahra</t>
  </si>
  <si>
    <t>03215</t>
  </si>
  <si>
    <t>311230390</t>
  </si>
  <si>
    <t>Rahel Nur Najwa Alifia</t>
  </si>
  <si>
    <t>03216</t>
  </si>
  <si>
    <t>03217</t>
  </si>
  <si>
    <t>Siti 'aisyatul Munawaroh</t>
  </si>
  <si>
    <t>03218</t>
  </si>
  <si>
    <t>Putri Husniyah</t>
  </si>
  <si>
    <t>03219</t>
  </si>
  <si>
    <t>Khayla Almira Maritza</t>
  </si>
  <si>
    <t>03220</t>
  </si>
  <si>
    <t>Silvia Azzahra</t>
  </si>
  <si>
    <t>03221</t>
  </si>
  <si>
    <t>Nitalia Putri</t>
  </si>
  <si>
    <t>03222</t>
  </si>
  <si>
    <t>03223</t>
  </si>
  <si>
    <t>Zahratul Qoriyah</t>
  </si>
  <si>
    <t>03224</t>
  </si>
  <si>
    <t>Azizatun Nur Afkarina</t>
  </si>
  <si>
    <t>03225</t>
  </si>
  <si>
    <t>Bella Sasmita</t>
  </si>
  <si>
    <t>III P MDTA</t>
  </si>
  <si>
    <t>03226</t>
  </si>
  <si>
    <t>311241005</t>
  </si>
  <si>
    <t>Velina Nikita Putri</t>
  </si>
  <si>
    <t>03227</t>
  </si>
  <si>
    <t>311240079</t>
  </si>
  <si>
    <t>Devi Selviana</t>
  </si>
  <si>
    <t>03228</t>
  </si>
  <si>
    <t>Alifa Veni Septiatus</t>
  </si>
  <si>
    <t xml:space="preserve"> A01</t>
  </si>
  <si>
    <t>03229</t>
  </si>
  <si>
    <t>Wildatul Mukarromah</t>
  </si>
  <si>
    <t>03230</t>
  </si>
  <si>
    <t>Rovisya Naura S</t>
  </si>
  <si>
    <t xml:space="preserve"> D01</t>
  </si>
  <si>
    <t>03231</t>
  </si>
  <si>
    <t>311250741</t>
  </si>
  <si>
    <t>Salwa Faradisa</t>
  </si>
  <si>
    <t>03232</t>
  </si>
  <si>
    <t>311240667</t>
  </si>
  <si>
    <t>Zahrotul Maghfiroh</t>
  </si>
  <si>
    <t>03233</t>
  </si>
  <si>
    <t>311240664</t>
  </si>
  <si>
    <t>Suiza Afkarina</t>
  </si>
  <si>
    <t>03234</t>
  </si>
  <si>
    <t>311240073</t>
  </si>
  <si>
    <t>03235</t>
  </si>
  <si>
    <t>311240649</t>
  </si>
  <si>
    <t>Homisatul Jannah</t>
  </si>
  <si>
    <t>03236</t>
  </si>
  <si>
    <t>311250733</t>
  </si>
  <si>
    <t>Riskia Salsabila</t>
  </si>
  <si>
    <t>03237</t>
  </si>
  <si>
    <t>311240066</t>
  </si>
  <si>
    <t>Siti Fatimah</t>
  </si>
  <si>
    <t>03238</t>
  </si>
  <si>
    <t>311240192</t>
  </si>
  <si>
    <t>Habibatul Aliyatul M</t>
  </si>
  <si>
    <t>03239</t>
  </si>
  <si>
    <t>311250734</t>
  </si>
  <si>
    <t>Anita Rahma</t>
  </si>
  <si>
    <t>03240</t>
  </si>
  <si>
    <t>311240621</t>
  </si>
  <si>
    <t>Ajeng Febri Veronika</t>
  </si>
  <si>
    <t>03241</t>
  </si>
  <si>
    <t>311240976</t>
  </si>
  <si>
    <t>Shelly Naylah Salsabila</t>
  </si>
  <si>
    <t>03242</t>
  </si>
  <si>
    <t>311250740</t>
  </si>
  <si>
    <t>Nadzifa Khairun Nisa</t>
  </si>
  <si>
    <t>03243</t>
  </si>
  <si>
    <t>311240964</t>
  </si>
  <si>
    <t>Zulfiatus Saniah</t>
  </si>
  <si>
    <t>03244</t>
  </si>
  <si>
    <t>311250990</t>
  </si>
  <si>
    <t>Indana Zulfa Ramadhani</t>
  </si>
  <si>
    <t>03245</t>
  </si>
  <si>
    <t>311240628</t>
  </si>
  <si>
    <t>Dewi Wulandari</t>
  </si>
  <si>
    <t>03246</t>
  </si>
  <si>
    <t>311240240</t>
  </si>
  <si>
    <t>Masya Hirawati M.</t>
  </si>
  <si>
    <t>03247</t>
  </si>
  <si>
    <t>311240067</t>
  </si>
  <si>
    <t>Siti Nuraini</t>
  </si>
  <si>
    <t>03248</t>
  </si>
  <si>
    <t>311230671</t>
  </si>
  <si>
    <t>Lailatul Mukarromah</t>
  </si>
  <si>
    <t>03249</t>
  </si>
  <si>
    <t>311240980</t>
  </si>
  <si>
    <t>Rubiatul Andawiyah</t>
  </si>
  <si>
    <t>03250</t>
  </si>
  <si>
    <t>311250991</t>
  </si>
  <si>
    <t xml:space="preserve">Fajiroh </t>
  </si>
  <si>
    <t>03251</t>
  </si>
  <si>
    <t>311240177</t>
  </si>
  <si>
    <t xml:space="preserve">Nur Zahira </t>
  </si>
  <si>
    <t>03252</t>
  </si>
  <si>
    <t>311240665</t>
  </si>
  <si>
    <t>Zahwa Amalika Hasan</t>
  </si>
  <si>
    <t>03253</t>
  </si>
  <si>
    <t>311231142</t>
  </si>
  <si>
    <t>Rani Fitriani</t>
  </si>
  <si>
    <t>03254</t>
  </si>
  <si>
    <t>311250993</t>
  </si>
  <si>
    <t>Intan Safira</t>
  </si>
  <si>
    <t>03255</t>
  </si>
  <si>
    <t>311250735</t>
  </si>
  <si>
    <t>Naila Rahma Azizah</t>
  </si>
  <si>
    <t>03256</t>
  </si>
  <si>
    <t>311240176</t>
  </si>
  <si>
    <t>Nafsiatul Mukarromah</t>
  </si>
  <si>
    <t>03257</t>
  </si>
  <si>
    <t>311250739</t>
  </si>
  <si>
    <t>Narjul Afifah Zain</t>
  </si>
  <si>
    <t>03258</t>
  </si>
  <si>
    <t>311240234</t>
  </si>
  <si>
    <t>Nadhiva Ulil Azmy</t>
  </si>
  <si>
    <t>03259</t>
  </si>
  <si>
    <t>311250773</t>
  </si>
  <si>
    <t>Nur Alfiatus Zahro</t>
  </si>
  <si>
    <t>03260</t>
  </si>
  <si>
    <t>311240173</t>
  </si>
  <si>
    <t>Zahra Salsabila</t>
  </si>
  <si>
    <t>03261</t>
  </si>
  <si>
    <t>311240181</t>
  </si>
  <si>
    <t>Felinda Siti Ameliya</t>
  </si>
  <si>
    <t>03262</t>
  </si>
  <si>
    <t>Larasati Maghilda</t>
  </si>
  <si>
    <t>03263</t>
  </si>
  <si>
    <t>311240661</t>
  </si>
  <si>
    <t>Nur Aima</t>
  </si>
  <si>
    <t>03264</t>
  </si>
  <si>
    <t>311240660</t>
  </si>
  <si>
    <t>Nadia Afkarina Satia Ningrum</t>
  </si>
  <si>
    <t>03265</t>
  </si>
  <si>
    <t>311240184</t>
  </si>
  <si>
    <t>Af Idhatul Munawaroh</t>
  </si>
  <si>
    <t>03266</t>
  </si>
  <si>
    <t>311250158</t>
  </si>
  <si>
    <t>Putri Alvia</t>
  </si>
  <si>
    <t>03267</t>
  </si>
  <si>
    <t>311240183</t>
  </si>
  <si>
    <t>Fariha Eldaroin</t>
  </si>
  <si>
    <t>03268</t>
  </si>
  <si>
    <t>311250161</t>
  </si>
  <si>
    <t>Ayunda Puspa Wardani</t>
  </si>
  <si>
    <t>03269</t>
  </si>
  <si>
    <t>311250162</t>
  </si>
  <si>
    <t>Najwa Khutwatul Izzah</t>
  </si>
  <si>
    <t>03270</t>
  </si>
  <si>
    <t>311250163</t>
  </si>
  <si>
    <t>Luluk Atun Nafisah</t>
  </si>
  <si>
    <t>03271</t>
  </si>
  <si>
    <t>311240166</t>
  </si>
  <si>
    <t>Farza Zainal Rahmadani</t>
  </si>
  <si>
    <t>03272</t>
  </si>
  <si>
    <t>311250774</t>
  </si>
  <si>
    <t>Nuri Fina Mawaddah</t>
  </si>
  <si>
    <t>03273</t>
  </si>
  <si>
    <t>311250166</t>
  </si>
  <si>
    <t>Ayu Hikmah Azka Ramadhani</t>
  </si>
  <si>
    <t>03274</t>
  </si>
  <si>
    <t>311250988</t>
  </si>
  <si>
    <t>Shofa Putri Aulia</t>
  </si>
  <si>
    <t>03275</t>
  </si>
  <si>
    <t>311240109</t>
  </si>
  <si>
    <t>Madinatul Ilmi</t>
  </si>
  <si>
    <t>03276</t>
  </si>
  <si>
    <t>311250989</t>
  </si>
  <si>
    <t>Putri Yulia</t>
  </si>
  <si>
    <t>03277</t>
  </si>
  <si>
    <t>Naura Amelia</t>
  </si>
  <si>
    <t>03278</t>
  </si>
  <si>
    <t>Alfiatur Rohmah</t>
  </si>
  <si>
    <t>03279</t>
  </si>
  <si>
    <t>Kholifatul Ilmiyah</t>
  </si>
  <si>
    <t>03280</t>
  </si>
  <si>
    <t>Nasyatul Aisyah</t>
  </si>
  <si>
    <t>04001</t>
  </si>
  <si>
    <t>311230342</t>
  </si>
  <si>
    <t>Khoirun Nisa'</t>
  </si>
  <si>
    <t>IV J MDTA</t>
  </si>
  <si>
    <t>09</t>
  </si>
  <si>
    <t>04002</t>
  </si>
  <si>
    <t>Rahel Amanda</t>
  </si>
  <si>
    <t>04003</t>
  </si>
  <si>
    <t>311230692</t>
  </si>
  <si>
    <t>Kamila Karunia putri</t>
  </si>
  <si>
    <t>04004</t>
  </si>
  <si>
    <t>311240694</t>
  </si>
  <si>
    <t>Amelia Maulidatul Izza</t>
  </si>
  <si>
    <t>04005</t>
  </si>
  <si>
    <t>Naila Zulfana Ahmad</t>
  </si>
  <si>
    <t>04006</t>
  </si>
  <si>
    <t>Aira Fitria Ramadhani</t>
  </si>
  <si>
    <t>04007</t>
  </si>
  <si>
    <t>311240700</t>
  </si>
  <si>
    <t>Arina Farihatuz Z</t>
  </si>
  <si>
    <t>04008</t>
  </si>
  <si>
    <t>311240211</t>
  </si>
  <si>
    <t>Marwatul Inayah</t>
  </si>
  <si>
    <t>04009</t>
  </si>
  <si>
    <t>311240975</t>
  </si>
  <si>
    <t>Winda Kustina irianti</t>
  </si>
  <si>
    <t>04010</t>
  </si>
  <si>
    <t>311240680</t>
  </si>
  <si>
    <t>Arifatul Jannah</t>
  </si>
  <si>
    <t>04011</t>
  </si>
  <si>
    <t>311250781</t>
  </si>
  <si>
    <t>Feby Milanda</t>
  </si>
  <si>
    <t>04012</t>
  </si>
  <si>
    <t>Jamilatul Zahra Firdausi</t>
  </si>
  <si>
    <t>04013</t>
  </si>
  <si>
    <t>311230663</t>
  </si>
  <si>
    <t>Dewi Kirana Prameswari</t>
  </si>
  <si>
    <t>04014</t>
  </si>
  <si>
    <t>311241003</t>
  </si>
  <si>
    <t>Habibatul Husna Bilmaghfiroh</t>
  </si>
  <si>
    <t>04015</t>
  </si>
  <si>
    <t>311230703</t>
  </si>
  <si>
    <t>Nabila Eka Wulandari</t>
  </si>
  <si>
    <t>04016</t>
  </si>
  <si>
    <t>311230706</t>
  </si>
  <si>
    <t>Nafira Dwi Wulandari</t>
  </si>
  <si>
    <t>04017</t>
  </si>
  <si>
    <t>04018</t>
  </si>
  <si>
    <t>Nikmatul Firdauziah</t>
  </si>
  <si>
    <t>04019</t>
  </si>
  <si>
    <t>311230409</t>
  </si>
  <si>
    <t>Sefiatus Sholiha</t>
  </si>
  <si>
    <t>04020</t>
  </si>
  <si>
    <t>311230319</t>
  </si>
  <si>
    <t>Aynaya Alif N</t>
  </si>
  <si>
    <t>04021</t>
  </si>
  <si>
    <t>311240690</t>
  </si>
  <si>
    <t>Putri Zahirotul Atmani</t>
  </si>
  <si>
    <t>04022</t>
  </si>
  <si>
    <t>311230413</t>
  </si>
  <si>
    <t>Azkiya Zahra</t>
  </si>
  <si>
    <t>04023</t>
  </si>
  <si>
    <t>311230672</t>
  </si>
  <si>
    <t>Nia Rahmadani</t>
  </si>
  <si>
    <t>04024</t>
  </si>
  <si>
    <t>311250780</t>
  </si>
  <si>
    <t>Isma Nadana</t>
  </si>
  <si>
    <t>04025</t>
  </si>
  <si>
    <t>311250175</t>
  </si>
  <si>
    <t>Maulidia Safa Salsabila</t>
  </si>
  <si>
    <t>04026</t>
  </si>
  <si>
    <t>Aisyah Putri S</t>
  </si>
  <si>
    <t>04027</t>
  </si>
  <si>
    <t>311231119</t>
  </si>
  <si>
    <t>Lailatul Jannah</t>
  </si>
  <si>
    <t>04028</t>
  </si>
  <si>
    <t>Nisaul Maghfiroh</t>
  </si>
  <si>
    <t>04029</t>
  </si>
  <si>
    <t>311230364</t>
  </si>
  <si>
    <t>Safina Azzahra</t>
  </si>
  <si>
    <t>04030</t>
  </si>
  <si>
    <t>311240990</t>
  </si>
  <si>
    <t>Ana Nafisatul Fitria</t>
  </si>
  <si>
    <t>04031</t>
  </si>
  <si>
    <t>04032</t>
  </si>
  <si>
    <t>311250776</t>
  </si>
  <si>
    <t>Eka Lutfiatul Khotimah</t>
  </si>
  <si>
    <t>04033</t>
  </si>
  <si>
    <t>Dea Cladiza Putri</t>
  </si>
  <si>
    <t>04034</t>
  </si>
  <si>
    <t>311230374</t>
  </si>
  <si>
    <t>Auliatul Mahmudah</t>
  </si>
  <si>
    <t>04035</t>
  </si>
  <si>
    <t>311240981</t>
  </si>
  <si>
    <t>Zahrotus Syita Putri Arifin</t>
  </si>
  <si>
    <t>04036</t>
  </si>
  <si>
    <t>311250179</t>
  </si>
  <si>
    <t>Evi Zakiyatun Na'imah</t>
  </si>
  <si>
    <t>04037</t>
  </si>
  <si>
    <t>311250180</t>
  </si>
  <si>
    <t>Aulia Anggraini</t>
  </si>
  <si>
    <t>04038</t>
  </si>
  <si>
    <t>311230718</t>
  </si>
  <si>
    <t>Siti Ma'rifatul Hasanah</t>
  </si>
  <si>
    <t>04039</t>
  </si>
  <si>
    <t>Wasilatul Chabibah</t>
  </si>
  <si>
    <t>04040</t>
  </si>
  <si>
    <t>Khofidatur Rofi'ah</t>
  </si>
  <si>
    <t>04041</t>
  </si>
  <si>
    <t xml:space="preserve">Siti Jannatul Hasanah </t>
  </si>
  <si>
    <t>04042</t>
  </si>
  <si>
    <t>311240204</t>
  </si>
  <si>
    <t>Keyla Aura Krismadhaini</t>
  </si>
  <si>
    <t>04043</t>
  </si>
  <si>
    <t>Nurdiana</t>
  </si>
  <si>
    <t>04044</t>
  </si>
  <si>
    <t>Alva Nurdiana Darma</t>
  </si>
  <si>
    <t>04045</t>
  </si>
  <si>
    <t>311230685</t>
  </si>
  <si>
    <t>Athiroh Wardatun Jannah</t>
  </si>
  <si>
    <t>04046</t>
  </si>
  <si>
    <t>311230377</t>
  </si>
  <si>
    <t>Daifatul Ulya</t>
  </si>
  <si>
    <t>04047</t>
  </si>
  <si>
    <t>311230791</t>
  </si>
  <si>
    <t>Inas Nadia Farhana</t>
  </si>
  <si>
    <t>E 04</t>
  </si>
  <si>
    <t>04048</t>
  </si>
  <si>
    <t>311231061</t>
  </si>
  <si>
    <t>Sefrina Al-Thofun Niswa</t>
  </si>
  <si>
    <t>04049</t>
  </si>
  <si>
    <t>311240983</t>
  </si>
  <si>
    <t>Nabilah Altaf Rahma Ghozali</t>
  </si>
  <si>
    <t>04050</t>
  </si>
  <si>
    <t>Nia Damayanti</t>
  </si>
  <si>
    <t>04051</t>
  </si>
  <si>
    <t>Rohmatul Maghfiroh</t>
  </si>
  <si>
    <t>04052</t>
  </si>
  <si>
    <t>311230382</t>
  </si>
  <si>
    <t>Musfirotul Firda</t>
  </si>
  <si>
    <t>04053</t>
  </si>
  <si>
    <t>311241001</t>
  </si>
  <si>
    <t>Selatur Rizqiya</t>
  </si>
  <si>
    <t>04054</t>
  </si>
  <si>
    <t>Abeliatus Zahra</t>
  </si>
  <si>
    <t>04055</t>
  </si>
  <si>
    <t>311250777</t>
  </si>
  <si>
    <t>Sofia</t>
  </si>
  <si>
    <t>04056</t>
  </si>
  <si>
    <t>Riska Puspita Sari</t>
  </si>
  <si>
    <t>04057</t>
  </si>
  <si>
    <t>Firza Aluna Zahira</t>
  </si>
  <si>
    <t>04058</t>
  </si>
  <si>
    <t>311240682</t>
  </si>
  <si>
    <t>Fatimatus Zahiro</t>
  </si>
  <si>
    <t>04059</t>
  </si>
  <si>
    <t>Isniyatul Hasanah</t>
  </si>
  <si>
    <t>04060</t>
  </si>
  <si>
    <t>Afifatur Rofiqoh</t>
  </si>
  <si>
    <t>04061</t>
  </si>
  <si>
    <t>Putri Khoirun Nisa'wulandari</t>
  </si>
  <si>
    <t>04304</t>
  </si>
  <si>
    <t>Aulia Zahwa Ulfiani</t>
  </si>
  <si>
    <t>04062</t>
  </si>
  <si>
    <t>Fifi Awalia Basmalah</t>
  </si>
  <si>
    <t>IV K MDTA</t>
  </si>
  <si>
    <t>04063</t>
  </si>
  <si>
    <t>311240084</t>
  </si>
  <si>
    <t>Fitria Nada Fara Agustin</t>
  </si>
  <si>
    <t>04064</t>
  </si>
  <si>
    <t>311230698</t>
  </si>
  <si>
    <t>Maratul Fadilah</t>
  </si>
  <si>
    <t>04065</t>
  </si>
  <si>
    <t>311231031</t>
  </si>
  <si>
    <t>Sabrina Alifiatul Firdausi</t>
  </si>
  <si>
    <t>04066</t>
  </si>
  <si>
    <t xml:space="preserve">Safarotul Husniah </t>
  </si>
  <si>
    <t>04067</t>
  </si>
  <si>
    <t>311240201</t>
  </si>
  <si>
    <t>Dinda Lailatul Khotimah</t>
  </si>
  <si>
    <t>04068</t>
  </si>
  <si>
    <t>311250973</t>
  </si>
  <si>
    <t>Zahrotuz Zita</t>
  </si>
  <si>
    <t>04069</t>
  </si>
  <si>
    <t>311230682</t>
  </si>
  <si>
    <t xml:space="preserve">Ana Syifa Finnisak </t>
  </si>
  <si>
    <t>04070</t>
  </si>
  <si>
    <t>311250782</t>
  </si>
  <si>
    <t>Listia Putri</t>
  </si>
  <si>
    <t>04071</t>
  </si>
  <si>
    <t>Ananda Vista Ramadhani</t>
  </si>
  <si>
    <t>04072</t>
  </si>
  <si>
    <t>311230712</t>
  </si>
  <si>
    <t xml:space="preserve">Putri Nur Alifa </t>
  </si>
  <si>
    <t>04073</t>
  </si>
  <si>
    <t>Nailatul Mahqfiroh</t>
  </si>
  <si>
    <t>04074</t>
  </si>
  <si>
    <t>311240675</t>
  </si>
  <si>
    <t>Ramadhania</t>
  </si>
  <si>
    <t>04075</t>
  </si>
  <si>
    <t>311240210</t>
  </si>
  <si>
    <t>Nabila Nailul Fara</t>
  </si>
  <si>
    <t>04076</t>
  </si>
  <si>
    <t>311240674</t>
  </si>
  <si>
    <t>Yeni Yusvita</t>
  </si>
  <si>
    <t>04077</t>
  </si>
  <si>
    <t>311230780</t>
  </si>
  <si>
    <t>Anila Mawardah</t>
  </si>
  <si>
    <t>04078</t>
  </si>
  <si>
    <t>311240078</t>
  </si>
  <si>
    <t>Aisyah Aulia</t>
  </si>
  <si>
    <t>04079</t>
  </si>
  <si>
    <t>311240697</t>
  </si>
  <si>
    <t>Aliyatus Sholeha</t>
  </si>
  <si>
    <t>04080</t>
  </si>
  <si>
    <t>311230693</t>
  </si>
  <si>
    <t>Lailatil Fitria</t>
  </si>
  <si>
    <t>04081</t>
  </si>
  <si>
    <t>311230345</t>
  </si>
  <si>
    <t>Rodiatus Sholeha</t>
  </si>
  <si>
    <t>04082</t>
  </si>
  <si>
    <t>Maghfirotullah</t>
  </si>
  <si>
    <t>04083</t>
  </si>
  <si>
    <t>Siti Izzatul Ilmia Putri</t>
  </si>
  <si>
    <t>04084</t>
  </si>
  <si>
    <t>311230348</t>
  </si>
  <si>
    <t>Waridatul Khumairoh</t>
  </si>
  <si>
    <t>04085</t>
  </si>
  <si>
    <t>311240197</t>
  </si>
  <si>
    <t>Rika Ainun Safira</t>
  </si>
  <si>
    <t>04086</t>
  </si>
  <si>
    <t>311240978</t>
  </si>
  <si>
    <t>Dyana Putri Salsabillah</t>
  </si>
  <si>
    <t>04087</t>
  </si>
  <si>
    <t>Dita Marsya Syahrani</t>
  </si>
  <si>
    <t>04088</t>
  </si>
  <si>
    <t>311230697</t>
  </si>
  <si>
    <t>Malsa Salwa</t>
  </si>
  <si>
    <t>04089</t>
  </si>
  <si>
    <t>311240693</t>
  </si>
  <si>
    <t>Siti Madinatul Humairoh</t>
  </si>
  <si>
    <t>04090</t>
  </si>
  <si>
    <t>311250975</t>
  </si>
  <si>
    <t>Syarifah Awaliya Ramadan</t>
  </si>
  <si>
    <t>04091</t>
  </si>
  <si>
    <t>311240213</t>
  </si>
  <si>
    <t>Nafila Etania Putri</t>
  </si>
  <si>
    <t>04092</t>
  </si>
  <si>
    <t>311240198</t>
  </si>
  <si>
    <t>Anindya Maulida Azizah</t>
  </si>
  <si>
    <t>04093</t>
  </si>
  <si>
    <t>311230681</t>
  </si>
  <si>
    <t>Amiroh</t>
  </si>
  <si>
    <t>04094</t>
  </si>
  <si>
    <t>Kiandra Anaila</t>
  </si>
  <si>
    <t>04095</t>
  </si>
  <si>
    <t>Zhafira Nur Mukaromah</t>
  </si>
  <si>
    <t>04096</t>
  </si>
  <si>
    <t>311240082</t>
  </si>
  <si>
    <t>Zulfia Roudlotus S</t>
  </si>
  <si>
    <t>04097</t>
  </si>
  <si>
    <t>311230662</t>
  </si>
  <si>
    <t>Alfiatul Azkiya'</t>
  </si>
  <si>
    <t>04098</t>
  </si>
  <si>
    <t>311230719</t>
  </si>
  <si>
    <t>Siti Sulaiha</t>
  </si>
  <si>
    <t>04099</t>
  </si>
  <si>
    <t>04100</t>
  </si>
  <si>
    <t>Siti Hafshah</t>
  </si>
  <si>
    <t>04101</t>
  </si>
  <si>
    <t>311240731</t>
  </si>
  <si>
    <t>Syafaatul Maula</t>
  </si>
  <si>
    <t>04102</t>
  </si>
  <si>
    <t>311240699</t>
  </si>
  <si>
    <t>Aulia Oktaviani</t>
  </si>
  <si>
    <t>04103</t>
  </si>
  <si>
    <t>311230789</t>
  </si>
  <si>
    <t>Silviana Eka Saputri</t>
  </si>
  <si>
    <t>04104</t>
  </si>
  <si>
    <t>311231063</t>
  </si>
  <si>
    <t>Roudhotul Jannah</t>
  </si>
  <si>
    <t>04105</t>
  </si>
  <si>
    <t>311231014</t>
  </si>
  <si>
    <t>Sayyidah Durrotun Nafisah</t>
  </si>
  <si>
    <t>04106</t>
  </si>
  <si>
    <t>311230790</t>
  </si>
  <si>
    <t>Anggun Indana Zulfa</t>
  </si>
  <si>
    <t>04107</t>
  </si>
  <si>
    <t>311230442</t>
  </si>
  <si>
    <t>Wegy Chelsa Olivia</t>
  </si>
  <si>
    <t>04108</t>
  </si>
  <si>
    <t>Miftah Nurul aulia</t>
  </si>
  <si>
    <t>04109</t>
  </si>
  <si>
    <t>311230445</t>
  </si>
  <si>
    <t>Seril Jahwa Aulia</t>
  </si>
  <si>
    <t>04110</t>
  </si>
  <si>
    <t>311240681</t>
  </si>
  <si>
    <t xml:space="preserve">Thalita Shafa Kamila </t>
  </si>
  <si>
    <t>04111</t>
  </si>
  <si>
    <t>Zulfatut Toyyibeh</t>
  </si>
  <si>
    <t>04112</t>
  </si>
  <si>
    <t>Nur Vina Qomariya</t>
  </si>
  <si>
    <t>04113</t>
  </si>
  <si>
    <t>311231016</t>
  </si>
  <si>
    <t>Izzaul Maufiroh</t>
  </si>
  <si>
    <t>04114</t>
  </si>
  <si>
    <t>311240196</t>
  </si>
  <si>
    <t>Neilatul Khusnia</t>
  </si>
  <si>
    <t>04115</t>
  </si>
  <si>
    <t>311230388</t>
  </si>
  <si>
    <t>Zahrotul Alfila</t>
  </si>
  <si>
    <t>04116</t>
  </si>
  <si>
    <t>Amelia Kurnia Putri</t>
  </si>
  <si>
    <t>04117</t>
  </si>
  <si>
    <t>Hikmatul Aliya</t>
  </si>
  <si>
    <t>04118</t>
  </si>
  <si>
    <t>Nurlaeli</t>
  </si>
  <si>
    <t>04119</t>
  </si>
  <si>
    <t>Aynur Wijayanti Kusumawardani</t>
  </si>
  <si>
    <t>04120</t>
  </si>
  <si>
    <t>Faizhatuz Zahro</t>
  </si>
  <si>
    <t>04121</t>
  </si>
  <si>
    <t>Celiya Jia Kalistha</t>
  </si>
  <si>
    <t>04122</t>
  </si>
  <si>
    <t>Putri Evita Muhajir</t>
  </si>
  <si>
    <t>IV L MDTA</t>
  </si>
  <si>
    <t>04123</t>
  </si>
  <si>
    <t>311230715</t>
  </si>
  <si>
    <t>Salwa Hurinabila</t>
  </si>
  <si>
    <t>04124</t>
  </si>
  <si>
    <t>311230317</t>
  </si>
  <si>
    <t>Intatul Mukarromah</t>
  </si>
  <si>
    <t>04125</t>
  </si>
  <si>
    <t>311250174</t>
  </si>
  <si>
    <t>Zainab</t>
  </si>
  <si>
    <t>04126</t>
  </si>
  <si>
    <t>311240081</t>
  </si>
  <si>
    <t>Izzatul Hilmiyah</t>
  </si>
  <si>
    <t>04127</t>
  </si>
  <si>
    <t>Musayyinatin Nafiah</t>
  </si>
  <si>
    <t>04128</t>
  </si>
  <si>
    <t>Nanda Khoirun Nisa'</t>
  </si>
  <si>
    <t>04129</t>
  </si>
  <si>
    <t>311250783</t>
  </si>
  <si>
    <t>Amrina Rosyada</t>
  </si>
  <si>
    <t>04130</t>
  </si>
  <si>
    <t>Aulia Sabilatus Safarina</t>
  </si>
  <si>
    <t>04131</t>
  </si>
  <si>
    <t>311230679</t>
  </si>
  <si>
    <t>Syamrotul Jinani Firdausiyah</t>
  </si>
  <si>
    <t>04132</t>
  </si>
  <si>
    <t>311231126</t>
  </si>
  <si>
    <t>Zahro Humairoh</t>
  </si>
  <si>
    <t>04133</t>
  </si>
  <si>
    <t>311230340</t>
  </si>
  <si>
    <t>Fazira Zamani</t>
  </si>
  <si>
    <t>04134</t>
  </si>
  <si>
    <t>Nadia Nur Faizah</t>
  </si>
  <si>
    <t>04135</t>
  </si>
  <si>
    <t>311230757</t>
  </si>
  <si>
    <t>Maulidia Valen</t>
  </si>
  <si>
    <t>04136</t>
  </si>
  <si>
    <t>311230753</t>
  </si>
  <si>
    <t>Kiswatul Fitriah</t>
  </si>
  <si>
    <t>04137</t>
  </si>
  <si>
    <t>311231057</t>
  </si>
  <si>
    <t>Mauruna Kisbiy</t>
  </si>
  <si>
    <t>04138</t>
  </si>
  <si>
    <t>311230750</t>
  </si>
  <si>
    <t>Intan Lisa umaroh</t>
  </si>
  <si>
    <t>04139</t>
  </si>
  <si>
    <t>311230349</t>
  </si>
  <si>
    <t>Almira Nararya Khoirun Nisa'</t>
  </si>
  <si>
    <t>04140</t>
  </si>
  <si>
    <t>311230707</t>
  </si>
  <si>
    <t>Najma Lailatul Mufida</t>
  </si>
  <si>
    <t>04141</t>
  </si>
  <si>
    <t>311240676</t>
  </si>
  <si>
    <t>Lilis Farhatin Mustaqimah</t>
  </si>
  <si>
    <t>04142</t>
  </si>
  <si>
    <t>311240194</t>
  </si>
  <si>
    <t>Fajriatul Mar'atus Sholeha</t>
  </si>
  <si>
    <t>04143</t>
  </si>
  <si>
    <t>311240688</t>
  </si>
  <si>
    <t>Falentin Febriana Putri R</t>
  </si>
  <si>
    <t>04144</t>
  </si>
  <si>
    <t>311230410</t>
  </si>
  <si>
    <t>Sofiatus Soliha</t>
  </si>
  <si>
    <t>04145</t>
  </si>
  <si>
    <t>Zahwa Nabila Putri</t>
  </si>
  <si>
    <t>04146</t>
  </si>
  <si>
    <t>311250784</t>
  </si>
  <si>
    <t>Inesya Wifri Yantika</t>
  </si>
  <si>
    <t>04147</t>
  </si>
  <si>
    <t>Najwa Zamrotul Aini</t>
  </si>
  <si>
    <t>04148</t>
  </si>
  <si>
    <t>Ana Khoirun Nisa</t>
  </si>
  <si>
    <t>04149</t>
  </si>
  <si>
    <t>Nabila Isma Diana</t>
  </si>
  <si>
    <t>04150</t>
  </si>
  <si>
    <t>311231120</t>
  </si>
  <si>
    <t>Hikmatul Ainiyah</t>
  </si>
  <si>
    <t>04151</t>
  </si>
  <si>
    <t>311230998</t>
  </si>
  <si>
    <t>04152</t>
  </si>
  <si>
    <t>311240991</t>
  </si>
  <si>
    <t>Riyadhotul Jannah</t>
  </si>
  <si>
    <t>04153</t>
  </si>
  <si>
    <t>311250976</t>
  </si>
  <si>
    <t>Naira Mukjizatul Basatoh</t>
  </si>
  <si>
    <t>04154</t>
  </si>
  <si>
    <t>Nia Eka Rahayu</t>
  </si>
  <si>
    <t>04155</t>
  </si>
  <si>
    <t>311250787</t>
  </si>
  <si>
    <t>Rikayatul Uyun</t>
  </si>
  <si>
    <t>04156</t>
  </si>
  <si>
    <t>311231041</t>
  </si>
  <si>
    <t>Nazwa Lailatul Ilmi</t>
  </si>
  <si>
    <t>04157</t>
  </si>
  <si>
    <t>311230327</t>
  </si>
  <si>
    <t>Tasya Nurani</t>
  </si>
  <si>
    <t>04158</t>
  </si>
  <si>
    <t>Siti Aminah</t>
  </si>
  <si>
    <t>04159</t>
  </si>
  <si>
    <t>311230328</t>
  </si>
  <si>
    <t>Nuril Hafiza</t>
  </si>
  <si>
    <t>04160</t>
  </si>
  <si>
    <t>311230330</t>
  </si>
  <si>
    <t>Nur Azlinda Aulia</t>
  </si>
  <si>
    <t>04161</t>
  </si>
  <si>
    <t>Zizih Habibatul Azkia</t>
  </si>
  <si>
    <t>04162</t>
  </si>
  <si>
    <t>311230668</t>
  </si>
  <si>
    <t>Hawariun Nurun Nafi'ah</t>
  </si>
  <si>
    <t>04163</t>
  </si>
  <si>
    <t>Riris Aulia Ervilla</t>
  </si>
  <si>
    <t>04164</t>
  </si>
  <si>
    <t>311240195</t>
  </si>
  <si>
    <t>Siti Maysaroh</t>
  </si>
  <si>
    <t>04165</t>
  </si>
  <si>
    <t>Rusnia Ramadani</t>
  </si>
  <si>
    <t>04166</t>
  </si>
  <si>
    <t>311250785</t>
  </si>
  <si>
    <t>Nabila Zakiyatun Nikmah</t>
  </si>
  <si>
    <t>04167</t>
  </si>
  <si>
    <t>311230448</t>
  </si>
  <si>
    <t>Wasilatus Sholehah</t>
  </si>
  <si>
    <t>04168</t>
  </si>
  <si>
    <t>311230384</t>
  </si>
  <si>
    <t>Riska Aulia Affarida</t>
  </si>
  <si>
    <t>04169</t>
  </si>
  <si>
    <t>311240093</t>
  </si>
  <si>
    <t>Monalisa</t>
  </si>
  <si>
    <t>F 02</t>
  </si>
  <si>
    <t>04170</t>
  </si>
  <si>
    <t>311240695</t>
  </si>
  <si>
    <t xml:space="preserve">Kamela Elvania </t>
  </si>
  <si>
    <t>04171</t>
  </si>
  <si>
    <t>311230701</t>
  </si>
  <si>
    <t>Mirza Aliyana Azizah</t>
  </si>
  <si>
    <t>04172</t>
  </si>
  <si>
    <t>Dewi Siska</t>
  </si>
  <si>
    <t>04173</t>
  </si>
  <si>
    <t>311230452</t>
  </si>
  <si>
    <t>Farhatus Sholeha</t>
  </si>
  <si>
    <t>04174</t>
  </si>
  <si>
    <t>311240685</t>
  </si>
  <si>
    <t>Saifah Afkarina A</t>
  </si>
  <si>
    <t>04175</t>
  </si>
  <si>
    <t>311230332</t>
  </si>
  <si>
    <t>Shalwa Dhita Aprilia</t>
  </si>
  <si>
    <t>04176</t>
  </si>
  <si>
    <t>311240686</t>
  </si>
  <si>
    <t>Feni Enda Zuliana</t>
  </si>
  <si>
    <t>04177</t>
  </si>
  <si>
    <t>Rizqia Jaza Al-auva</t>
  </si>
  <si>
    <t>04178</t>
  </si>
  <si>
    <t xml:space="preserve">Nur Jannah </t>
  </si>
  <si>
    <t>04179</t>
  </si>
  <si>
    <t>Wardatul Hasanah</t>
  </si>
  <si>
    <t>04180</t>
  </si>
  <si>
    <t>Audy Laras Maudina</t>
  </si>
  <si>
    <t>04181</t>
  </si>
  <si>
    <t>Halimatus Sakdiyah</t>
  </si>
  <si>
    <t>04182</t>
  </si>
  <si>
    <t>Nabilatus Shohabiyah</t>
  </si>
  <si>
    <t>04183</t>
  </si>
  <si>
    <t>Putri Vika Wulandari</t>
  </si>
  <si>
    <t>IV M MDTA</t>
  </si>
  <si>
    <t>04184</t>
  </si>
  <si>
    <t>311240088</t>
  </si>
  <si>
    <t>Siti Khumairoh</t>
  </si>
  <si>
    <t>04185</t>
  </si>
  <si>
    <t>311230338</t>
  </si>
  <si>
    <t>04186</t>
  </si>
  <si>
    <t>311240683</t>
  </si>
  <si>
    <t>04187</t>
  </si>
  <si>
    <t>311231047</t>
  </si>
  <si>
    <t>Zifara Putri Aulia</t>
  </si>
  <si>
    <t>04188</t>
  </si>
  <si>
    <t>311240692</t>
  </si>
  <si>
    <t>04189</t>
  </si>
  <si>
    <t>311240089</t>
  </si>
  <si>
    <t>04190</t>
  </si>
  <si>
    <t>311240696</t>
  </si>
  <si>
    <t>Fatimatus Zahroh</t>
  </si>
  <si>
    <t>04191</t>
  </si>
  <si>
    <t>311230738</t>
  </si>
  <si>
    <t>Ayu Wulandari</t>
  </si>
  <si>
    <t>04192</t>
  </si>
  <si>
    <t>311230359</t>
  </si>
  <si>
    <t>Imroatul Hasanah</t>
  </si>
  <si>
    <t>04193</t>
  </si>
  <si>
    <t>311230361</t>
  </si>
  <si>
    <t>Putri Zazkia Afandi</t>
  </si>
  <si>
    <t>04194</t>
  </si>
  <si>
    <t>Aisyah Wulandari</t>
  </si>
  <si>
    <t>04195</t>
  </si>
  <si>
    <t>Siti Magfirotul Hasanah</t>
  </si>
  <si>
    <t>04196</t>
  </si>
  <si>
    <t>311231010</t>
  </si>
  <si>
    <t>Intan Nur Aini</t>
  </si>
  <si>
    <t>04197</t>
  </si>
  <si>
    <t>04198</t>
  </si>
  <si>
    <t>311230316</t>
  </si>
  <si>
    <t>Rifatul Adawiyah</t>
  </si>
  <si>
    <t>04199</t>
  </si>
  <si>
    <t>Sylviatul Jannah</t>
  </si>
  <si>
    <t>04200</t>
  </si>
  <si>
    <t xml:space="preserve">Filza Farzana </t>
  </si>
  <si>
    <t>04201</t>
  </si>
  <si>
    <t>311230708</t>
  </si>
  <si>
    <t>Najwa Sahira</t>
  </si>
  <si>
    <t>04202</t>
  </si>
  <si>
    <t>Revita Nur Aini</t>
  </si>
  <si>
    <t>04203</t>
  </si>
  <si>
    <t>311230740</t>
  </si>
  <si>
    <t>Elza Az zahra</t>
  </si>
  <si>
    <t>04204</t>
  </si>
  <si>
    <t>311230341</t>
  </si>
  <si>
    <t>Naila Izza Afkarina</t>
  </si>
  <si>
    <t>04205</t>
  </si>
  <si>
    <t>311230988</t>
  </si>
  <si>
    <t>Fi'is Satir Rodiyah</t>
  </si>
  <si>
    <t>04206</t>
  </si>
  <si>
    <t>311230687</t>
  </si>
  <si>
    <t>Azzahratul Kurnia P</t>
  </si>
  <si>
    <t>04207</t>
  </si>
  <si>
    <t>311230699</t>
  </si>
  <si>
    <t>Marisa lailatul Badriya</t>
  </si>
  <si>
    <t>04208</t>
  </si>
  <si>
    <t>311230665</t>
  </si>
  <si>
    <t>Fani Arumi Widiawati</t>
  </si>
  <si>
    <t>04209</t>
  </si>
  <si>
    <t>311230674</t>
  </si>
  <si>
    <t>Putri Lailatul Fitria</t>
  </si>
  <si>
    <t>04210</t>
  </si>
  <si>
    <t>311230683</t>
  </si>
  <si>
    <t>Ananda Meilany Putri</t>
  </si>
  <si>
    <t>04211</t>
  </si>
  <si>
    <t>311230424</t>
  </si>
  <si>
    <t>Mayda Safira</t>
  </si>
  <si>
    <t>04212</t>
  </si>
  <si>
    <t>311230360</t>
  </si>
  <si>
    <t>Maghfirotul Hasanah</t>
  </si>
  <si>
    <t>04213</t>
  </si>
  <si>
    <t>311240691</t>
  </si>
  <si>
    <t>Dea Azzahro</t>
  </si>
  <si>
    <t>04214</t>
  </si>
  <si>
    <t>Syifa Auliana Syafa'ah</t>
  </si>
  <si>
    <t>04215</t>
  </si>
  <si>
    <t>311230363</t>
  </si>
  <si>
    <t>Gita Amelia</t>
  </si>
  <si>
    <t>04216</t>
  </si>
  <si>
    <t>311240077</t>
  </si>
  <si>
    <t>Ainiatus Sehiroh</t>
  </si>
  <si>
    <t>04217</t>
  </si>
  <si>
    <t>311230366</t>
  </si>
  <si>
    <t>Shofi Roudhotul Jannah</t>
  </si>
  <si>
    <t>04218</t>
  </si>
  <si>
    <t>311240678</t>
  </si>
  <si>
    <t>Sa'diyah Indana Zulfa</t>
  </si>
  <si>
    <t>04219</t>
  </si>
  <si>
    <t>311240677</t>
  </si>
  <si>
    <t>Siti Husnawiayah</t>
  </si>
  <si>
    <t>04220</t>
  </si>
  <si>
    <t>311240083</t>
  </si>
  <si>
    <t>Fitri Karina</t>
  </si>
  <si>
    <t>04221</t>
  </si>
  <si>
    <t>311230666</t>
  </si>
  <si>
    <t>Fitri Khoiun Nisa'</t>
  </si>
  <si>
    <t>04222</t>
  </si>
  <si>
    <t>311230373</t>
  </si>
  <si>
    <t>Aprilia Jasmin</t>
  </si>
  <si>
    <t>04223</t>
  </si>
  <si>
    <t>Ana Althofun Nisa'</t>
  </si>
  <si>
    <t>04224</t>
  </si>
  <si>
    <t>Elisa Nur Faizah</t>
  </si>
  <si>
    <t>04225</t>
  </si>
  <si>
    <t>Syarifatul Hasanah</t>
  </si>
  <si>
    <t>04226</t>
  </si>
  <si>
    <t>311230329</t>
  </si>
  <si>
    <t>Lusi Rahmawati</t>
  </si>
  <si>
    <t>04227</t>
  </si>
  <si>
    <t>Syarifah Aulina Manaf</t>
  </si>
  <si>
    <t>04228</t>
  </si>
  <si>
    <t>Istianatul Husna</t>
  </si>
  <si>
    <t>04229</t>
  </si>
  <si>
    <t>311230739</t>
  </si>
  <si>
    <t>Dina Setia Rani</t>
  </si>
  <si>
    <t>04230</t>
  </si>
  <si>
    <t>311230986</t>
  </si>
  <si>
    <t>Nur Aini Rahim Yuniar</t>
  </si>
  <si>
    <t>04231</t>
  </si>
  <si>
    <t>311250971</t>
  </si>
  <si>
    <t>Rizky Allya Adawiyah</t>
  </si>
  <si>
    <t>04232</t>
  </si>
  <si>
    <t>311231059</t>
  </si>
  <si>
    <t>Nova Nailatus S</t>
  </si>
  <si>
    <t>04233</t>
  </si>
  <si>
    <t>311240207</t>
  </si>
  <si>
    <t>Kuni Nafisa</t>
  </si>
  <si>
    <t>04234</t>
  </si>
  <si>
    <t xml:space="preserve">Fitria Ramadani </t>
  </si>
  <si>
    <t>04235</t>
  </si>
  <si>
    <t>Desi Amelinda</t>
  </si>
  <si>
    <t>04236</t>
  </si>
  <si>
    <t>311240687</t>
  </si>
  <si>
    <t>Aulia Syifa Azzahra</t>
  </si>
  <si>
    <t>04237</t>
  </si>
  <si>
    <t>Maymuna</t>
  </si>
  <si>
    <t>04238</t>
  </si>
  <si>
    <t>Dini Indriani</t>
  </si>
  <si>
    <t>04239</t>
  </si>
  <si>
    <t>Putri Ayu Wulandari</t>
  </si>
  <si>
    <t>04240</t>
  </si>
  <si>
    <t>Siti Syuaebatuz Zahro</t>
  </si>
  <si>
    <t>04241</t>
  </si>
  <si>
    <t>Naila Rahma Auliya</t>
  </si>
  <si>
    <t>04242</t>
  </si>
  <si>
    <t>Meydiana Tahsya Eka Putri</t>
  </si>
  <si>
    <t>04243</t>
  </si>
  <si>
    <t>311240097</t>
  </si>
  <si>
    <t>Zaedatus Sholeha</t>
  </si>
  <si>
    <t>IV N MDTA</t>
  </si>
  <si>
    <t>04244</t>
  </si>
  <si>
    <t>311230737</t>
  </si>
  <si>
    <t>Asmaul Mahmuda Al-mukarromah</t>
  </si>
  <si>
    <t>04245</t>
  </si>
  <si>
    <t>311240689</t>
  </si>
  <si>
    <t>Siti Mutmainnatur Rohmah</t>
  </si>
  <si>
    <t>04246</t>
  </si>
  <si>
    <t>311250779</t>
  </si>
  <si>
    <t>Hoirotul Ainiyeh</t>
  </si>
  <si>
    <t>04247</t>
  </si>
  <si>
    <t>311250178</t>
  </si>
  <si>
    <t>Fitri Amelia</t>
  </si>
  <si>
    <t>04248</t>
  </si>
  <si>
    <t>311230700</t>
  </si>
  <si>
    <t>Maulidatur Rohmaniah</t>
  </si>
  <si>
    <t>04249</t>
  </si>
  <si>
    <t>311240996</t>
  </si>
  <si>
    <t>Muhimmatun Najmi Hidayatil Hawsy</t>
  </si>
  <si>
    <t>04250</t>
  </si>
  <si>
    <t>311230709</t>
  </si>
  <si>
    <t>Nazilatul Magfiroh</t>
  </si>
  <si>
    <t>04251</t>
  </si>
  <si>
    <t>311240200</t>
  </si>
  <si>
    <t>Almaliya Nur Safika</t>
  </si>
  <si>
    <t>04252</t>
  </si>
  <si>
    <t>Rodiatul Adenia</t>
  </si>
  <si>
    <t>04253</t>
  </si>
  <si>
    <t>311240209</t>
  </si>
  <si>
    <t>Aira Kamelia</t>
  </si>
  <si>
    <t>04254</t>
  </si>
  <si>
    <t>311250970</t>
  </si>
  <si>
    <t xml:space="preserve">Zahrotul Uyun </t>
  </si>
  <si>
    <t>04255</t>
  </si>
  <si>
    <t>Revalina Oktavia</t>
  </si>
  <si>
    <t>04256</t>
  </si>
  <si>
    <t>311240193</t>
  </si>
  <si>
    <t>Lailatul Zahro</t>
  </si>
  <si>
    <t>04257</t>
  </si>
  <si>
    <t>Amelia Febrianti Tri. A</t>
  </si>
  <si>
    <t>04258</t>
  </si>
  <si>
    <t>04259</t>
  </si>
  <si>
    <t>311230344</t>
  </si>
  <si>
    <t>Wardatul Maghfiroh</t>
  </si>
  <si>
    <t>04260</t>
  </si>
  <si>
    <t>311230704</t>
  </si>
  <si>
    <t>Nadzifatul Murodah</t>
  </si>
  <si>
    <t>04261</t>
  </si>
  <si>
    <t>311250974</t>
  </si>
  <si>
    <t>Ina Safinatul Jannah</t>
  </si>
  <si>
    <t>04262</t>
  </si>
  <si>
    <t>311231137</t>
  </si>
  <si>
    <t>Arizatun Nazilah</t>
  </si>
  <si>
    <t>04263</t>
  </si>
  <si>
    <t>311230411</t>
  </si>
  <si>
    <t>Fitri Khoirun Nisa'</t>
  </si>
  <si>
    <t>04264</t>
  </si>
  <si>
    <t>Zidah Farah Salsa Billa</t>
  </si>
  <si>
    <t>04265</t>
  </si>
  <si>
    <t>311240202</t>
  </si>
  <si>
    <t>Zahrin Hayatun Nufus</t>
  </si>
  <si>
    <t>04266</t>
  </si>
  <si>
    <t>311240989</t>
  </si>
  <si>
    <t>Amelia Rafa Endriyani</t>
  </si>
  <si>
    <t>04267</t>
  </si>
  <si>
    <t>311241007</t>
  </si>
  <si>
    <t>Siti Maghfiroh</t>
  </si>
  <si>
    <t>04268</t>
  </si>
  <si>
    <t>Hasnaussyifa'</t>
  </si>
  <si>
    <t>04269</t>
  </si>
  <si>
    <t>Wardatul humaira</t>
  </si>
  <si>
    <t>04270</t>
  </si>
  <si>
    <t>311240087</t>
  </si>
  <si>
    <t>Qurrotul Aini</t>
  </si>
  <si>
    <t>C 05</t>
  </si>
  <si>
    <t>04271</t>
  </si>
  <si>
    <t>311230354</t>
  </si>
  <si>
    <t>Hafrizah Eka Isyaroh Putri</t>
  </si>
  <si>
    <t>04272</t>
  </si>
  <si>
    <t>Maysofa</t>
  </si>
  <si>
    <t>04273</t>
  </si>
  <si>
    <t>311240679</t>
  </si>
  <si>
    <t>Velda Indana Agni Marzuki</t>
  </si>
  <si>
    <t>04274</t>
  </si>
  <si>
    <t xml:space="preserve">Berliana Eka Ayudita  </t>
  </si>
  <si>
    <t>04275</t>
  </si>
  <si>
    <t>311230778</t>
  </si>
  <si>
    <t>Zazkia Nurul Hikmah</t>
  </si>
  <si>
    <t>04276</t>
  </si>
  <si>
    <t>311240214</t>
  </si>
  <si>
    <t>Syafa Aulia R</t>
  </si>
  <si>
    <t>04277</t>
  </si>
  <si>
    <t>311230982</t>
  </si>
  <si>
    <t>Kaffatan Naifah</t>
  </si>
  <si>
    <t>04278</t>
  </si>
  <si>
    <t>311230365</t>
  </si>
  <si>
    <t>Saskia Rafida</t>
  </si>
  <si>
    <t>04279</t>
  </si>
  <si>
    <t>311240199</t>
  </si>
  <si>
    <t>Nailatul Ikrimah</t>
  </si>
  <si>
    <t>04280</t>
  </si>
  <si>
    <t>311240203</t>
  </si>
  <si>
    <t>Yulita Sabna</t>
  </si>
  <si>
    <t>04281</t>
  </si>
  <si>
    <t>311250176</t>
  </si>
  <si>
    <t>04282</t>
  </si>
  <si>
    <t>311230994</t>
  </si>
  <si>
    <t>Aisyatul Bariroh</t>
  </si>
  <si>
    <t>04283</t>
  </si>
  <si>
    <t>311230761</t>
  </si>
  <si>
    <t>Nafiza Ikhwania Salafia</t>
  </si>
  <si>
    <t>04284</t>
  </si>
  <si>
    <t>Elisatus Sahwa</t>
  </si>
  <si>
    <t>04285</t>
  </si>
  <si>
    <t>311240982</t>
  </si>
  <si>
    <t>04286</t>
  </si>
  <si>
    <t>Safira Faradila</t>
  </si>
  <si>
    <t>04287</t>
  </si>
  <si>
    <t>Noviatus Sholehah</t>
  </si>
  <si>
    <t>04288</t>
  </si>
  <si>
    <t>311250177</t>
  </si>
  <si>
    <t>Maysaroh</t>
  </si>
  <si>
    <t>04289</t>
  </si>
  <si>
    <t>311230724</t>
  </si>
  <si>
    <t>Zesia Belgis</t>
  </si>
  <si>
    <t>04290</t>
  </si>
  <si>
    <t>Safiratul Hikmah</t>
  </si>
  <si>
    <t>04291</t>
  </si>
  <si>
    <t>311250977</t>
  </si>
  <si>
    <t>Huurin Nabila</t>
  </si>
  <si>
    <t>04292</t>
  </si>
  <si>
    <t>311230793</t>
  </si>
  <si>
    <t>Hanifatul Munawaroh</t>
  </si>
  <si>
    <t>E 02</t>
  </si>
  <si>
    <t>04293</t>
  </si>
  <si>
    <t>311240205</t>
  </si>
  <si>
    <t>Nasila Wulandari</t>
  </si>
  <si>
    <t>04294</t>
  </si>
  <si>
    <t>311230380</t>
  </si>
  <si>
    <t>Annisa Cindona</t>
  </si>
  <si>
    <t>04295</t>
  </si>
  <si>
    <t>311250972</t>
  </si>
  <si>
    <t>Fatin Hamamah</t>
  </si>
  <si>
    <t>04296</t>
  </si>
  <si>
    <t>311240212</t>
  </si>
  <si>
    <t>Putri Marsya M.</t>
  </si>
  <si>
    <t>04297</t>
  </si>
  <si>
    <t>311240671</t>
  </si>
  <si>
    <t>Khilwa Najwa Nabila</t>
  </si>
  <si>
    <t>04298</t>
  </si>
  <si>
    <t>Izzah Salsabilatun N.</t>
  </si>
  <si>
    <t>04299</t>
  </si>
  <si>
    <t>311250778</t>
  </si>
  <si>
    <t>Huka Zainab</t>
  </si>
  <si>
    <t>04300</t>
  </si>
  <si>
    <t>Sofiya</t>
  </si>
  <si>
    <t>04301</t>
  </si>
  <si>
    <t>Himmatul Ummah</t>
  </si>
  <si>
    <t>04302</t>
  </si>
  <si>
    <t>Adinda Agustina Rahmadani</t>
  </si>
  <si>
    <t>04303</t>
  </si>
  <si>
    <t>Emillia Septi Nur Hafizah</t>
  </si>
  <si>
    <t>05001</t>
  </si>
  <si>
    <t>311230423</t>
  </si>
  <si>
    <t>Felyzia Zammira Zahra</t>
  </si>
  <si>
    <t>V G MDTA</t>
  </si>
  <si>
    <t>05002</t>
  </si>
  <si>
    <t>Iis Nur Aisyah</t>
  </si>
  <si>
    <t>05003</t>
  </si>
  <si>
    <t>Maidatul Humairoh</t>
  </si>
  <si>
    <t>05004</t>
  </si>
  <si>
    <t>311230728</t>
  </si>
  <si>
    <t>Ainul Izzah Mukarromah</t>
  </si>
  <si>
    <t>05005</t>
  </si>
  <si>
    <t>311231006</t>
  </si>
  <si>
    <t>Sahira Nur Aini Az Zahra</t>
  </si>
  <si>
    <t>05006</t>
  </si>
  <si>
    <t>311231122</t>
  </si>
  <si>
    <t>Azimatus Sa'Adah</t>
  </si>
  <si>
    <t>05007</t>
  </si>
  <si>
    <t>Siti Masrifa</t>
  </si>
  <si>
    <t>05008</t>
  </si>
  <si>
    <t>Ainun Dania Tuzzahro</t>
  </si>
  <si>
    <t>05009</t>
  </si>
  <si>
    <t>Alya Ika Ramadani</t>
  </si>
  <si>
    <t>05010</t>
  </si>
  <si>
    <t>Ira Maulidatus Zulfa</t>
  </si>
  <si>
    <t>05011</t>
  </si>
  <si>
    <t>Najwa Naysilatul Magfiroh</t>
  </si>
  <si>
    <t>05012</t>
  </si>
  <si>
    <t>05013</t>
  </si>
  <si>
    <t>311231008</t>
  </si>
  <si>
    <t>Nailatul Mufida</t>
  </si>
  <si>
    <t>05014</t>
  </si>
  <si>
    <t>Nuris Sucihana</t>
  </si>
  <si>
    <t>05015</t>
  </si>
  <si>
    <t>Aisyah Gelsi Safira</t>
  </si>
  <si>
    <t>05016</t>
  </si>
  <si>
    <t>Hazizah Siti Nur Fatimah</t>
  </si>
  <si>
    <t>05017</t>
  </si>
  <si>
    <t>311230770</t>
  </si>
  <si>
    <t>Sayla Lailatur Rohma</t>
  </si>
  <si>
    <t>05018</t>
  </si>
  <si>
    <t>Velita Aprillia</t>
  </si>
  <si>
    <t>05019</t>
  </si>
  <si>
    <t>Siti Nur Kholifah</t>
  </si>
  <si>
    <t>05020</t>
  </si>
  <si>
    <t>311230405</t>
  </si>
  <si>
    <t>Rizka Afkarina</t>
  </si>
  <si>
    <t>05021</t>
  </si>
  <si>
    <t>Zakiatus Maulida</t>
  </si>
  <si>
    <t>05022</t>
  </si>
  <si>
    <t>05023</t>
  </si>
  <si>
    <t>311240707</t>
  </si>
  <si>
    <t>Liana Safitri</t>
  </si>
  <si>
    <t>05024</t>
  </si>
  <si>
    <t>Ega Lita</t>
  </si>
  <si>
    <t>05025</t>
  </si>
  <si>
    <t>311240709</t>
  </si>
  <si>
    <t>Masyrifah Hayati</t>
  </si>
  <si>
    <t>05026</t>
  </si>
  <si>
    <t>311240730</t>
  </si>
  <si>
    <t>Anisa Salsabila Putri</t>
  </si>
  <si>
    <t>05027</t>
  </si>
  <si>
    <t>Laili Angel Cleo Oktavia</t>
  </si>
  <si>
    <t>05028</t>
  </si>
  <si>
    <t>Nafilatul Jannah</t>
  </si>
  <si>
    <t>05029</t>
  </si>
  <si>
    <t>Firda Nur Fatihah</t>
  </si>
  <si>
    <t>05030</t>
  </si>
  <si>
    <t>311231019</t>
  </si>
  <si>
    <t>Nafara Ulfatul Humairoh</t>
  </si>
  <si>
    <t>05031</t>
  </si>
  <si>
    <t>311231001</t>
  </si>
  <si>
    <t>Dewi Dara Wati</t>
  </si>
  <si>
    <t>05032</t>
  </si>
  <si>
    <t>311230431</t>
  </si>
  <si>
    <t>Khoiriyah</t>
  </si>
  <si>
    <t>05033</t>
  </si>
  <si>
    <t>311240098</t>
  </si>
  <si>
    <t>Rusmawati</t>
  </si>
  <si>
    <t>05034</t>
  </si>
  <si>
    <t>Rizqi Amilatus Sholeha</t>
  </si>
  <si>
    <t>05035</t>
  </si>
  <si>
    <t>311230735</t>
  </si>
  <si>
    <t>Annisa Widatur Rohma</t>
  </si>
  <si>
    <t>05036</t>
  </si>
  <si>
    <t>05037</t>
  </si>
  <si>
    <t>311230688</t>
  </si>
  <si>
    <t>Devi Nur Mala Sari</t>
  </si>
  <si>
    <t>05038</t>
  </si>
  <si>
    <t>Noviyanti</t>
  </si>
  <si>
    <t>05039</t>
  </si>
  <si>
    <t>Maratun Nabila</t>
  </si>
  <si>
    <t>05040</t>
  </si>
  <si>
    <t>Siti Nur Aisyah Farah Azaliyah</t>
  </si>
  <si>
    <t>05041</t>
  </si>
  <si>
    <t>Febriani Cahyaningtiyas</t>
  </si>
  <si>
    <t>05042</t>
  </si>
  <si>
    <t>05043</t>
  </si>
  <si>
    <t>Eva Khoirun Nisa'</t>
  </si>
  <si>
    <t>05044</t>
  </si>
  <si>
    <t>Rizqiyah</t>
  </si>
  <si>
    <t>05045</t>
  </si>
  <si>
    <t>Ainun Nabilatus Sholehah</t>
  </si>
  <si>
    <t>05046</t>
  </si>
  <si>
    <t>Nawal Aulia Zahwa</t>
  </si>
  <si>
    <t>05047</t>
  </si>
  <si>
    <t>311250966</t>
  </si>
  <si>
    <t>Alda Zakiyah Fisafarina</t>
  </si>
  <si>
    <t>05048</t>
  </si>
  <si>
    <t>311240228</t>
  </si>
  <si>
    <t>Tara Ayu Pratiwi</t>
  </si>
  <si>
    <t>05049</t>
  </si>
  <si>
    <t>311231026</t>
  </si>
  <si>
    <t>Zahrotul Azizah</t>
  </si>
  <si>
    <t>05050</t>
  </si>
  <si>
    <t>Qotrun Nada Farah Salsabila</t>
  </si>
  <si>
    <t>05051</t>
  </si>
  <si>
    <t>311231005</t>
  </si>
  <si>
    <t>Fiki Azka Kafabi</t>
  </si>
  <si>
    <t>05052</t>
  </si>
  <si>
    <t>311230462</t>
  </si>
  <si>
    <t>Nuril Istiqomah</t>
  </si>
  <si>
    <t>05053</t>
  </si>
  <si>
    <t>311250965</t>
  </si>
  <si>
    <t>Siti Nur Afifatul Maghfiro</t>
  </si>
  <si>
    <t>05054</t>
  </si>
  <si>
    <t>311231023</t>
  </si>
  <si>
    <t>05055</t>
  </si>
  <si>
    <t>311231022</t>
  </si>
  <si>
    <t>Zianatul Kamila Assa'Idah</t>
  </si>
  <si>
    <t>05056</t>
  </si>
  <si>
    <t>311240222</t>
  </si>
  <si>
    <t>Anisatul Maghfiroh</t>
  </si>
  <si>
    <t>05057</t>
  </si>
  <si>
    <t>311231021</t>
  </si>
  <si>
    <t>Faizatul Maghfiroh</t>
  </si>
  <si>
    <t>05058</t>
  </si>
  <si>
    <t>Zuhriya Rodiyatul Iktiyar</t>
  </si>
  <si>
    <t>05059</t>
  </si>
  <si>
    <t>311240223</t>
  </si>
  <si>
    <t>Defita Sari</t>
  </si>
  <si>
    <t>05060</t>
  </si>
  <si>
    <t>Ambar Agustina</t>
  </si>
  <si>
    <t>05061</t>
  </si>
  <si>
    <t>Nuril Afrelia</t>
  </si>
  <si>
    <t>05062</t>
  </si>
  <si>
    <t>Septi Anggraini</t>
  </si>
  <si>
    <t>05063</t>
  </si>
  <si>
    <t>Qotrun Nada Farah Syalsyabila</t>
  </si>
  <si>
    <t>05064</t>
  </si>
  <si>
    <t>Maudia Kalimati Q</t>
  </si>
  <si>
    <t>05065</t>
  </si>
  <si>
    <t>Himmatul Ulya</t>
  </si>
  <si>
    <t>05066</t>
  </si>
  <si>
    <t>Widiya Dwi Nurfadilah</t>
  </si>
  <si>
    <t>05067</t>
  </si>
  <si>
    <t>Wildatul Khoiriah</t>
  </si>
  <si>
    <t>05068</t>
  </si>
  <si>
    <t>Faizatul Ismah</t>
  </si>
  <si>
    <t>V H MDTA</t>
  </si>
  <si>
    <t>05069</t>
  </si>
  <si>
    <t>Fadilah Nur Aini</t>
  </si>
  <si>
    <t>05070</t>
  </si>
  <si>
    <t>Khoeratun Nizak</t>
  </si>
  <si>
    <t>05071</t>
  </si>
  <si>
    <t>311231004</t>
  </si>
  <si>
    <t>Roudhotul Munawaro</t>
  </si>
  <si>
    <t>05072</t>
  </si>
  <si>
    <t>311250182</t>
  </si>
  <si>
    <t>Novita Aprilia</t>
  </si>
  <si>
    <t>05073</t>
  </si>
  <si>
    <t>311241009</t>
  </si>
  <si>
    <t>Hidayatul Hikmah</t>
  </si>
  <si>
    <t>05074</t>
  </si>
  <si>
    <t>Salsabila Qurrotul Aini</t>
  </si>
  <si>
    <t>05075</t>
  </si>
  <si>
    <t>Siti Muyessaroh</t>
  </si>
  <si>
    <t>05076</t>
  </si>
  <si>
    <t>311230766</t>
  </si>
  <si>
    <t>Ruliana Ari Priyanti</t>
  </si>
  <si>
    <t>05077</t>
  </si>
  <si>
    <t>Fifin Ainur Rohmah</t>
  </si>
  <si>
    <t>05078</t>
  </si>
  <si>
    <t>Siti Hotijah</t>
  </si>
  <si>
    <t>05079</t>
  </si>
  <si>
    <t>Jihanul Mananilil Mufida</t>
  </si>
  <si>
    <t>05080</t>
  </si>
  <si>
    <t>311250183</t>
  </si>
  <si>
    <t>Fakhirotul Aulia</t>
  </si>
  <si>
    <t>05081</t>
  </si>
  <si>
    <t>Siti Nur Huzaimah Riska</t>
  </si>
  <si>
    <t>05082</t>
  </si>
  <si>
    <t>Dewi Rifani Aulia</t>
  </si>
  <si>
    <t>05083</t>
  </si>
  <si>
    <t>Dea Ayu Lestari</t>
  </si>
  <si>
    <t>05084</t>
  </si>
  <si>
    <t>Rhesya Devano</t>
  </si>
  <si>
    <t>05085</t>
  </si>
  <si>
    <t>Naura Salsabila</t>
  </si>
  <si>
    <t>05086</t>
  </si>
  <si>
    <t>311240703</t>
  </si>
  <si>
    <t>Rifda Asaidah Salsabila</t>
  </si>
  <si>
    <t>05087</t>
  </si>
  <si>
    <t>Maida Safira</t>
  </si>
  <si>
    <t>05088</t>
  </si>
  <si>
    <t>311231011</t>
  </si>
  <si>
    <t>Fitrotus Sa'adatun Naily</t>
  </si>
  <si>
    <t>05089</t>
  </si>
  <si>
    <t>311231012</t>
  </si>
  <si>
    <t>Fania Az Zahra</t>
  </si>
  <si>
    <t>05090</t>
  </si>
  <si>
    <t>Sitti Fatimatus Zahro</t>
  </si>
  <si>
    <t>05091</t>
  </si>
  <si>
    <t>311230768</t>
  </si>
  <si>
    <t>Sarofatul Azizah</t>
  </si>
  <si>
    <t>B 03</t>
  </si>
  <si>
    <t>05092</t>
  </si>
  <si>
    <t>Saila Fina Mafaza</t>
  </si>
  <si>
    <t>05093</t>
  </si>
  <si>
    <t>311230734</t>
  </si>
  <si>
    <t>Anis Aprilia</t>
  </si>
  <si>
    <t>05094</t>
  </si>
  <si>
    <t>Sarifatul Lutfiah</t>
  </si>
  <si>
    <t>05095</t>
  </si>
  <si>
    <t>Anisa fitri aulia</t>
  </si>
  <si>
    <t>05096</t>
  </si>
  <si>
    <t>311250788</t>
  </si>
  <si>
    <t>Zahira Qomaria</t>
  </si>
  <si>
    <t>05097</t>
  </si>
  <si>
    <t>311230352</t>
  </si>
  <si>
    <t>05098</t>
  </si>
  <si>
    <t>311241096</t>
  </si>
  <si>
    <t>Dewi Yuliani Azalia</t>
  </si>
  <si>
    <t>05099</t>
  </si>
  <si>
    <t>Khumairotul Jannah</t>
  </si>
  <si>
    <t>05100</t>
  </si>
  <si>
    <t>Nurul Vindahari Mami</t>
  </si>
  <si>
    <t>05101</t>
  </si>
  <si>
    <t>Lailatul Rohma</t>
  </si>
  <si>
    <t>05102</t>
  </si>
  <si>
    <t>Nailis Sa'adah</t>
  </si>
  <si>
    <t>05103</t>
  </si>
  <si>
    <t>Zumrotul Aini</t>
  </si>
  <si>
    <t>05104</t>
  </si>
  <si>
    <t>Safika Aprilia</t>
  </si>
  <si>
    <t>05105</t>
  </si>
  <si>
    <t>Rahayu Tri Utami</t>
  </si>
  <si>
    <t>05106</t>
  </si>
  <si>
    <t>Isti Fadetun Najiseh</t>
  </si>
  <si>
    <t>05107</t>
  </si>
  <si>
    <t>311230449</t>
  </si>
  <si>
    <t>Nurul Isnaini</t>
  </si>
  <si>
    <t>05108</t>
  </si>
  <si>
    <t>Aisyah Nanda Audina</t>
  </si>
  <si>
    <t>05109</t>
  </si>
  <si>
    <t>Nuri Afwiyanti</t>
  </si>
  <si>
    <t>05110</t>
  </si>
  <si>
    <t>Meliyana Aprilia</t>
  </si>
  <si>
    <t>05111</t>
  </si>
  <si>
    <t>Putri Nur Fadila</t>
  </si>
  <si>
    <t>05112</t>
  </si>
  <si>
    <t>311240225</t>
  </si>
  <si>
    <t>Shofia Nadziroh</t>
  </si>
  <si>
    <t>05113</t>
  </si>
  <si>
    <t>Silfina Dwi Putri</t>
  </si>
  <si>
    <t>05114</t>
  </si>
  <si>
    <t>311230437</t>
  </si>
  <si>
    <t>Tazkiyatun Nafsi El Sarifa</t>
  </si>
  <si>
    <t>05115</t>
  </si>
  <si>
    <t>311250181</t>
  </si>
  <si>
    <t>Ramadani Aidil Fitri</t>
  </si>
  <si>
    <t>05116</t>
  </si>
  <si>
    <t>05117</t>
  </si>
  <si>
    <t>Novy Datul Rahma</t>
  </si>
  <si>
    <t>05118</t>
  </si>
  <si>
    <t>311240229</t>
  </si>
  <si>
    <t>Hikmatul Azizah</t>
  </si>
  <si>
    <t>05119</t>
  </si>
  <si>
    <t>311230379</t>
  </si>
  <si>
    <t>Nur Auliatul Jannah</t>
  </si>
  <si>
    <t>05120</t>
  </si>
  <si>
    <t>Muzayyanah</t>
  </si>
  <si>
    <t>05121</t>
  </si>
  <si>
    <t>311241015</t>
  </si>
  <si>
    <t>Dwi Rosianti</t>
  </si>
  <si>
    <t>05122</t>
  </si>
  <si>
    <t>Safinatun Aulia</t>
  </si>
  <si>
    <t>05123</t>
  </si>
  <si>
    <t>311240094</t>
  </si>
  <si>
    <t>Himayatul Khoiriyah</t>
  </si>
  <si>
    <t>F 03</t>
  </si>
  <si>
    <t>05124</t>
  </si>
  <si>
    <t>Laila Andini Susanti</t>
  </si>
  <si>
    <t>05125</t>
  </si>
  <si>
    <t>311230759</t>
  </si>
  <si>
    <t>Nadiatus Sholehah</t>
  </si>
  <si>
    <t>05126</t>
  </si>
  <si>
    <t xml:space="preserve">Nailatul Ikrimah Hidayati </t>
  </si>
  <si>
    <t>05127</t>
  </si>
  <si>
    <t>Nur Anisa</t>
  </si>
  <si>
    <t>05128</t>
  </si>
  <si>
    <t>311230702</t>
  </si>
  <si>
    <t>Mirza Firnanda Amilia</t>
  </si>
  <si>
    <t>05129</t>
  </si>
  <si>
    <t>Ila Baitur Rohmah</t>
  </si>
  <si>
    <t>05130</t>
  </si>
  <si>
    <t>Faiqotul Nafsiyah</t>
  </si>
  <si>
    <t>05131</t>
  </si>
  <si>
    <t>Ikfina Dina Kamila</t>
  </si>
  <si>
    <t>05132</t>
  </si>
  <si>
    <t>Tazkia Wahyi Robbani</t>
  </si>
  <si>
    <t>05133</t>
  </si>
  <si>
    <t>Wulan Safika Putri Maisaroh</t>
  </si>
  <si>
    <t>05134</t>
  </si>
  <si>
    <t>Muslimah</t>
  </si>
  <si>
    <t>05268</t>
  </si>
  <si>
    <t>05135</t>
  </si>
  <si>
    <t>V i MDTA</t>
  </si>
  <si>
    <t>05136</t>
  </si>
  <si>
    <t>Isnaeniyatul Aulia</t>
  </si>
  <si>
    <t>05137</t>
  </si>
  <si>
    <t>Raisa</t>
  </si>
  <si>
    <t>05138</t>
  </si>
  <si>
    <t>Syarifah Lailatus S</t>
  </si>
  <si>
    <t>05139</t>
  </si>
  <si>
    <t>Niswatul Laili</t>
  </si>
  <si>
    <t>05140</t>
  </si>
  <si>
    <t>311230997</t>
  </si>
  <si>
    <t>Aisyatun Nabila</t>
  </si>
  <si>
    <t>05141</t>
  </si>
  <si>
    <t>311231046</t>
  </si>
  <si>
    <t>Lita Safarina</t>
  </si>
  <si>
    <t>05142</t>
  </si>
  <si>
    <t>Flora Angellia</t>
  </si>
  <si>
    <t>05143</t>
  </si>
  <si>
    <t>Siti Nur Qomariyah</t>
  </si>
  <si>
    <t>05144</t>
  </si>
  <si>
    <t xml:space="preserve">Intan Nur Aini </t>
  </si>
  <si>
    <t>05145</t>
  </si>
  <si>
    <t>Firda Hijrotul Laili</t>
  </si>
  <si>
    <t>05146</t>
  </si>
  <si>
    <t>311230395</t>
  </si>
  <si>
    <t>Siti Nur Jannah</t>
  </si>
  <si>
    <t>05147</t>
  </si>
  <si>
    <t>Vina Nada Fatimatuzzahro</t>
  </si>
  <si>
    <t>05148</t>
  </si>
  <si>
    <t>Mukrifatil Ainiyah</t>
  </si>
  <si>
    <t>05149</t>
  </si>
  <si>
    <t>311250967</t>
  </si>
  <si>
    <t>Alfiah Damayanti</t>
  </si>
  <si>
    <t>05150</t>
  </si>
  <si>
    <t>Mayang Wulandari</t>
  </si>
  <si>
    <t>05151</t>
  </si>
  <si>
    <t>Lailatul Azria</t>
  </si>
  <si>
    <t>05152</t>
  </si>
  <si>
    <t>311250184</t>
  </si>
  <si>
    <t>I'anatul Fitria</t>
  </si>
  <si>
    <t>05153</t>
  </si>
  <si>
    <t>311240096</t>
  </si>
  <si>
    <t>Sehratus Solehah</t>
  </si>
  <si>
    <t>05154</t>
  </si>
  <si>
    <t>Jeny Kamelia Bela</t>
  </si>
  <si>
    <t>05155</t>
  </si>
  <si>
    <t>Nadifatul Maulida</t>
  </si>
  <si>
    <t>05156</t>
  </si>
  <si>
    <t>Asmaul Khusna</t>
  </si>
  <si>
    <t>05157</t>
  </si>
  <si>
    <t>Azizatul Qomariah</t>
  </si>
  <si>
    <t>05158</t>
  </si>
  <si>
    <t>Khumairoh</t>
  </si>
  <si>
    <t>05159</t>
  </si>
  <si>
    <t>Vicha Dwi Maylany</t>
  </si>
  <si>
    <t>05160</t>
  </si>
  <si>
    <t>311250789</t>
  </si>
  <si>
    <t xml:space="preserve">Sefina Adelia Cleo Mita </t>
  </si>
  <si>
    <t>05161</t>
  </si>
  <si>
    <t>311240220</t>
  </si>
  <si>
    <t>Maya Ulfatul Jannah</t>
  </si>
  <si>
    <t>05162</t>
  </si>
  <si>
    <t>311230726</t>
  </si>
  <si>
    <t>Adinda Nazwatuz Zahra</t>
  </si>
  <si>
    <t>05163</t>
  </si>
  <si>
    <t>Sofa Azizah</t>
  </si>
  <si>
    <t>05164</t>
  </si>
  <si>
    <t>Riskiyatul Khofifah</t>
  </si>
  <si>
    <t>05165</t>
  </si>
  <si>
    <t>311250968</t>
  </si>
  <si>
    <t>Siti NurHalisa</t>
  </si>
  <si>
    <t>05166</t>
  </si>
  <si>
    <t>Fara Naila Firdausiyah</t>
  </si>
  <si>
    <t>05167</t>
  </si>
  <si>
    <t>Sukaina Salsabila</t>
  </si>
  <si>
    <t>05168</t>
  </si>
  <si>
    <t>311230418</t>
  </si>
  <si>
    <t>Rahel Qori</t>
  </si>
  <si>
    <t>05169</t>
  </si>
  <si>
    <t>311250964</t>
  </si>
  <si>
    <t xml:space="preserve">Putri Ruri </t>
  </si>
  <si>
    <t>05170</t>
  </si>
  <si>
    <t>Nayla Al Amany</t>
  </si>
  <si>
    <t>05171</t>
  </si>
  <si>
    <t>311240705</t>
  </si>
  <si>
    <t>Mauliatul Bashiroh</t>
  </si>
  <si>
    <t>05172</t>
  </si>
  <si>
    <t>311240230</t>
  </si>
  <si>
    <t>Siti Solehatul Hasanah</t>
  </si>
  <si>
    <t>05173</t>
  </si>
  <si>
    <t>Fifin Nofelia Putri</t>
  </si>
  <si>
    <t>05174</t>
  </si>
  <si>
    <t>311250790</t>
  </si>
  <si>
    <t>Anisa Putri Lestari</t>
  </si>
  <si>
    <t>05175</t>
  </si>
  <si>
    <t>311231002</t>
  </si>
  <si>
    <t>Rameza Alya Luhbita</t>
  </si>
  <si>
    <t>05176</t>
  </si>
  <si>
    <t>311240226</t>
  </si>
  <si>
    <t>Fara Nurus Soraya</t>
  </si>
  <si>
    <t>05177</t>
  </si>
  <si>
    <t>Saskia Nabila</t>
  </si>
  <si>
    <t>05178</t>
  </si>
  <si>
    <t>05179</t>
  </si>
  <si>
    <t>Zaskia Nuril Aini</t>
  </si>
  <si>
    <t>05180</t>
  </si>
  <si>
    <t>Intan Mafirda Putri</t>
  </si>
  <si>
    <t>05181</t>
  </si>
  <si>
    <t>Rahmadaini Firjatullah</t>
  </si>
  <si>
    <t>05182</t>
  </si>
  <si>
    <t>311240221</t>
  </si>
  <si>
    <t>Nisa'un Nafisa</t>
  </si>
  <si>
    <t>05183</t>
  </si>
  <si>
    <t>311251041</t>
  </si>
  <si>
    <t>Setiya Ningsih</t>
  </si>
  <si>
    <t>05184</t>
  </si>
  <si>
    <t>Putri Lestari</t>
  </si>
  <si>
    <t>05185</t>
  </si>
  <si>
    <t>Zasila</t>
  </si>
  <si>
    <t>05186</t>
  </si>
  <si>
    <t>Nadia</t>
  </si>
  <si>
    <t>05187</t>
  </si>
  <si>
    <t>311230440</t>
  </si>
  <si>
    <t>Fita Setiana</t>
  </si>
  <si>
    <t>05188</t>
  </si>
  <si>
    <t>Riskita Kamalia</t>
  </si>
  <si>
    <t>E 01</t>
  </si>
  <si>
    <t>05189</t>
  </si>
  <si>
    <t>311240708</t>
  </si>
  <si>
    <t>Daliyatul Maghfiroh</t>
  </si>
  <si>
    <t>05190</t>
  </si>
  <si>
    <t>Lailatur Rodiyah</t>
  </si>
  <si>
    <t>05191</t>
  </si>
  <si>
    <t>311231024</t>
  </si>
  <si>
    <t>Rofiatul Hasanah</t>
  </si>
  <si>
    <t>05192</t>
  </si>
  <si>
    <t>311250963</t>
  </si>
  <si>
    <t>Sayyidati Zahra Arifin</t>
  </si>
  <si>
    <t>05193</t>
  </si>
  <si>
    <t>Mutmainah</t>
  </si>
  <si>
    <t>05194</t>
  </si>
  <si>
    <t>Luluk Faridatun Nafiah</t>
  </si>
  <si>
    <t>05195</t>
  </si>
  <si>
    <t>Putri Rosa Linda</t>
  </si>
  <si>
    <t>05196</t>
  </si>
  <si>
    <t>Atikah Mazaya</t>
  </si>
  <si>
    <t>05197</t>
  </si>
  <si>
    <t>Asyifa Khoirotun Nisa Dewi</t>
  </si>
  <si>
    <t>05198</t>
  </si>
  <si>
    <t>Qurrotun Nafisa</t>
  </si>
  <si>
    <t>05199</t>
  </si>
  <si>
    <t>Nayla Maulidiya</t>
  </si>
  <si>
    <t>05200</t>
  </si>
  <si>
    <t>Laily Nurrah Fidha</t>
  </si>
  <si>
    <t>05201</t>
  </si>
  <si>
    <t>Intan Kurnia Agustin</t>
  </si>
  <si>
    <t>05202</t>
  </si>
  <si>
    <t>Afifa Isyatuthoyiba</t>
  </si>
  <si>
    <t>V J MDTA</t>
  </si>
  <si>
    <t>05203</t>
  </si>
  <si>
    <t>Halwa Ilma Malika</t>
  </si>
  <si>
    <t>05204</t>
  </si>
  <si>
    <t>Vita Sazkiya Jamilah</t>
  </si>
  <si>
    <t>05205</t>
  </si>
  <si>
    <t>311240227</t>
  </si>
  <si>
    <t xml:space="preserve">Qurrota A'yun </t>
  </si>
  <si>
    <t>05206</t>
  </si>
  <si>
    <t>311230400</t>
  </si>
  <si>
    <t>Zazkia Aulia Agustin</t>
  </si>
  <si>
    <t>05207</t>
  </si>
  <si>
    <t>Dea Amelia</t>
  </si>
  <si>
    <t>05208</t>
  </si>
  <si>
    <t>Amelatul Maulida</t>
  </si>
  <si>
    <t>05209</t>
  </si>
  <si>
    <t>311230336</t>
  </si>
  <si>
    <t>Laelil Maufiroh</t>
  </si>
  <si>
    <t>05210</t>
  </si>
  <si>
    <t>Hosnawiya</t>
  </si>
  <si>
    <t>05211</t>
  </si>
  <si>
    <t>311230403</t>
  </si>
  <si>
    <t>Faizi Alwi</t>
  </si>
  <si>
    <t>05212</t>
  </si>
  <si>
    <t>Nahda Arifah</t>
  </si>
  <si>
    <t>05213</t>
  </si>
  <si>
    <t>Dewi Syarifah</t>
  </si>
  <si>
    <t>05214</t>
  </si>
  <si>
    <t>311240702</t>
  </si>
  <si>
    <t>Artalita Afkarina p</t>
  </si>
  <si>
    <t>05215</t>
  </si>
  <si>
    <t>311241004</t>
  </si>
  <si>
    <t>Naila Febrianti</t>
  </si>
  <si>
    <t>05216</t>
  </si>
  <si>
    <t>311240219</t>
  </si>
  <si>
    <t>Hidayatus Zulfa</t>
  </si>
  <si>
    <t>05217</t>
  </si>
  <si>
    <t>311240701</t>
  </si>
  <si>
    <t>Husnatul Aini</t>
  </si>
  <si>
    <t>05218</t>
  </si>
  <si>
    <t>Khilwa Mafaza</t>
  </si>
  <si>
    <t>05219</t>
  </si>
  <si>
    <t>Fatimatus Zahro</t>
  </si>
  <si>
    <t>05220</t>
  </si>
  <si>
    <t>311230406</t>
  </si>
  <si>
    <t>Siti Farhatun Nazila</t>
  </si>
  <si>
    <t>05221</t>
  </si>
  <si>
    <t>Adinda Putri Ramadhani</t>
  </si>
  <si>
    <t>05222</t>
  </si>
  <si>
    <t>Lailatus Syafa'Ah</t>
  </si>
  <si>
    <t>05223</t>
  </si>
  <si>
    <t>311250186</t>
  </si>
  <si>
    <t>Mamlu'ul Hilmah</t>
  </si>
  <si>
    <t>05224</t>
  </si>
  <si>
    <t>311240710</t>
  </si>
  <si>
    <t>Vindy Dikta Firdausi</t>
  </si>
  <si>
    <t>05225</t>
  </si>
  <si>
    <t>Nailatul Maghfiroh</t>
  </si>
  <si>
    <t>05226</t>
  </si>
  <si>
    <t>Wildatus Sholeha</t>
  </si>
  <si>
    <t>05227</t>
  </si>
  <si>
    <t>Siti Maria Ulfa</t>
  </si>
  <si>
    <t>05228</t>
  </si>
  <si>
    <t>Yasmin Nuril Fajry</t>
  </si>
  <si>
    <t>05229</t>
  </si>
  <si>
    <t>311230420</t>
  </si>
  <si>
    <t>Dafina Nur Amalia</t>
  </si>
  <si>
    <t>05230</t>
  </si>
  <si>
    <t>Sri Hartini</t>
  </si>
  <si>
    <t>05231</t>
  </si>
  <si>
    <t>Inayatul Husna</t>
  </si>
  <si>
    <t>05232</t>
  </si>
  <si>
    <t>Nadifa Risti Amelia</t>
  </si>
  <si>
    <t>05233</t>
  </si>
  <si>
    <t>311231000</t>
  </si>
  <si>
    <t>Ainur Rofiqoh</t>
  </si>
  <si>
    <t>05234</t>
  </si>
  <si>
    <t>Ana Tasya Dwi Cantika</t>
  </si>
  <si>
    <t>05235</t>
  </si>
  <si>
    <t>Nanik Sakdiyah</t>
  </si>
  <si>
    <t>05236</t>
  </si>
  <si>
    <t>311231124</t>
  </si>
  <si>
    <t>Maimunah</t>
  </si>
  <si>
    <t>05237</t>
  </si>
  <si>
    <t>Lailatul Maghfiroh</t>
  </si>
  <si>
    <t>05238</t>
  </si>
  <si>
    <t>311240218</t>
  </si>
  <si>
    <t>Syifa Ramadhani Zahira</t>
  </si>
  <si>
    <t>05239</t>
  </si>
  <si>
    <t>Rizqotul Jamila</t>
  </si>
  <si>
    <t>05240</t>
  </si>
  <si>
    <t>311230433</t>
  </si>
  <si>
    <t>Aninda Cintya Marid Ista</t>
  </si>
  <si>
    <t>05241</t>
  </si>
  <si>
    <t>Ulumiah</t>
  </si>
  <si>
    <t>05242</t>
  </si>
  <si>
    <t>Naysila</t>
  </si>
  <si>
    <t>05243</t>
  </si>
  <si>
    <t>311250791</t>
  </si>
  <si>
    <t xml:space="preserve">Rara Chantika </t>
  </si>
  <si>
    <t>05244</t>
  </si>
  <si>
    <t>Siti Nurzadila</t>
  </si>
  <si>
    <t>05245</t>
  </si>
  <si>
    <t>05246</t>
  </si>
  <si>
    <t>311250969</t>
  </si>
  <si>
    <t>Nur Hafidzah</t>
  </si>
  <si>
    <t>05247</t>
  </si>
  <si>
    <t>Eva Reza Alfiatiz Zahra</t>
  </si>
  <si>
    <t>05248</t>
  </si>
  <si>
    <t>Melinda Rahmadani</t>
  </si>
  <si>
    <t>05249</t>
  </si>
  <si>
    <t>Nur Arifa</t>
  </si>
  <si>
    <t>05250</t>
  </si>
  <si>
    <t>Naisila Agustin</t>
  </si>
  <si>
    <t>05251</t>
  </si>
  <si>
    <t>Salwaa Mawar Dyah</t>
  </si>
  <si>
    <t>05252</t>
  </si>
  <si>
    <t>311230436</t>
  </si>
  <si>
    <t>Alfi Laili</t>
  </si>
  <si>
    <t>D5</t>
  </si>
  <si>
    <t>05253</t>
  </si>
  <si>
    <t>Syarifatul Aliyah</t>
  </si>
  <si>
    <t>05254</t>
  </si>
  <si>
    <t>311230450</t>
  </si>
  <si>
    <t>Faiqotul Khoiriah</t>
  </si>
  <si>
    <t>05255</t>
  </si>
  <si>
    <t>311230745</t>
  </si>
  <si>
    <t xml:space="preserve">Firda Elly Safitri </t>
  </si>
  <si>
    <t>05256</t>
  </si>
  <si>
    <t>311250792</t>
  </si>
  <si>
    <t>Nadiva Izza Rohilia</t>
  </si>
  <si>
    <t>05257</t>
  </si>
  <si>
    <t>311240224</t>
  </si>
  <si>
    <t>Sabrinia Zahra Nur Hafiza</t>
  </si>
  <si>
    <t>05258</t>
  </si>
  <si>
    <t>Suci Ramadhani</t>
  </si>
  <si>
    <t>05259</t>
  </si>
  <si>
    <t>Imroatus Solehah</t>
  </si>
  <si>
    <t>05260</t>
  </si>
  <si>
    <t>Nurul Jas Shinta</t>
  </si>
  <si>
    <t>05261</t>
  </si>
  <si>
    <t>Ismatul Faizah</t>
  </si>
  <si>
    <t>05262</t>
  </si>
  <si>
    <t>311250185</t>
  </si>
  <si>
    <t>Fi'isyatir Rodiyah</t>
  </si>
  <si>
    <t>05263</t>
  </si>
  <si>
    <t>311251040</t>
  </si>
  <si>
    <t>Suriyani Selviana</t>
  </si>
  <si>
    <t>05264</t>
  </si>
  <si>
    <t>Selvia Herliansyah</t>
  </si>
  <si>
    <t>05265</t>
  </si>
  <si>
    <t>Nabila Bilqis</t>
  </si>
  <si>
    <t>05266</t>
  </si>
  <si>
    <t>Lukluul Karimah</t>
  </si>
  <si>
    <t>05267</t>
  </si>
  <si>
    <t>Maya Safitri</t>
  </si>
  <si>
    <t>06001</t>
  </si>
  <si>
    <t>Siti Nafisa</t>
  </si>
  <si>
    <t>VI G MDTA</t>
  </si>
  <si>
    <t>06002</t>
  </si>
  <si>
    <t>06003</t>
  </si>
  <si>
    <t>Diana Eka Budi Arini</t>
  </si>
  <si>
    <t>06004</t>
  </si>
  <si>
    <t>Safarina Alfa Maulidia Izza</t>
  </si>
  <si>
    <t>06005</t>
  </si>
  <si>
    <t>Shesil Fani Mutiara</t>
  </si>
  <si>
    <t>06006</t>
  </si>
  <si>
    <t>311230767</t>
  </si>
  <si>
    <t>Salsabila Beriel Naura</t>
  </si>
  <si>
    <t>06007</t>
  </si>
  <si>
    <t>Elvina Afkarina</t>
  </si>
  <si>
    <t>06008</t>
  </si>
  <si>
    <t>Naila Qotrunnada Munawaroh</t>
  </si>
  <si>
    <t>06009</t>
  </si>
  <si>
    <t>Alfiatus Syarifah</t>
  </si>
  <si>
    <t>06010</t>
  </si>
  <si>
    <t>Desi Wulandari</t>
  </si>
  <si>
    <t>06011</t>
  </si>
  <si>
    <t>311231032</t>
  </si>
  <si>
    <t>Nailatul Azmahani</t>
  </si>
  <si>
    <t>06012</t>
  </si>
  <si>
    <t>Septi Ayu Lestari</t>
  </si>
  <si>
    <t>06013</t>
  </si>
  <si>
    <t>Nailatul Karimah</t>
  </si>
  <si>
    <t>06014</t>
  </si>
  <si>
    <t>311231129</t>
  </si>
  <si>
    <t>Alfi Faroha</t>
  </si>
  <si>
    <t>06015</t>
  </si>
  <si>
    <t>311231038</t>
  </si>
  <si>
    <t>Alifah</t>
  </si>
  <si>
    <t>06016</t>
  </si>
  <si>
    <t>311230402</t>
  </si>
  <si>
    <t>Ririn Nur Fitria</t>
  </si>
  <si>
    <t>06017</t>
  </si>
  <si>
    <t>311241018</t>
  </si>
  <si>
    <t>Devita Ananda Putri</t>
  </si>
  <si>
    <t>06018</t>
  </si>
  <si>
    <t>311241010</t>
  </si>
  <si>
    <t xml:space="preserve">Santi </t>
  </si>
  <si>
    <t>06019</t>
  </si>
  <si>
    <t>Mufidah Zakiyah</t>
  </si>
  <si>
    <t>06020</t>
  </si>
  <si>
    <t>Ema Fahma Diyah Zilan Maulida</t>
  </si>
  <si>
    <t>06021</t>
  </si>
  <si>
    <t>Alfia</t>
  </si>
  <si>
    <t>06022</t>
  </si>
  <si>
    <t>311231133</t>
  </si>
  <si>
    <t>Afkarina Diyanatul Fakhiroh</t>
  </si>
  <si>
    <t>06023</t>
  </si>
  <si>
    <t>311231040</t>
  </si>
  <si>
    <t>Zahra Nafisa</t>
  </si>
  <si>
    <t>06024</t>
  </si>
  <si>
    <t>Farihatul Fitriah</t>
  </si>
  <si>
    <t>06025</t>
  </si>
  <si>
    <t>311241013</t>
  </si>
  <si>
    <t>Jazilah Khoiroh</t>
  </si>
  <si>
    <t>06026</t>
  </si>
  <si>
    <t>Fildatul Hikmah</t>
  </si>
  <si>
    <t>06027</t>
  </si>
  <si>
    <t>Noviatul Adawia</t>
  </si>
  <si>
    <t>06028</t>
  </si>
  <si>
    <t>Fitriyah</t>
  </si>
  <si>
    <t>06029</t>
  </si>
  <si>
    <t>Maghfirotul Khoiriyah</t>
  </si>
  <si>
    <t>06030</t>
  </si>
  <si>
    <t>Melva Maulidya Sari</t>
  </si>
  <si>
    <t>06031</t>
  </si>
  <si>
    <t>06032</t>
  </si>
  <si>
    <t>311240100</t>
  </si>
  <si>
    <t>D 06</t>
  </si>
  <si>
    <t>06033</t>
  </si>
  <si>
    <t>Nikmatus Sholehah</t>
  </si>
  <si>
    <t>06034</t>
  </si>
  <si>
    <t>Naila Inayatus Sholihah</t>
  </si>
  <si>
    <t>06035</t>
  </si>
  <si>
    <t>Aulia Nadia</t>
  </si>
  <si>
    <t>06036</t>
  </si>
  <si>
    <t>Novi Afkarima</t>
  </si>
  <si>
    <t>06037</t>
  </si>
  <si>
    <t>Nabila  Khoirun Nisak</t>
  </si>
  <si>
    <t>06038</t>
  </si>
  <si>
    <t>Rizkyatul Fitria</t>
  </si>
  <si>
    <t>06039</t>
  </si>
  <si>
    <t>Muzayanah</t>
  </si>
  <si>
    <t>06040</t>
  </si>
  <si>
    <t>Alivia Nur Syafitri</t>
  </si>
  <si>
    <t>06041</t>
  </si>
  <si>
    <t>311231128</t>
  </si>
  <si>
    <t>Farrasyah Putri Balqis</t>
  </si>
  <si>
    <t>06042</t>
  </si>
  <si>
    <t>Hema Saputri Natasya</t>
  </si>
  <si>
    <t>06043</t>
  </si>
  <si>
    <t>Qudsiyah Qismiyatil Qoyyum</t>
  </si>
  <si>
    <t>06044</t>
  </si>
  <si>
    <t>Izzatun Nafsiyah</t>
  </si>
  <si>
    <t>06045</t>
  </si>
  <si>
    <t>Nur Faridah</t>
  </si>
  <si>
    <t>06046</t>
  </si>
  <si>
    <t>Maghfiroh</t>
  </si>
  <si>
    <t>06047</t>
  </si>
  <si>
    <t>311230731</t>
  </si>
  <si>
    <t>Aliyatull Ilmi</t>
  </si>
  <si>
    <t>06048</t>
  </si>
  <si>
    <t>311231056</t>
  </si>
  <si>
    <t>06049</t>
  </si>
  <si>
    <t>311230771</t>
  </si>
  <si>
    <t>Sela Oktavia Firmansyah</t>
  </si>
  <si>
    <t>06050</t>
  </si>
  <si>
    <t>Khumairah Az Zahra</t>
  </si>
  <si>
    <t>06051</t>
  </si>
  <si>
    <t>311230742</t>
  </si>
  <si>
    <t xml:space="preserve">Faridatus Sa'adah </t>
  </si>
  <si>
    <t>06052</t>
  </si>
  <si>
    <t>Rofiqotul Aulia</t>
  </si>
  <si>
    <t>06053</t>
  </si>
  <si>
    <t>06054</t>
  </si>
  <si>
    <t>Naylus Syafa'ah</t>
  </si>
  <si>
    <t>06055</t>
  </si>
  <si>
    <t>Malika Balqis Salsabila</t>
  </si>
  <si>
    <t>06056</t>
  </si>
  <si>
    <t>Afifatul Qomariyah</t>
  </si>
  <si>
    <t>VI H MDTA</t>
  </si>
  <si>
    <t>06057</t>
  </si>
  <si>
    <t>Fitri Mujayana</t>
  </si>
  <si>
    <t>06058</t>
  </si>
  <si>
    <t>Firial Nabila</t>
  </si>
  <si>
    <t>06059</t>
  </si>
  <si>
    <t>Indri Fitriyani Dewi</t>
  </si>
  <si>
    <t>06060</t>
  </si>
  <si>
    <t>Aulia Farhatus Sholiha</t>
  </si>
  <si>
    <t>06061</t>
  </si>
  <si>
    <t>Naila Kanza Azahra</t>
  </si>
  <si>
    <t>06062</t>
  </si>
  <si>
    <t>Najmatul Marisa</t>
  </si>
  <si>
    <t>06063</t>
  </si>
  <si>
    <t>Lailatun Hoirun Nisa</t>
  </si>
  <si>
    <t>06064</t>
  </si>
  <si>
    <t>311230456</t>
  </si>
  <si>
    <t>Irhamna</t>
  </si>
  <si>
    <t>06065</t>
  </si>
  <si>
    <t>Novita Putri Dwi Anggraini</t>
  </si>
  <si>
    <t>06066</t>
  </si>
  <si>
    <t>Fadilah Mahbubah</t>
  </si>
  <si>
    <t>06067</t>
  </si>
  <si>
    <t>Lu'Luil Maulidatul Qomariyah</t>
  </si>
  <si>
    <t>06068</t>
  </si>
  <si>
    <t>Nur Ain Nazura</t>
  </si>
  <si>
    <t>06069</t>
  </si>
  <si>
    <t>Firza Filzanah</t>
  </si>
  <si>
    <t>06070</t>
  </si>
  <si>
    <t>Kaisya Luna Faradisa</t>
  </si>
  <si>
    <t>06071</t>
  </si>
  <si>
    <t>Ika Zulaikho</t>
  </si>
  <si>
    <t>06072</t>
  </si>
  <si>
    <t>Ismi Farila Zahrotul Fitri</t>
  </si>
  <si>
    <t>06073</t>
  </si>
  <si>
    <t>311231018</t>
  </si>
  <si>
    <t>Asmaul Husna</t>
  </si>
  <si>
    <t>06074</t>
  </si>
  <si>
    <t>Maulida Inayatus Zahro</t>
  </si>
  <si>
    <t>06075</t>
  </si>
  <si>
    <t>Arfita Maharani Setya Dewi</t>
  </si>
  <si>
    <t>06076</t>
  </si>
  <si>
    <t>Khodijatus Sa'diyah</t>
  </si>
  <si>
    <t>06077</t>
  </si>
  <si>
    <t>311240232</t>
  </si>
  <si>
    <t>Nurrotus Soliha Afifatul Amalia</t>
  </si>
  <si>
    <t>06078</t>
  </si>
  <si>
    <t>06079</t>
  </si>
  <si>
    <t>311230417</t>
  </si>
  <si>
    <t>Alfiatul Munawaroh</t>
  </si>
  <si>
    <t>06080</t>
  </si>
  <si>
    <t>311230416</t>
  </si>
  <si>
    <t>Imroatus Soleha</t>
  </si>
  <si>
    <t>06081</t>
  </si>
  <si>
    <t>311230415</t>
  </si>
  <si>
    <t>Mufrido Aura Vira</t>
  </si>
  <si>
    <t>06082</t>
  </si>
  <si>
    <t>Intan Nur Zahira</t>
  </si>
  <si>
    <t>06083</t>
  </si>
  <si>
    <t>Nayla Nikmatus Sarifah</t>
  </si>
  <si>
    <t>06084</t>
  </si>
  <si>
    <t>Feny Rosa</t>
  </si>
  <si>
    <t>06085</t>
  </si>
  <si>
    <t>Erna Safida</t>
  </si>
  <si>
    <t>06086</t>
  </si>
  <si>
    <t>Lita Septi Ramadhani</t>
  </si>
  <si>
    <t>06087</t>
  </si>
  <si>
    <t>Gina Zahida Fauzan</t>
  </si>
  <si>
    <t>06088</t>
  </si>
  <si>
    <t>Qotrun Nada Fara Salsabila</t>
  </si>
  <si>
    <t>06089</t>
  </si>
  <si>
    <t>Nuril Hidayati</t>
  </si>
  <si>
    <t>06090</t>
  </si>
  <si>
    <t>Maftuhatul Imelia</t>
  </si>
  <si>
    <t>06091</t>
  </si>
  <si>
    <t>Virgatul Muzayyanah</t>
  </si>
  <si>
    <t>06092</t>
  </si>
  <si>
    <t>Fifi Firdausiyah</t>
  </si>
  <si>
    <t>06093</t>
  </si>
  <si>
    <t>311220883</t>
  </si>
  <si>
    <t>Nadiya Kottrun Nada</t>
  </si>
  <si>
    <t>06094</t>
  </si>
  <si>
    <t>311230435</t>
  </si>
  <si>
    <t>Iza Afkarina</t>
  </si>
  <si>
    <t>06095</t>
  </si>
  <si>
    <t>311241017</t>
  </si>
  <si>
    <t>Cheha Firda Fitrosa</t>
  </si>
  <si>
    <t>06096</t>
  </si>
  <si>
    <t>311230733</t>
  </si>
  <si>
    <t>Amaliya Nailun Najah</t>
  </si>
  <si>
    <t>06097</t>
  </si>
  <si>
    <t>311231043</t>
  </si>
  <si>
    <t>Najwa Maulida Hasanah</t>
  </si>
  <si>
    <t>06098</t>
  </si>
  <si>
    <t>Rifiqotul Mukarromah</t>
  </si>
  <si>
    <t>06099</t>
  </si>
  <si>
    <t>311250195</t>
  </si>
  <si>
    <t>Lailatus Syafa'ah</t>
  </si>
  <si>
    <t>06100</t>
  </si>
  <si>
    <t>311250196</t>
  </si>
  <si>
    <t>Siti Rohma</t>
  </si>
  <si>
    <t>06101</t>
  </si>
  <si>
    <t>311250197</t>
  </si>
  <si>
    <t>Nabilatus Zuhro</t>
  </si>
  <si>
    <t>06102</t>
  </si>
  <si>
    <t>Maulidhatul Hasanah</t>
  </si>
  <si>
    <t>06103</t>
  </si>
  <si>
    <t>Adelia Franciska Rafika Dury</t>
  </si>
  <si>
    <t>06104</t>
  </si>
  <si>
    <t>Humayrotun Nafisyah</t>
  </si>
  <si>
    <t>06105</t>
  </si>
  <si>
    <t>Faiq Zulfatus Suadah</t>
  </si>
  <si>
    <t>06106</t>
  </si>
  <si>
    <t xml:space="preserve">Riska </t>
  </si>
  <si>
    <t>06107</t>
  </si>
  <si>
    <t>Yuni</t>
  </si>
  <si>
    <t>06108</t>
  </si>
  <si>
    <t>Putri Elfira Yuniar</t>
  </si>
  <si>
    <t>06109</t>
  </si>
  <si>
    <t>Alexa Diah Pratiwi</t>
  </si>
  <si>
    <t>06110</t>
  </si>
  <si>
    <t>Riski Amaliya</t>
  </si>
  <si>
    <t>06111</t>
  </si>
  <si>
    <t>Diana Novita Sari</t>
  </si>
  <si>
    <t>VI i MDTA</t>
  </si>
  <si>
    <t>06112</t>
  </si>
  <si>
    <t>Putri Wulandari</t>
  </si>
  <si>
    <t>06113</t>
  </si>
  <si>
    <t>311240728</t>
  </si>
  <si>
    <t>Thalita Ike Daniyanti</t>
  </si>
  <si>
    <t>06114</t>
  </si>
  <si>
    <t>06115</t>
  </si>
  <si>
    <t>Nuril Azkiya</t>
  </si>
  <si>
    <t>06116</t>
  </si>
  <si>
    <t>Fika Zulaifah</t>
  </si>
  <si>
    <t>06117</t>
  </si>
  <si>
    <t>311241011</t>
  </si>
  <si>
    <t xml:space="preserve">Nirna Farida </t>
  </si>
  <si>
    <t>06118</t>
  </si>
  <si>
    <t>Khinanti Syahdila Zahro</t>
  </si>
  <si>
    <t>06119</t>
  </si>
  <si>
    <t>311231029</t>
  </si>
  <si>
    <t>Windi Zazkiah Ababiel</t>
  </si>
  <si>
    <t>06120</t>
  </si>
  <si>
    <t>Fransiska Dewi</t>
  </si>
  <si>
    <t>06121</t>
  </si>
  <si>
    <t>Dzaqirotul Faizah</t>
  </si>
  <si>
    <t>06122</t>
  </si>
  <si>
    <t>Agek Hani Maulina</t>
  </si>
  <si>
    <t>06123</t>
  </si>
  <si>
    <t>Fitri Rohmadani</t>
  </si>
  <si>
    <t>06124</t>
  </si>
  <si>
    <t>311231034</t>
  </si>
  <si>
    <t>Afizatun Najah</t>
  </si>
  <si>
    <t>06125</t>
  </si>
  <si>
    <t>Aisyah Nuraini</t>
  </si>
  <si>
    <t>06126</t>
  </si>
  <si>
    <t>Gea Meiryska Rahayu</t>
  </si>
  <si>
    <t>06127</t>
  </si>
  <si>
    <t>Amanda Aulora Riffi</t>
  </si>
  <si>
    <t>06128</t>
  </si>
  <si>
    <t>Fu'Adiyatur Rifqi Qonitatun H.</t>
  </si>
  <si>
    <t>06129</t>
  </si>
  <si>
    <t>Maulal Izzati</t>
  </si>
  <si>
    <t>06130</t>
  </si>
  <si>
    <t>Mufridatul Hasanah</t>
  </si>
  <si>
    <t>06131</t>
  </si>
  <si>
    <t>311230746</t>
  </si>
  <si>
    <t>Firda Lailatul Istiqomah</t>
  </si>
  <si>
    <t>06132</t>
  </si>
  <si>
    <t>Imilia</t>
  </si>
  <si>
    <t>06133</t>
  </si>
  <si>
    <t>311250825</t>
  </si>
  <si>
    <t>Najwa Putri Indana Ariandani</t>
  </si>
  <si>
    <t>06134</t>
  </si>
  <si>
    <t>Dewi Yunita Farhah Amalia</t>
  </si>
  <si>
    <t>06135</t>
  </si>
  <si>
    <t>Hilda Izah Najwa Filla</t>
  </si>
  <si>
    <t>06136</t>
  </si>
  <si>
    <t>Hikmah Amalia Soleha</t>
  </si>
  <si>
    <t>06137</t>
  </si>
  <si>
    <t>Cindy Aulia Imelda</t>
  </si>
  <si>
    <t>06138</t>
  </si>
  <si>
    <t>Zazkia Imelia</t>
  </si>
  <si>
    <t>06139</t>
  </si>
  <si>
    <t>Wita Ramadhani</t>
  </si>
  <si>
    <t>06140</t>
  </si>
  <si>
    <t>Safinatul Auliya'Ul Firdaus</t>
  </si>
  <si>
    <t>06141</t>
  </si>
  <si>
    <t>311230425</t>
  </si>
  <si>
    <t>Inayatul Fitriyah</t>
  </si>
  <si>
    <t>06142</t>
  </si>
  <si>
    <t>Adinda Muzayyanah</t>
  </si>
  <si>
    <t>06143</t>
  </si>
  <si>
    <t>Sinta Dwi Masitoh</t>
  </si>
  <si>
    <t>06144</t>
  </si>
  <si>
    <t>Vivian Hostivany</t>
  </si>
  <si>
    <t>06145</t>
  </si>
  <si>
    <t>Andini Cahya Qurfatul Jannah</t>
  </si>
  <si>
    <t>06146</t>
  </si>
  <si>
    <t>311230426</t>
  </si>
  <si>
    <t>Arsyila Azrine Casilda</t>
  </si>
  <si>
    <t>06147</t>
  </si>
  <si>
    <t>Zuhairotul Karima</t>
  </si>
  <si>
    <t>06148</t>
  </si>
  <si>
    <t>Shely Marselina</t>
  </si>
  <si>
    <t>06149</t>
  </si>
  <si>
    <t>Dini Fitria Roihana Adibah</t>
  </si>
  <si>
    <t>06150</t>
  </si>
  <si>
    <t>Wardatus Sholiha</t>
  </si>
  <si>
    <t>06151</t>
  </si>
  <si>
    <t>Izza Maulidia Fitri</t>
  </si>
  <si>
    <t>06152</t>
  </si>
  <si>
    <t>311231051</t>
  </si>
  <si>
    <t>Nanda Setya budi</t>
  </si>
  <si>
    <t>06153</t>
  </si>
  <si>
    <t>Hilda Jannatun Aulia</t>
  </si>
  <si>
    <t>06154</t>
  </si>
  <si>
    <t>311230439</t>
  </si>
  <si>
    <t>Siti Zulaikho</t>
  </si>
  <si>
    <t>06155</t>
  </si>
  <si>
    <t>311230729</t>
  </si>
  <si>
    <t>Ainur Rohmah</t>
  </si>
  <si>
    <t>06156</t>
  </si>
  <si>
    <t>Putri Kamila Sari</t>
  </si>
  <si>
    <t>06157</t>
  </si>
  <si>
    <t>Salsabila Dwi Sandria Putri</t>
  </si>
  <si>
    <t>06158</t>
  </si>
  <si>
    <t>Aisah Sahara Putri</t>
  </si>
  <si>
    <t>06159</t>
  </si>
  <si>
    <t>Silvi Nur Azizah</t>
  </si>
  <si>
    <t>06160</t>
  </si>
  <si>
    <t>Imroatul Qonita</t>
  </si>
  <si>
    <t>06161</t>
  </si>
  <si>
    <t>Qurrotu Akyunina</t>
  </si>
  <si>
    <t>06162</t>
  </si>
  <si>
    <t>311231027</t>
  </si>
  <si>
    <t>06163</t>
  </si>
  <si>
    <t>Puput Dahlia</t>
  </si>
  <si>
    <t>06164</t>
  </si>
  <si>
    <t>Sherin Meilana Jasmine</t>
  </si>
  <si>
    <t>06165</t>
  </si>
  <si>
    <t>Maulina Nur Hidayati</t>
  </si>
  <si>
    <t>06166</t>
  </si>
  <si>
    <t>Nur Halima</t>
  </si>
  <si>
    <t>06167</t>
  </si>
  <si>
    <t>Dewi Kamelia Putri</t>
  </si>
  <si>
    <t>06168</t>
  </si>
  <si>
    <t>311250962</t>
  </si>
  <si>
    <t>Jihan Syahida</t>
  </si>
  <si>
    <t>06225</t>
  </si>
  <si>
    <t>Warda Aisyah Putri</t>
  </si>
  <si>
    <t>06169</t>
  </si>
  <si>
    <t>Jumrotul Ainiah</t>
  </si>
  <si>
    <t>VI J MDTA</t>
  </si>
  <si>
    <t>06170</t>
  </si>
  <si>
    <t>Rika Ainur Rohmah</t>
  </si>
  <si>
    <t>06171</t>
  </si>
  <si>
    <t>Elmi Mufida Maisaroh</t>
  </si>
  <si>
    <t>06172</t>
  </si>
  <si>
    <t>Adelia Riska Mawarni</t>
  </si>
  <si>
    <t>06173</t>
  </si>
  <si>
    <t>Nabila Sakib</t>
  </si>
  <si>
    <t>06174</t>
  </si>
  <si>
    <t>Izza Afkarina</t>
  </si>
  <si>
    <t>06175</t>
  </si>
  <si>
    <t>Novrinda Zella Sasmita</t>
  </si>
  <si>
    <t>06176</t>
  </si>
  <si>
    <t>Nafilah Naili Nuril Anwar</t>
  </si>
  <si>
    <t>06177</t>
  </si>
  <si>
    <t>Qariratul Atiqah</t>
  </si>
  <si>
    <t>06178</t>
  </si>
  <si>
    <t>Annabel Lintang Nur Rohman</t>
  </si>
  <si>
    <t>06179</t>
  </si>
  <si>
    <t>Latifatus Sa'Adah</t>
  </si>
  <si>
    <t>06180</t>
  </si>
  <si>
    <t>311231035</t>
  </si>
  <si>
    <t>Deviana</t>
  </si>
  <si>
    <t>06181</t>
  </si>
  <si>
    <t>Nur Azlina Nazura</t>
  </si>
  <si>
    <t>06182</t>
  </si>
  <si>
    <t>311240711</t>
  </si>
  <si>
    <t>Nur laila Efita Sari</t>
  </si>
  <si>
    <t>06183</t>
  </si>
  <si>
    <t>Dea Ayu</t>
  </si>
  <si>
    <t>06184</t>
  </si>
  <si>
    <t>Lailatul Badriyah</t>
  </si>
  <si>
    <t>06185</t>
  </si>
  <si>
    <t>Nur Kumala Sari</t>
  </si>
  <si>
    <t>06186</t>
  </si>
  <si>
    <t>Syafina Aulia Rizki</t>
  </si>
  <si>
    <t>06187</t>
  </si>
  <si>
    <t>Faizatul Munawiroh</t>
  </si>
  <si>
    <t>06188</t>
  </si>
  <si>
    <t>Naylul Mutiah</t>
  </si>
  <si>
    <t>06189</t>
  </si>
  <si>
    <t>Nayla Azizah</t>
  </si>
  <si>
    <t>06190</t>
  </si>
  <si>
    <t>Fitria Wulandari</t>
  </si>
  <si>
    <t>06191</t>
  </si>
  <si>
    <t>Vera Firdausiah</t>
  </si>
  <si>
    <t>06192</t>
  </si>
  <si>
    <t>311230404</t>
  </si>
  <si>
    <t>Kamilatun Nisa'</t>
  </si>
  <si>
    <t>06193</t>
  </si>
  <si>
    <t>Dafina Maulida Rosyid</t>
  </si>
  <si>
    <t>06194</t>
  </si>
  <si>
    <t>Shinta Aulia Putri</t>
  </si>
  <si>
    <t>06195</t>
  </si>
  <si>
    <t>311241097</t>
  </si>
  <si>
    <t>Afra Devita Amira Putri</t>
  </si>
  <si>
    <t>06196</t>
  </si>
  <si>
    <t>Kholifatur Riza</t>
  </si>
  <si>
    <t>06197</t>
  </si>
  <si>
    <t>311231127</t>
  </si>
  <si>
    <t>Nazwa Novita Sari</t>
  </si>
  <si>
    <t>06198</t>
  </si>
  <si>
    <t>311230428</t>
  </si>
  <si>
    <t>Cindi Aulia</t>
  </si>
  <si>
    <t>06199</t>
  </si>
  <si>
    <t>Maimunah Putri</t>
  </si>
  <si>
    <t>06200</t>
  </si>
  <si>
    <t>Nur Suziana Syaqila</t>
  </si>
  <si>
    <t>06201</t>
  </si>
  <si>
    <t>Zaila Vina Sabrina</t>
  </si>
  <si>
    <t>06202</t>
  </si>
  <si>
    <t>Melisa Nur Aini</t>
  </si>
  <si>
    <t>06203</t>
  </si>
  <si>
    <t>311241019</t>
  </si>
  <si>
    <t>Silvia Anggia Fahrani</t>
  </si>
  <si>
    <t>06204</t>
  </si>
  <si>
    <t>06205</t>
  </si>
  <si>
    <t>Anggi Nuraini</t>
  </si>
  <si>
    <t>06206</t>
  </si>
  <si>
    <t>Malichatun Basiroh</t>
  </si>
  <si>
    <t>06207</t>
  </si>
  <si>
    <t>Ilma</t>
  </si>
  <si>
    <t>06208</t>
  </si>
  <si>
    <t>Ririn Tantri Srimul Yani</t>
  </si>
  <si>
    <t>06209</t>
  </si>
  <si>
    <t>Adelia Safania Putri</t>
  </si>
  <si>
    <t>06210</t>
  </si>
  <si>
    <t>Diana Alfi Magfiroh</t>
  </si>
  <si>
    <t>06211</t>
  </si>
  <si>
    <t>Sofi Laili Hikmah</t>
  </si>
  <si>
    <t>06212</t>
  </si>
  <si>
    <t>Safinatul Jannah</t>
  </si>
  <si>
    <t>06213</t>
  </si>
  <si>
    <t>311231025</t>
  </si>
  <si>
    <t>06214</t>
  </si>
  <si>
    <t>Saila Rizkia</t>
  </si>
  <si>
    <t>06215</t>
  </si>
  <si>
    <t>Faul Kiyas Saharoh</t>
  </si>
  <si>
    <t>06216</t>
  </si>
  <si>
    <t>Dayang Siti Nur Faizah</t>
  </si>
  <si>
    <t>06217</t>
  </si>
  <si>
    <t>Khoiriyah Basich</t>
  </si>
  <si>
    <t>06218</t>
  </si>
  <si>
    <t>311231020</t>
  </si>
  <si>
    <t>Inna Junia Ila Fitri</t>
  </si>
  <si>
    <t>06219</t>
  </si>
  <si>
    <t>Sifatul Hasanah</t>
  </si>
  <si>
    <t>06220</t>
  </si>
  <si>
    <t>Nurlaili</t>
  </si>
  <si>
    <t>06221</t>
  </si>
  <si>
    <t>311230464</t>
  </si>
  <si>
    <t>Alfia Ismiatul Rohma</t>
  </si>
  <si>
    <t>06222</t>
  </si>
  <si>
    <t>311240099</t>
  </si>
  <si>
    <t>F 01</t>
  </si>
  <si>
    <t>06223</t>
  </si>
  <si>
    <t>Nur Indah Oktavia Sari</t>
  </si>
  <si>
    <t>06224</t>
  </si>
  <si>
    <t>Siti Maulidia</t>
  </si>
  <si>
    <t>07001</t>
  </si>
  <si>
    <t>321250394</t>
  </si>
  <si>
    <t>Amrotul Qoyyimah</t>
  </si>
  <si>
    <t>I D MDTW</t>
  </si>
  <si>
    <t>07002</t>
  </si>
  <si>
    <t>321250414</t>
  </si>
  <si>
    <t>Jauharotun Nafi'Ah</t>
  </si>
  <si>
    <t>07003</t>
  </si>
  <si>
    <t>321250424</t>
  </si>
  <si>
    <t>07004</t>
  </si>
  <si>
    <t>321250441</t>
  </si>
  <si>
    <t>Rodheeta Maulaa Dzawil H</t>
  </si>
  <si>
    <t>07005</t>
  </si>
  <si>
    <t>321250460</t>
  </si>
  <si>
    <t>Wulan Nur Malita</t>
  </si>
  <si>
    <t>07006</t>
  </si>
  <si>
    <t>Maulida Anisatus Zahro</t>
  </si>
  <si>
    <t>07007</t>
  </si>
  <si>
    <t>Jamilatul Agnia Isnaini</t>
  </si>
  <si>
    <t>07008</t>
  </si>
  <si>
    <t>Novita Aini</t>
  </si>
  <si>
    <t>07009</t>
  </si>
  <si>
    <t>Silvi Ananta</t>
  </si>
  <si>
    <t>07010</t>
  </si>
  <si>
    <t>Fitri Puji Lestari</t>
  </si>
  <si>
    <t>07011</t>
  </si>
  <si>
    <t>Amelia Fara Nafisa</t>
  </si>
  <si>
    <t>07012</t>
  </si>
  <si>
    <t>Vilda Aulia</t>
  </si>
  <si>
    <t>07013</t>
  </si>
  <si>
    <t>Anisatul Karimah</t>
  </si>
  <si>
    <t>07014</t>
  </si>
  <si>
    <t>Huzaimatul Jannah R</t>
  </si>
  <si>
    <t>07015</t>
  </si>
  <si>
    <t>Nabilatul Izzah</t>
  </si>
  <si>
    <t>07016</t>
  </si>
  <si>
    <t>Salsa Bella Nur Baiti</t>
  </si>
  <si>
    <t>07017</t>
  </si>
  <si>
    <t>Anil Izzati Zaqya</t>
  </si>
  <si>
    <t>07018</t>
  </si>
  <si>
    <t>Mita Bela</t>
  </si>
  <si>
    <t>07019</t>
  </si>
  <si>
    <t>Diva Febriyani</t>
  </si>
  <si>
    <t>07020</t>
  </si>
  <si>
    <t>07021</t>
  </si>
  <si>
    <t>Lailatul Asriyah</t>
  </si>
  <si>
    <t>07022</t>
  </si>
  <si>
    <t>Abelatul Jennah</t>
  </si>
  <si>
    <t>07023</t>
  </si>
  <si>
    <t>Dira Ramadani</t>
  </si>
  <si>
    <t>07024</t>
  </si>
  <si>
    <t>Ramadhani Viga fadilah</t>
  </si>
  <si>
    <t>07025</t>
  </si>
  <si>
    <t>Andita Ikhtiasi</t>
  </si>
  <si>
    <t>07026</t>
  </si>
  <si>
    <t>Almira Tungga Dewi Kristiawan</t>
  </si>
  <si>
    <t>07027</t>
  </si>
  <si>
    <t>Farida</t>
  </si>
  <si>
    <t>07028</t>
  </si>
  <si>
    <t>Syarifatul Muzayana</t>
  </si>
  <si>
    <t>07029</t>
  </si>
  <si>
    <t>Auliyah Aula</t>
  </si>
  <si>
    <t>07030</t>
  </si>
  <si>
    <t>St. Nur Anisatul Badriyah</t>
  </si>
  <si>
    <t>07031</t>
  </si>
  <si>
    <t>Wardatul Magfiroh</t>
  </si>
  <si>
    <t>07032</t>
  </si>
  <si>
    <t>Nadi Fatus Shofa</t>
  </si>
  <si>
    <t>07033</t>
  </si>
  <si>
    <t>Natasya Ayu Pratama</t>
  </si>
  <si>
    <t>07034</t>
  </si>
  <si>
    <t>Mifthahul Jannah</t>
  </si>
  <si>
    <t>07035</t>
  </si>
  <si>
    <t>Farhatur Rohmah</t>
  </si>
  <si>
    <t>07036</t>
  </si>
  <si>
    <t>Fadillatul Rizqi</t>
  </si>
  <si>
    <t>07037</t>
  </si>
  <si>
    <t>Aurel Legian Oktavia</t>
  </si>
  <si>
    <t>07038</t>
  </si>
  <si>
    <t>Hikmatul Hoiriyah</t>
  </si>
  <si>
    <t>07039</t>
  </si>
  <si>
    <t>Nadira Ilmania R.</t>
  </si>
  <si>
    <t>07040</t>
  </si>
  <si>
    <t>Siti Maulidatur Rohmah</t>
  </si>
  <si>
    <t>07041</t>
  </si>
  <si>
    <t>Siti Khodijah Rusdi</t>
  </si>
  <si>
    <t>07042</t>
  </si>
  <si>
    <t>Mir'Atul Azizah</t>
  </si>
  <si>
    <t>07043</t>
  </si>
  <si>
    <t>Silviatul Fitrih</t>
  </si>
  <si>
    <t>07044</t>
  </si>
  <si>
    <t>Diana Anggun Lestari</t>
  </si>
  <si>
    <t>07045</t>
  </si>
  <si>
    <t>Silvi Sa'idah</t>
  </si>
  <si>
    <t>07046</t>
  </si>
  <si>
    <t>Rafa Elvira Azizah</t>
  </si>
  <si>
    <t>07047</t>
  </si>
  <si>
    <t>Sri Ayuning Tyas</t>
  </si>
  <si>
    <t>07048</t>
  </si>
  <si>
    <t>Khumairotul Lailiyah</t>
  </si>
  <si>
    <t>07049</t>
  </si>
  <si>
    <t>Zahra Maulia</t>
  </si>
  <si>
    <t>07050</t>
  </si>
  <si>
    <t>321250275</t>
  </si>
  <si>
    <t>Hildayatul Hinayah</t>
  </si>
  <si>
    <t>I E MDTW</t>
  </si>
  <si>
    <t>07051</t>
  </si>
  <si>
    <t>321250289</t>
  </si>
  <si>
    <t>Anisa Putri</t>
  </si>
  <si>
    <t>07052</t>
  </si>
  <si>
    <t>321250293</t>
  </si>
  <si>
    <t>Khofifah</t>
  </si>
  <si>
    <t>07053</t>
  </si>
  <si>
    <t>Luluk Illiya</t>
  </si>
  <si>
    <t>07054</t>
  </si>
  <si>
    <t>Kholilatuz Zahro</t>
  </si>
  <si>
    <t>07055</t>
  </si>
  <si>
    <t>Fitria Ayu Bunga Ramadhani</t>
  </si>
  <si>
    <t>07056</t>
  </si>
  <si>
    <t>Elsya Fa'Izatus Sholiha</t>
  </si>
  <si>
    <t>07057</t>
  </si>
  <si>
    <t>Dewi Lestari</t>
  </si>
  <si>
    <t>07058</t>
  </si>
  <si>
    <t>Nadia Alfa Nirmala</t>
  </si>
  <si>
    <t>07059</t>
  </si>
  <si>
    <t>Inna Faidah</t>
  </si>
  <si>
    <t>07060</t>
  </si>
  <si>
    <t>Anisatul Mustaqimah</t>
  </si>
  <si>
    <t>07061</t>
  </si>
  <si>
    <t>Azlina Dewi</t>
  </si>
  <si>
    <t>07062</t>
  </si>
  <si>
    <t>Anggun Qurrota A'Yuni</t>
  </si>
  <si>
    <t>07063</t>
  </si>
  <si>
    <t>Dina Kamilia</t>
  </si>
  <si>
    <t>07064</t>
  </si>
  <si>
    <t>Farah Kamilatun Nazha</t>
  </si>
  <si>
    <t>07065</t>
  </si>
  <si>
    <t>Siti Muarrifah</t>
  </si>
  <si>
    <t>07066</t>
  </si>
  <si>
    <t>321250302</t>
  </si>
  <si>
    <t>Sabila Hidayah</t>
  </si>
  <si>
    <t>07067</t>
  </si>
  <si>
    <t>07068</t>
  </si>
  <si>
    <t>07069</t>
  </si>
  <si>
    <t>Elvina fitriatul Husna</t>
  </si>
  <si>
    <t>07070</t>
  </si>
  <si>
    <t>Safira Irawati</t>
  </si>
  <si>
    <t>07071</t>
  </si>
  <si>
    <t>Nabila Irawati</t>
  </si>
  <si>
    <t>07072</t>
  </si>
  <si>
    <t>Nayla Nahdyatul Fawaidah</t>
  </si>
  <si>
    <t>07073</t>
  </si>
  <si>
    <t>Indah Musyarrofah</t>
  </si>
  <si>
    <t>07074</t>
  </si>
  <si>
    <t>Sherlinda Irena Kuswardani</t>
  </si>
  <si>
    <t>07075</t>
  </si>
  <si>
    <t xml:space="preserve">Hikmatul Karimah </t>
  </si>
  <si>
    <t>07076</t>
  </si>
  <si>
    <t>Ismirahel Fasafa Unajah Miqrotun</t>
  </si>
  <si>
    <t>07077</t>
  </si>
  <si>
    <t>Maulidya Ulfa</t>
  </si>
  <si>
    <t>07078</t>
  </si>
  <si>
    <t>Masy Siti Sa'adatur R.H</t>
  </si>
  <si>
    <t>07079</t>
  </si>
  <si>
    <t>Ina Nofiana</t>
  </si>
  <si>
    <t>07080</t>
  </si>
  <si>
    <t>Miftahur Rohmah</t>
  </si>
  <si>
    <t>07081</t>
  </si>
  <si>
    <t>07082</t>
  </si>
  <si>
    <t>Hikmatus Nurus Sholeha</t>
  </si>
  <si>
    <t>07083</t>
  </si>
  <si>
    <t>Nabila Nur Fauziyah</t>
  </si>
  <si>
    <t>07084</t>
  </si>
  <si>
    <t>Alfia Masrurotus Sholeha</t>
  </si>
  <si>
    <t>07085</t>
  </si>
  <si>
    <t>Hauril Aulia</t>
  </si>
  <si>
    <t>07086</t>
  </si>
  <si>
    <t>Khofifah Indar Prawansah</t>
  </si>
  <si>
    <t>07087</t>
  </si>
  <si>
    <t>Zuhrotul Laily Maulidia</t>
  </si>
  <si>
    <t>07088</t>
  </si>
  <si>
    <t>Ainur Roza Amalia</t>
  </si>
  <si>
    <t>07089</t>
  </si>
  <si>
    <t>07090</t>
  </si>
  <si>
    <t>07091</t>
  </si>
  <si>
    <t>Silvana Jazila Ulmi Jauharo</t>
  </si>
  <si>
    <t>07092</t>
  </si>
  <si>
    <t>Farhatun</t>
  </si>
  <si>
    <t>07093</t>
  </si>
  <si>
    <t>Zivana Dwi Yulian Dini</t>
  </si>
  <si>
    <t>07094</t>
  </si>
  <si>
    <t>Hafsoh Inayatun Najwa</t>
  </si>
  <si>
    <t>07095</t>
  </si>
  <si>
    <t>Putri Wulan</t>
  </si>
  <si>
    <t>07096</t>
  </si>
  <si>
    <t>Berliani Mufidah Eka Yumanti</t>
  </si>
  <si>
    <t>07097</t>
  </si>
  <si>
    <t>Humairotun Nisak</t>
  </si>
  <si>
    <t>07098</t>
  </si>
  <si>
    <t>Zahrotullaili</t>
  </si>
  <si>
    <t>07099</t>
  </si>
  <si>
    <t>Salma Qumairoh</t>
  </si>
  <si>
    <t>07100</t>
  </si>
  <si>
    <t>Maylinda Devi Amida</t>
  </si>
  <si>
    <t>07101</t>
  </si>
  <si>
    <t>Novera Yunita Sary</t>
  </si>
  <si>
    <t>07102</t>
  </si>
  <si>
    <t>Nurul Lailiyah</t>
  </si>
  <si>
    <t>07103</t>
  </si>
  <si>
    <t>Faiqoh Alya Mufida</t>
  </si>
  <si>
    <t>07104</t>
  </si>
  <si>
    <t>Salma</t>
  </si>
  <si>
    <t>07105</t>
  </si>
  <si>
    <t>321250360</t>
  </si>
  <si>
    <t>Jalvianty Debora W</t>
  </si>
  <si>
    <t>I F MDTW</t>
  </si>
  <si>
    <t>07106</t>
  </si>
  <si>
    <t>321250377</t>
  </si>
  <si>
    <t>07107</t>
  </si>
  <si>
    <t>Masrifah Nabilatul Ilmiah</t>
  </si>
  <si>
    <t>07108</t>
  </si>
  <si>
    <t>Fatimatul Zahro</t>
  </si>
  <si>
    <t>07109</t>
  </si>
  <si>
    <t>Elsa Silvia Nur Aulia</t>
  </si>
  <si>
    <t>07110</t>
  </si>
  <si>
    <t>Riska</t>
  </si>
  <si>
    <t>07111</t>
  </si>
  <si>
    <t>Risalatul Maulidiyah</t>
  </si>
  <si>
    <t>07112</t>
  </si>
  <si>
    <t>Alifa Nuri Maulida</t>
  </si>
  <si>
    <t>07113</t>
  </si>
  <si>
    <t>Nabilatuz Zahro Mukarromah</t>
  </si>
  <si>
    <t>07114</t>
  </si>
  <si>
    <t>07115</t>
  </si>
  <si>
    <t>07116</t>
  </si>
  <si>
    <t>Siti Maimunah</t>
  </si>
  <si>
    <t>07117</t>
  </si>
  <si>
    <t>Dzawil Arifah</t>
  </si>
  <si>
    <t>07118</t>
  </si>
  <si>
    <t>Lailatul Dian Magfiroh</t>
  </si>
  <si>
    <t>07119</t>
  </si>
  <si>
    <t>Nayla Permatasari</t>
  </si>
  <si>
    <t>07120</t>
  </si>
  <si>
    <t>Adinda Putri Wulandari</t>
  </si>
  <si>
    <t>07121</t>
  </si>
  <si>
    <t>Zainun Nur Annisa</t>
  </si>
  <si>
    <t>B 01</t>
  </si>
  <si>
    <t>07122</t>
  </si>
  <si>
    <t>Elok Faiqotul Himmah</t>
  </si>
  <si>
    <t>07123</t>
  </si>
  <si>
    <t>07124</t>
  </si>
  <si>
    <t>Nur Fadilatus Solehah</t>
  </si>
  <si>
    <t>07125</t>
  </si>
  <si>
    <t>Shevira</t>
  </si>
  <si>
    <t>07126</t>
  </si>
  <si>
    <t>Linda Halimatus Zahro</t>
  </si>
  <si>
    <t>07127</t>
  </si>
  <si>
    <t>Eni Maratun Qonita</t>
  </si>
  <si>
    <t>07128</t>
  </si>
  <si>
    <t>Aghnina Nuzulia Rahma</t>
  </si>
  <si>
    <t>07129</t>
  </si>
  <si>
    <t>Eka Bunga Safira</t>
  </si>
  <si>
    <t>07130</t>
  </si>
  <si>
    <t>Arina Mayang Rusfia</t>
  </si>
  <si>
    <t>07131</t>
  </si>
  <si>
    <t>Rahelia Muhafidhotul Imdadi'ah</t>
  </si>
  <si>
    <t>07132</t>
  </si>
  <si>
    <t>Elisa Bela Putri</t>
  </si>
  <si>
    <t>07133</t>
  </si>
  <si>
    <t>Serly Wahyuningsih</t>
  </si>
  <si>
    <t>07134</t>
  </si>
  <si>
    <t>Nova Aniyatul Faizah</t>
  </si>
  <si>
    <t>07135</t>
  </si>
  <si>
    <t>07136</t>
  </si>
  <si>
    <t>Naylatun Najwa</t>
  </si>
  <si>
    <t>07137</t>
  </si>
  <si>
    <t>Atik Nihayatus Soleha</t>
  </si>
  <si>
    <t>07138</t>
  </si>
  <si>
    <t>Ana Firdhausia Magfiroh</t>
  </si>
  <si>
    <t>07139</t>
  </si>
  <si>
    <t>07140</t>
  </si>
  <si>
    <t>Anisatuz Zahroh</t>
  </si>
  <si>
    <t>07141</t>
  </si>
  <si>
    <t>Maghfirotul Jannah</t>
  </si>
  <si>
    <t>07142</t>
  </si>
  <si>
    <t>Heni Hanifa</t>
  </si>
  <si>
    <t>07143</t>
  </si>
  <si>
    <t>Ayu Fatmalasari</t>
  </si>
  <si>
    <t>07144</t>
  </si>
  <si>
    <t>Firdaus Maulida</t>
  </si>
  <si>
    <t>07145</t>
  </si>
  <si>
    <t>Elmira Aisyah Rahmani</t>
  </si>
  <si>
    <t>07146</t>
  </si>
  <si>
    <t>Khoirotun Nisa'</t>
  </si>
  <si>
    <t>07147</t>
  </si>
  <si>
    <t>Serly Adilia Agustin</t>
  </si>
  <si>
    <t>07148</t>
  </si>
  <si>
    <t>Mariyyah Rifah</t>
  </si>
  <si>
    <t>07149</t>
  </si>
  <si>
    <t>Ita Zulfiana Reza</t>
  </si>
  <si>
    <t>07150</t>
  </si>
  <si>
    <t>Nur Hidayati</t>
  </si>
  <si>
    <t>08001</t>
  </si>
  <si>
    <t>321240597</t>
  </si>
  <si>
    <t>Nurul Hidayatullah</t>
  </si>
  <si>
    <t>II D MDTW</t>
  </si>
  <si>
    <t>08002</t>
  </si>
  <si>
    <t>321240494</t>
  </si>
  <si>
    <t xml:space="preserve">Aska Salsabila Raudhatul J </t>
  </si>
  <si>
    <t>08003</t>
  </si>
  <si>
    <t>Wulan Rahmawati</t>
  </si>
  <si>
    <t>08004</t>
  </si>
  <si>
    <t>321250272</t>
  </si>
  <si>
    <t>Ma'Rifatus Sifa Amelia</t>
  </si>
  <si>
    <t>08005</t>
  </si>
  <si>
    <t>321250273</t>
  </si>
  <si>
    <t>Izza Afkarina Nasir</t>
  </si>
  <si>
    <t>08006</t>
  </si>
  <si>
    <t>321250276</t>
  </si>
  <si>
    <t>Nabila</t>
  </si>
  <si>
    <t>08007</t>
  </si>
  <si>
    <t>321250277</t>
  </si>
  <si>
    <t>Amilia Agustin</t>
  </si>
  <si>
    <t>08008</t>
  </si>
  <si>
    <t>321250278</t>
  </si>
  <si>
    <t>Aliatul Wasilah</t>
  </si>
  <si>
    <t>08009</t>
  </si>
  <si>
    <t>321250279</t>
  </si>
  <si>
    <t>Laylia Ramadani</t>
  </si>
  <si>
    <t>08010</t>
  </si>
  <si>
    <t>321250395</t>
  </si>
  <si>
    <t>Aziza</t>
  </si>
  <si>
    <t>08011</t>
  </si>
  <si>
    <t>321250399</t>
  </si>
  <si>
    <t>Anilnal Badi'Ah</t>
  </si>
  <si>
    <t>08012</t>
  </si>
  <si>
    <t>321250400</t>
  </si>
  <si>
    <t>08013</t>
  </si>
  <si>
    <t>321250296</t>
  </si>
  <si>
    <t>Izzha Maulidina</t>
  </si>
  <si>
    <t>08014</t>
  </si>
  <si>
    <t>321250297</t>
  </si>
  <si>
    <t>Lailatul Askiyah</t>
  </si>
  <si>
    <t>08015</t>
  </si>
  <si>
    <t>321250299</t>
  </si>
  <si>
    <t>Anisa Amelia Ramadani</t>
  </si>
  <si>
    <t>08016</t>
  </si>
  <si>
    <t>321250413</t>
  </si>
  <si>
    <t>Salsabila Afkarina</t>
  </si>
  <si>
    <t>08017</t>
  </si>
  <si>
    <t>321250415</t>
  </si>
  <si>
    <t>Nahdiah Salsabilan Ni'Mah</t>
  </si>
  <si>
    <t>08018</t>
  </si>
  <si>
    <t>321250416</t>
  </si>
  <si>
    <t>Nadiya Nuri Kautsarani</t>
  </si>
  <si>
    <t>08019</t>
  </si>
  <si>
    <t>321250417</t>
  </si>
  <si>
    <t>Nur Alifa Thur Rofi'Ah</t>
  </si>
  <si>
    <t>08020</t>
  </si>
  <si>
    <t>321250418</t>
  </si>
  <si>
    <t>Raihanah Syarifa Salsabila</t>
  </si>
  <si>
    <t>08021</t>
  </si>
  <si>
    <t>321250305</t>
  </si>
  <si>
    <t>Safira Putri Agustin</t>
  </si>
  <si>
    <t>08022</t>
  </si>
  <si>
    <t>Bungan Andari</t>
  </si>
  <si>
    <t>08023</t>
  </si>
  <si>
    <t>321250427</t>
  </si>
  <si>
    <t>Anis Izamatul Fitriah</t>
  </si>
  <si>
    <t>08024</t>
  </si>
  <si>
    <t>321250428</t>
  </si>
  <si>
    <t>Uyuni Rohmatilla</t>
  </si>
  <si>
    <t>08025</t>
  </si>
  <si>
    <t>321250429</t>
  </si>
  <si>
    <t>Siti Masykuroh</t>
  </si>
  <si>
    <t>08026</t>
  </si>
  <si>
    <t>321250430</t>
  </si>
  <si>
    <t>Ayu Fuzi Lestari</t>
  </si>
  <si>
    <t>08027</t>
  </si>
  <si>
    <t>321250432</t>
  </si>
  <si>
    <t>Lubba Bayatuttoyyibah</t>
  </si>
  <si>
    <t>08028</t>
  </si>
  <si>
    <t>321250310</t>
  </si>
  <si>
    <t>Nailin Inayah</t>
  </si>
  <si>
    <t>08029</t>
  </si>
  <si>
    <t>321240435</t>
  </si>
  <si>
    <t>Nurfatiah Safira</t>
  </si>
  <si>
    <t>08030</t>
  </si>
  <si>
    <t>321250311</t>
  </si>
  <si>
    <t>Bintang Ilahi Mawaddah</t>
  </si>
  <si>
    <t>08031</t>
  </si>
  <si>
    <t>321250312</t>
  </si>
  <si>
    <t>Aniqotul Jannah</t>
  </si>
  <si>
    <t>08032</t>
  </si>
  <si>
    <t>321250313</t>
  </si>
  <si>
    <t>Fika Salsabila Izzati</t>
  </si>
  <si>
    <t>08033</t>
  </si>
  <si>
    <t>321250314</t>
  </si>
  <si>
    <t>Laili Sania Ramadhani</t>
  </si>
  <si>
    <t>08034</t>
  </si>
  <si>
    <t>321250315</t>
  </si>
  <si>
    <t>Nuril Maulidia Ariska</t>
  </si>
  <si>
    <t>08035</t>
  </si>
  <si>
    <t>321250325</t>
  </si>
  <si>
    <t>Kirani Rahmawati</t>
  </si>
  <si>
    <t>08036</t>
  </si>
  <si>
    <t>321250327</t>
  </si>
  <si>
    <t>Anisah Fitri</t>
  </si>
  <si>
    <t>08037</t>
  </si>
  <si>
    <t>321250328</t>
  </si>
  <si>
    <t>Anggun Niatun Jannah</t>
  </si>
  <si>
    <t>08038</t>
  </si>
  <si>
    <t>321250443</t>
  </si>
  <si>
    <t>Lailatul Suhada</t>
  </si>
  <si>
    <t>08039</t>
  </si>
  <si>
    <t>321250333</t>
  </si>
  <si>
    <t>Nadia Safinatul Jannah</t>
  </si>
  <si>
    <t>08040</t>
  </si>
  <si>
    <t>321240460</t>
  </si>
  <si>
    <t>Belvi Khumairoh</t>
  </si>
  <si>
    <t>08041</t>
  </si>
  <si>
    <t>321250449</t>
  </si>
  <si>
    <t>Ainur Rohimah</t>
  </si>
  <si>
    <t>08042</t>
  </si>
  <si>
    <t>321250450</t>
  </si>
  <si>
    <t>Siti Munawaroh Tul Halimah</t>
  </si>
  <si>
    <t>08043</t>
  </si>
  <si>
    <t>321250344</t>
  </si>
  <si>
    <t>Tafrihatus Sa'Adah</t>
  </si>
  <si>
    <t>08044</t>
  </si>
  <si>
    <t>321250451</t>
  </si>
  <si>
    <t>Lailatul Qomariah</t>
  </si>
  <si>
    <t>08045</t>
  </si>
  <si>
    <t>321250347</t>
  </si>
  <si>
    <t>Cici Nabila</t>
  </si>
  <si>
    <t>08046</t>
  </si>
  <si>
    <t>321250348</t>
  </si>
  <si>
    <t>Khoirotun Annisa</t>
  </si>
  <si>
    <t>08047</t>
  </si>
  <si>
    <t>321250351</t>
  </si>
  <si>
    <t>Maliatul Mamlu'Ah</t>
  </si>
  <si>
    <t>08048</t>
  </si>
  <si>
    <t>321250352</t>
  </si>
  <si>
    <t>Anisatul Ferdausiah</t>
  </si>
  <si>
    <t>08049</t>
  </si>
  <si>
    <t>321250353</t>
  </si>
  <si>
    <t>Fitriatus Soliha</t>
  </si>
  <si>
    <t>08050</t>
  </si>
  <si>
    <t>321250464</t>
  </si>
  <si>
    <t>Echa Amelia Putri</t>
  </si>
  <si>
    <t>08051</t>
  </si>
  <si>
    <t>321250466</t>
  </si>
  <si>
    <t>Lutfia Nuril Hidayah</t>
  </si>
  <si>
    <t>08052</t>
  </si>
  <si>
    <t>321250468</t>
  </si>
  <si>
    <t>Layyinatul Maghfiroh</t>
  </si>
  <si>
    <t>08053</t>
  </si>
  <si>
    <t>321250473</t>
  </si>
  <si>
    <t>Rohmatullaily</t>
  </si>
  <si>
    <t>08054</t>
  </si>
  <si>
    <t>321250474</t>
  </si>
  <si>
    <t>Safitri Robi'Atul Khasanah</t>
  </si>
  <si>
    <t>08055</t>
  </si>
  <si>
    <t>321250485</t>
  </si>
  <si>
    <t>Aira Dinda Dewi</t>
  </si>
  <si>
    <t>08056</t>
  </si>
  <si>
    <t>321250486</t>
  </si>
  <si>
    <t>Siti Nur Halisah</t>
  </si>
  <si>
    <t>08057</t>
  </si>
  <si>
    <t>321250488</t>
  </si>
  <si>
    <t>Indana Zulfa Dalu Kartika Sari</t>
  </si>
  <si>
    <t>08058</t>
  </si>
  <si>
    <t>321240495</t>
  </si>
  <si>
    <t>Arwa Nabila Farah</t>
  </si>
  <si>
    <t>08059</t>
  </si>
  <si>
    <t>321250376</t>
  </si>
  <si>
    <t>Siril Lailatun Nazila</t>
  </si>
  <si>
    <t>08060</t>
  </si>
  <si>
    <t>321250381</t>
  </si>
  <si>
    <t>Rifatul Aulia Rizqiyah</t>
  </si>
  <si>
    <t>08061</t>
  </si>
  <si>
    <t>321240501</t>
  </si>
  <si>
    <t>Devi Isma Romiatur Rofiqoh</t>
  </si>
  <si>
    <t>08062</t>
  </si>
  <si>
    <t>321250383</t>
  </si>
  <si>
    <t>Madina Isma Nurzannah</t>
  </si>
  <si>
    <t>08118</t>
  </si>
  <si>
    <t>Milatur Rohmah</t>
  </si>
  <si>
    <t>08063</t>
  </si>
  <si>
    <t>321240527</t>
  </si>
  <si>
    <t>Sayyidatul Khoiriah</t>
  </si>
  <si>
    <t>II E MDTW</t>
  </si>
  <si>
    <t>08064</t>
  </si>
  <si>
    <t>321240626</t>
  </si>
  <si>
    <t>Imas Putri Khoiruliza</t>
  </si>
  <si>
    <t>08065</t>
  </si>
  <si>
    <t>321240412</t>
  </si>
  <si>
    <t>Luluk Aliatus Sholihah</t>
  </si>
  <si>
    <t>08066</t>
  </si>
  <si>
    <t>321240493</t>
  </si>
  <si>
    <t>Izzatul Maula</t>
  </si>
  <si>
    <t>08067</t>
  </si>
  <si>
    <t>Milyasa A'yunin Nabila</t>
  </si>
  <si>
    <t>08068</t>
  </si>
  <si>
    <t>321250271</t>
  </si>
  <si>
    <t>Putri Nadiyatul Riskiyanti</t>
  </si>
  <si>
    <t>08069</t>
  </si>
  <si>
    <t>321250385</t>
  </si>
  <si>
    <t>Izza Zulfa Fauziah</t>
  </si>
  <si>
    <t>08070</t>
  </si>
  <si>
    <t>321250386</t>
  </si>
  <si>
    <t>Tika Ainur Rohmah</t>
  </si>
  <si>
    <t>08071</t>
  </si>
  <si>
    <t>321240518</t>
  </si>
  <si>
    <t>Ichda Maulidia Zulfa</t>
  </si>
  <si>
    <t>08072</t>
  </si>
  <si>
    <t>321250281</t>
  </si>
  <si>
    <t>MauFidatul Hasanah</t>
  </si>
  <si>
    <t>08073</t>
  </si>
  <si>
    <t>321250500</t>
  </si>
  <si>
    <t>Latifatur Rohmaniyah</t>
  </si>
  <si>
    <t>08074</t>
  </si>
  <si>
    <t>321240401</t>
  </si>
  <si>
    <t>Roviatul Jannah</t>
  </si>
  <si>
    <t>08075</t>
  </si>
  <si>
    <t>321250282</t>
  </si>
  <si>
    <t>Farah Amalia Putri</t>
  </si>
  <si>
    <t>08076</t>
  </si>
  <si>
    <t>321250283</t>
  </si>
  <si>
    <t>Nur Khoirun Nisa</t>
  </si>
  <si>
    <t>08077</t>
  </si>
  <si>
    <t>321250284</t>
  </si>
  <si>
    <t>Nikamatul Hikmah</t>
  </si>
  <si>
    <t>08078</t>
  </si>
  <si>
    <t>321250402</t>
  </si>
  <si>
    <t>Azyan Musfiroh</t>
  </si>
  <si>
    <t>08079</t>
  </si>
  <si>
    <t>321250290</t>
  </si>
  <si>
    <t>Masnah Khofifah</t>
  </si>
  <si>
    <t>08080</t>
  </si>
  <si>
    <t>321250404</t>
  </si>
  <si>
    <t>Khonia Riya</t>
  </si>
  <si>
    <t>08081</t>
  </si>
  <si>
    <t>321250407</t>
  </si>
  <si>
    <t>Masnah Jamila</t>
  </si>
  <si>
    <t>08082</t>
  </si>
  <si>
    <t>321250502</t>
  </si>
  <si>
    <t>Faizah</t>
  </si>
  <si>
    <t>08083</t>
  </si>
  <si>
    <t>321250419</t>
  </si>
  <si>
    <t>Rifqi Aminatuz Zahro</t>
  </si>
  <si>
    <t>08084</t>
  </si>
  <si>
    <t>321250304</t>
  </si>
  <si>
    <t>Hidayu Robiatul Adawiyah</t>
  </si>
  <si>
    <t>08085</t>
  </si>
  <si>
    <t>321250425</t>
  </si>
  <si>
    <t>Shinta Afrilia (PM)</t>
  </si>
  <si>
    <t>08086</t>
  </si>
  <si>
    <t>321250426</t>
  </si>
  <si>
    <t>Anisatul Imamah</t>
  </si>
  <si>
    <t>08087</t>
  </si>
  <si>
    <t>321250307</t>
  </si>
  <si>
    <t>Maulidiyatus Sholihah R</t>
  </si>
  <si>
    <t>08088</t>
  </si>
  <si>
    <t>321250308</t>
  </si>
  <si>
    <t>Isroatul Faizah</t>
  </si>
  <si>
    <t>08089</t>
  </si>
  <si>
    <t>321250309</t>
  </si>
  <si>
    <t>Fatima Suliati</t>
  </si>
  <si>
    <t>08090</t>
  </si>
  <si>
    <t>321240562</t>
  </si>
  <si>
    <t>Naila Khofifatul Munawaroh</t>
  </si>
  <si>
    <t>08091</t>
  </si>
  <si>
    <t>321250435</t>
  </si>
  <si>
    <t>08092</t>
  </si>
  <si>
    <t>321250318</t>
  </si>
  <si>
    <t>Fitri Kamalia Wahidah</t>
  </si>
  <si>
    <t>08093</t>
  </si>
  <si>
    <t>321250323</t>
  </si>
  <si>
    <t>Sisil Enjelita</t>
  </si>
  <si>
    <t>08094</t>
  </si>
  <si>
    <t>321250503</t>
  </si>
  <si>
    <t>Raudatul Hasanah</t>
  </si>
  <si>
    <t>08095</t>
  </si>
  <si>
    <t>321250439</t>
  </si>
  <si>
    <t>Arini Nurul Izzah</t>
  </si>
  <si>
    <t>08096</t>
  </si>
  <si>
    <t>321250442</t>
  </si>
  <si>
    <t>I'Anatul Jazilah</t>
  </si>
  <si>
    <t>08097</t>
  </si>
  <si>
    <t>321250335</t>
  </si>
  <si>
    <t>Talita Nur Aulia</t>
  </si>
  <si>
    <t>08098</t>
  </si>
  <si>
    <t>321250336</t>
  </si>
  <si>
    <t>Reni Farida</t>
  </si>
  <si>
    <t>08099</t>
  </si>
  <si>
    <t>321250339</t>
  </si>
  <si>
    <t>Sifatul Munawaroh</t>
  </si>
  <si>
    <t>08100</t>
  </si>
  <si>
    <t>321250340</t>
  </si>
  <si>
    <t>Lilis Nur Fatimah</t>
  </si>
  <si>
    <t>08101</t>
  </si>
  <si>
    <t>321250459</t>
  </si>
  <si>
    <t>Nuril Hilya</t>
  </si>
  <si>
    <t>08102</t>
  </si>
  <si>
    <t>321250461</t>
  </si>
  <si>
    <t>Siti Hilwah</t>
  </si>
  <si>
    <t>08103</t>
  </si>
  <si>
    <t>321250463</t>
  </si>
  <si>
    <t>Wasiatun Karomah</t>
  </si>
  <si>
    <t>08104</t>
  </si>
  <si>
    <t>321250355</t>
  </si>
  <si>
    <t>Alfiatun Nujum</t>
  </si>
  <si>
    <t>08105</t>
  </si>
  <si>
    <t>321250362</t>
  </si>
  <si>
    <t>Nazilatur Rohmah</t>
  </si>
  <si>
    <t>08106</t>
  </si>
  <si>
    <t>321250475</t>
  </si>
  <si>
    <t>Yuliana</t>
  </si>
  <si>
    <t>08107</t>
  </si>
  <si>
    <t>321250476</t>
  </si>
  <si>
    <t>Lailatul Fadilah</t>
  </si>
  <si>
    <t>08108</t>
  </si>
  <si>
    <t>321250366</t>
  </si>
  <si>
    <t>Sheila Nur Istiana</t>
  </si>
  <si>
    <t>08109</t>
  </si>
  <si>
    <t>321250478</t>
  </si>
  <si>
    <t>Nabilatul Zamzania</t>
  </si>
  <si>
    <t>08110</t>
  </si>
  <si>
    <t>321250479</t>
  </si>
  <si>
    <t>Alviana Ramadani</t>
  </si>
  <si>
    <t>08111</t>
  </si>
  <si>
    <t>321250481</t>
  </si>
  <si>
    <t>Arifatul Alya</t>
  </si>
  <si>
    <t>08112</t>
  </si>
  <si>
    <t>321250482</t>
  </si>
  <si>
    <t>Lailatul Fitriya</t>
  </si>
  <si>
    <t>08113</t>
  </si>
  <si>
    <t>321250369</t>
  </si>
  <si>
    <t>Putri Nabila Fitriana</t>
  </si>
  <si>
    <t>08114</t>
  </si>
  <si>
    <t>321240500</t>
  </si>
  <si>
    <t>Rosita Wardani</t>
  </si>
  <si>
    <t>08115</t>
  </si>
  <si>
    <t>321250384</t>
  </si>
  <si>
    <t>Afrilia</t>
  </si>
  <si>
    <t>08116</t>
  </si>
  <si>
    <t>321250498</t>
  </si>
  <si>
    <t>Hafizatul Magfiroh</t>
  </si>
  <si>
    <t>08117</t>
  </si>
  <si>
    <t>Nila Aulia Indah Nurin</t>
  </si>
  <si>
    <t>Luna Hasna Azizah</t>
  </si>
  <si>
    <t>00080</t>
  </si>
  <si>
    <t>00081</t>
  </si>
  <si>
    <t>00082</t>
  </si>
  <si>
    <t>Riska Nur Alifah</t>
  </si>
  <si>
    <t>رياض البديعة</t>
  </si>
  <si>
    <t>ليسان</t>
  </si>
  <si>
    <t xml:space="preserve"> قاعدة متن الأجرومية</t>
  </si>
  <si>
    <t>جملة</t>
  </si>
  <si>
    <t>ألتسوية</t>
  </si>
  <si>
    <t>متممة الجرومية</t>
  </si>
  <si>
    <t>التبيان</t>
  </si>
  <si>
    <t>الترتيب</t>
  </si>
  <si>
    <t>LEGER NILAI UJI TULIS KUARTAL DUA</t>
  </si>
  <si>
    <t>Asuhan :</t>
  </si>
  <si>
    <t>Ustdz. Vita Yulianita</t>
  </si>
  <si>
    <t>Ustdz. Umi Kulsum</t>
  </si>
  <si>
    <t>Ustdz. Siti Khosi'ah</t>
  </si>
  <si>
    <t>Ustdz. Rina Agustin</t>
  </si>
  <si>
    <t>Ustdz. Ainun Nisa'</t>
  </si>
  <si>
    <t>Ustdz. Wardatul Humairoh</t>
  </si>
  <si>
    <t>Ustdz. Ulfatur Rosidah</t>
  </si>
  <si>
    <t>Ustdz. Alin Rahmawati</t>
  </si>
  <si>
    <t>Ustdz. Qomariyatul Kurnia</t>
  </si>
  <si>
    <t>Ustdz. Nurul Hikmah</t>
  </si>
  <si>
    <t>Ustdz. Imroatul Hasanah</t>
  </si>
  <si>
    <t>Ustdz. Siti Romlah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</si>
</sst>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"/>
      <scheme val="minor"/>
    </font>
    <font>
      <b/>
      <sz val="12"/>
      <name val="Traditional Arabic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MT"/>
      <charset val="1"/>
    </font>
    <font>
      <b/>
      <sz val="11"/>
      <name val="Arial MT"/>
      <charset val="1"/>
    </font>
    <font>
      <sz val="11"/>
      <color theme="1"/>
      <name val="Arial MT"/>
      <charset val="1"/>
    </font>
    <font>
      <sz val="10"/>
      <color theme="1"/>
      <name val="Arial MT"/>
      <charset val="1"/>
    </font>
    <font>
      <sz val="11"/>
      <name val="Arial MT"/>
      <charset val="1"/>
    </font>
    <font>
      <b/>
      <sz val="11"/>
      <name val="Traditional Arabic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4" fillId="0" borderId="0"/>
    <xf numFmtId="0" fontId="2" fillId="0" borderId="0"/>
    <xf numFmtId="0" fontId="3" fillId="0" borderId="0"/>
  </cellStyleXfs>
  <cellXfs count="60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" fontId="7" fillId="0" borderId="3" xfId="0" applyNumberFormat="1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1" fontId="7" fillId="2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" fontId="7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" fontId="7" fillId="2" borderId="2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90" wrapText="1" readingOrder="2"/>
    </xf>
    <xf numFmtId="0" fontId="1" fillId="0" borderId="3" xfId="0" applyFont="1" applyBorder="1" applyAlignment="1">
      <alignment horizontal="center" vertical="center" textRotation="90" wrapText="1" readingOrder="2"/>
    </xf>
    <xf numFmtId="0" fontId="1" fillId="0" borderId="3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 wrapText="1" readingOrder="2"/>
    </xf>
    <xf numFmtId="0" fontId="7" fillId="0" borderId="10" xfId="0" applyFont="1" applyBorder="1" applyAlignment="1">
      <alignment horizontal="center" vertical="center"/>
    </xf>
    <xf numFmtId="0" fontId="7" fillId="0" borderId="4" xfId="0" quotePrefix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textRotation="90" wrapText="1" readingOrder="2"/>
    </xf>
    <xf numFmtId="0" fontId="1" fillId="0" borderId="14" xfId="0" applyFont="1" applyBorder="1" applyAlignment="1">
      <alignment horizontal="center" vertical="center" textRotation="90" wrapText="1" readingOrder="2"/>
    </xf>
    <xf numFmtId="0" fontId="1" fillId="0" borderId="14" xfId="0" applyFont="1" applyBorder="1" applyAlignment="1">
      <alignment horizontal="center" vertical="center" textRotation="90"/>
    </xf>
    <xf numFmtId="0" fontId="1" fillId="0" borderId="15" xfId="0" applyFont="1" applyBorder="1" applyAlignment="1">
      <alignment horizontal="center" vertical="center" textRotation="90" wrapText="1" readingOrder="2"/>
    </xf>
    <xf numFmtId="1" fontId="7" fillId="2" borderId="16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textRotation="90" wrapText="1" readingOrder="2"/>
    </xf>
    <xf numFmtId="1" fontId="0" fillId="0" borderId="0" xfId="0" applyNumberFormat="1"/>
    <xf numFmtId="1" fontId="1" fillId="0" borderId="14" xfId="0" applyNumberFormat="1" applyFont="1" applyBorder="1" applyAlignment="1">
      <alignment horizontal="center" vertical="center" textRotation="90" wrapText="1" readingOrder="2"/>
    </xf>
    <xf numFmtId="1" fontId="7" fillId="0" borderId="1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textRotation="90" readingOrder="2"/>
    </xf>
    <xf numFmtId="0" fontId="10" fillId="0" borderId="14" xfId="0" applyFont="1" applyBorder="1" applyAlignment="1">
      <alignment horizontal="center" vertical="center" textRotation="90" wrapText="1" readingOrder="2"/>
    </xf>
    <xf numFmtId="1" fontId="6" fillId="0" borderId="0" xfId="0" applyNumberFormat="1" applyFont="1" applyAlignment="1">
      <alignment vertical="center" wrapText="1"/>
    </xf>
    <xf numFmtId="1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1" fontId="9" fillId="0" borderId="1" xfId="0" applyNumberFormat="1" applyFont="1" applyBorder="1" applyAlignment="1">
      <alignment vertical="center"/>
    </xf>
    <xf numFmtId="1" fontId="1" fillId="0" borderId="15" xfId="0" applyNumberFormat="1" applyFont="1" applyBorder="1" applyAlignment="1">
      <alignment horizontal="center" vertical="center" textRotation="90" wrapText="1" readingOrder="2"/>
    </xf>
    <xf numFmtId="0" fontId="6" fillId="0" borderId="16" xfId="0" applyFont="1" applyBorder="1" applyAlignment="1">
      <alignment horizontal="center" vertical="center" textRotation="90" wrapText="1" readingOrder="2"/>
    </xf>
    <xf numFmtId="1" fontId="7" fillId="0" borderId="16" xfId="0" applyNumberFormat="1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 textRotation="90" wrapText="1" readingOrder="2"/>
    </xf>
    <xf numFmtId="0" fontId="9" fillId="0" borderId="1" xfId="0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 2 2" xfId="2" xr:uid="{00000000-0005-0000-0000-000032000000}"/>
    <cellStyle name="Normal 3" xfId="3" xr:uid="{00000000-0005-0000-0000-000033000000}"/>
  </cellStyles>
  <dxfs count="95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90" wrapText="0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MT"/>
        <charset val="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raditional Arabic"/>
        <family val="1"/>
        <scheme val="none"/>
      </font>
      <alignment horizontal="center" vertical="center" textRotation="90" wrapText="1" indent="0" justifyLastLine="0" shrinkToFit="0" readingOrder="2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2B877-9659-4928-8F84-0C28CDA8B18B}" name="Table1" displayName="Table1" ref="A6:P49" totalsRowShown="0" headerRowDxfId="9399" dataDxfId="9397" headerRowBorderDxfId="9398" tableBorderDxfId="9396" totalsRowBorderDxfId="9395">
  <autoFilter ref="A6:P49" xr:uid="{E7B2B877-9659-4928-8F84-0C28CDA8B18B}"/>
  <sortState xmlns:xlrd2="http://schemas.microsoft.com/office/spreadsheetml/2017/richdata2" ref="A7:P49">
    <sortCondition ref="P6:P49"/>
  </sortState>
  <tableColumns count="16">
    <tableColumn id="1" xr3:uid="{8E50884E-7BB0-4E60-89F1-76C7F246433D}" name="NO" dataDxfId="9394"/>
    <tableColumn id="2" xr3:uid="{162C17C6-BB0A-4F04-9A93-1C8CF1B62EDB}" name="NOPES" dataDxfId="9393"/>
    <tableColumn id="3" xr3:uid="{F2B58339-A7D0-47EE-A326-B5355715905A}" name="NIS" dataDxfId="9392"/>
    <tableColumn id="4" xr3:uid="{D2788571-709A-4B37-9AEA-E013D2D6EFF0}" name="NAMA" dataDxfId="9391"/>
    <tableColumn id="5" xr3:uid="{9B26FFD3-BC6E-43E0-9328-0126F4913D55}" name="ASR" dataDxfId="9390"/>
    <tableColumn id="6" xr3:uid="{015356CC-78FB-4590-B7C6-5E22F70BE4B7}" name="KLS" dataDxfId="9389"/>
    <tableColumn id="7" xr3:uid="{435745A2-47F0-4A4D-B7E4-5032B680FD51}" name="RUANG" dataDxfId="9388"/>
    <tableColumn id="8" xr3:uid="{93599A86-460D-4000-A411-54D93E004599}" name="فصلاتان" dataDxfId="9387"/>
    <tableColumn id="9" xr3:uid="{40BFBBDA-3C3A-44B3-B084-4A4BC0789C43}" name="النّظام" dataDxfId="9386"/>
    <tableColumn id="10" xr3:uid="{9D6E636C-B9E4-4DC8-88F9-3705DBD623EF}" name="لغة المندوريّة" dataDxfId="9385"/>
    <tableColumn id="11" xr3:uid="{38B8A545-9475-4261-AB61-478208B0FA88}" name="إملاء" dataDxfId="9384"/>
    <tableColumn id="12" xr3:uid="{A4E43B84-8B0B-4BF2-B80E-E7DD13EE56A3}" name="رابطة الحروف" dataDxfId="9383"/>
    <tableColumn id="13" xr3:uid="{BE29B890-C884-4F5B-BFF0-08794AD837CC}" name="ليسان" dataDxfId="9382"/>
    <tableColumn id="14" xr3:uid="{C4AB1F2D-7AD6-48E7-BF1E-A038AABCECD4}" name="جملة" dataDxfId="9381">
      <calculatedColumnFormula>SUBTOTAL(9,H7:M7)</calculatedColumnFormula>
    </tableColumn>
    <tableColumn id="15" xr3:uid="{9806A710-B9B6-4B71-95B0-4D12AAEC3C0E}" name="ألتسوية" dataDxfId="9380">
      <calculatedColumnFormula>N7/7</calculatedColumnFormula>
    </tableColumn>
    <tableColumn id="16" xr3:uid="{8E02C2A7-BF0D-4B4D-8FB8-461656CC44EE}" name="الترتيب" dataDxfId="9379">
      <calculatedColumnFormula>RANK(O7,O$7:O$88,0)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240252-DFD8-46F1-8B44-5E6471C11D29}" name="Table2" displayName="Table2" ref="A6:P45" totalsRowShown="0" headerRowDxfId="9261" dataDxfId="9259" headerRowBorderDxfId="9260" tableBorderDxfId="9258">
  <autoFilter ref="A6:P45" xr:uid="{BD240252-DFD8-46F1-8B44-5E6471C11D29}"/>
  <sortState xmlns:xlrd2="http://schemas.microsoft.com/office/spreadsheetml/2017/richdata2" ref="A7:P45">
    <sortCondition ref="P6:P45"/>
  </sortState>
  <tableColumns count="16">
    <tableColumn id="1" xr3:uid="{04412732-4535-486D-A182-49B4B94FBF2F}" name="NO" dataDxfId="9257"/>
    <tableColumn id="2" xr3:uid="{A61A95AE-A3B3-4239-B484-CE87A4606944}" name="NOPES" dataDxfId="9256"/>
    <tableColumn id="3" xr3:uid="{0007B7EB-6CC8-444A-9BEA-1CDDA96D1EA0}" name="NIS" dataDxfId="9255"/>
    <tableColumn id="4" xr3:uid="{FF8E3812-119A-4BCF-973D-3F51CC8D05EF}" name="NAMA" dataDxfId="9254"/>
    <tableColumn id="5" xr3:uid="{7B9369D4-D810-46C4-B530-D94349AF5DA9}" name="ASR" dataDxfId="9253"/>
    <tableColumn id="6" xr3:uid="{59A12F6C-1A98-4AD7-AA6A-9948BB5B63F3}" name="KLS" dataDxfId="9252"/>
    <tableColumn id="7" xr3:uid="{5439DD84-5AFD-4F42-A6A7-E2A445AAF8AC}" name="RUANG" dataDxfId="9251"/>
    <tableColumn id="8" xr3:uid="{43D44F65-EB38-4B6D-ACBB-18060C1975D3}" name="فصلاتان" dataDxfId="9250"/>
    <tableColumn id="9" xr3:uid="{17D864F1-F01D-42FA-80B1-693C35019245}" name="النّظام" dataDxfId="9249"/>
    <tableColumn id="10" xr3:uid="{C6B83B24-1539-4744-904D-B31788670F44}" name="لغة المندوريّة" dataDxfId="9248"/>
    <tableColumn id="11" xr3:uid="{D93CA2A5-7219-4543-962E-D95BC0087513}" name="إملاء" dataDxfId="9247"/>
    <tableColumn id="12" xr3:uid="{F86ABBCE-7BDA-4BDB-835D-2CFFE36B2938}" name="رابطة الحروف" dataDxfId="9246"/>
    <tableColumn id="13" xr3:uid="{CCA8E745-B276-42A0-A3A8-7E09FE323951}" name="ليسان" dataDxfId="9245"/>
    <tableColumn id="14" xr3:uid="{19345A8D-A4CA-4663-A397-8CBBBAC3D2CE}" name="جملة" dataDxfId="9244">
      <calculatedColumnFormula>SUBTOTAL(9,H7:M7)</calculatedColumnFormula>
    </tableColumn>
    <tableColumn id="15" xr3:uid="{134139BE-5CF2-43FF-A3C3-8AB0EBB51E1F}" name="ألتسوية" dataDxfId="9243">
      <calculatedColumnFormula>N7/7</calculatedColumnFormula>
    </tableColumn>
    <tableColumn id="16" xr3:uid="{F6A68F28-BC13-44D6-8F20-F0D5B1890C19}" name="الترتيب" dataDxfId="9242">
      <calculatedColumnFormula>RANK(O7,O$7:O$88,0)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9B00C3-44C7-480F-A8BE-6EEEF05D856A}" name="Table3" displayName="Table3" ref="A6:Q65" totalsRowShown="0" headerRowDxfId="9005" headerRowBorderDxfId="9004" tableBorderDxfId="9003">
  <autoFilter ref="A6:Q65" xr:uid="{BA9B00C3-44C7-480F-A8BE-6EEEF05D856A}"/>
  <sortState xmlns:xlrd2="http://schemas.microsoft.com/office/spreadsheetml/2017/richdata2" ref="A7:Q65">
    <sortCondition ref="Q6:Q65"/>
  </sortState>
  <tableColumns count="17">
    <tableColumn id="1" xr3:uid="{354F4336-CC0F-4912-B32C-718AB725552F}" name="NO" dataDxfId="9002"/>
    <tableColumn id="2" xr3:uid="{D29FB1FB-725D-42A6-BFE7-5F056548E299}" name="NOPES" dataDxfId="9001"/>
    <tableColumn id="3" xr3:uid="{B6290298-D8A7-42B6-B086-84EBFE885EB6}" name="NIS" dataDxfId="9000"/>
    <tableColumn id="4" xr3:uid="{3A5CBDAF-1DAA-461E-B2FF-3C6F14EB352E}" name="NAMA" dataDxfId="8999"/>
    <tableColumn id="5" xr3:uid="{45837371-269E-4313-A3F4-7CDBEB2D988C}" name="ASR" dataDxfId="8998"/>
    <tableColumn id="6" xr3:uid="{B6B88568-D034-42A3-B4CC-7B8B4E5DAA5D}" name="KLS" dataDxfId="8997"/>
    <tableColumn id="7" xr3:uid="{26B988F8-96FC-4D01-B6D8-140CCB8820EC}" name="RUANG" dataDxfId="8996"/>
    <tableColumn id="8" xr3:uid="{839D6B3B-452D-47C2-A0AB-F6C6EF51C253}" name="مبادئ الفقيه" dataDxfId="8995"/>
    <tableColumn id="9" xr3:uid="{DB371885-74F1-422C-A8B5-6CC1260955C3}" name="رابطة الحروف" dataDxfId="8994"/>
    <tableColumn id="10" xr3:uid="{923FC8D9-1D68-4B66-AE37-AAD5FB0AB2B1}" name="اللغة العربية" dataDxfId="8993"/>
    <tableColumn id="11" xr3:uid="{B827D3A2-A588-4082-8EBB-4E21912C814E}" name="إملاء" dataDxfId="8992"/>
    <tableColumn id="12" xr3:uid="{62FD3154-CBDA-4C14-8E08-DB0F3C259B24}" name="الديانة" dataDxfId="8991"/>
    <tableColumn id="13" xr3:uid="{C5C1707E-1CC4-4B41-BAA7-87C3CC70E5AA}" name="هداية الصبيان" dataDxfId="8990"/>
    <tableColumn id="14" xr3:uid="{15D04D71-14A3-4B69-B0BF-462681A0A76E}" name="عقيدة العوام" dataDxfId="8989"/>
    <tableColumn id="15" xr3:uid="{D11D6656-D02D-482E-A273-5ECB31E39947}" name="جملة" dataDxfId="8988">
      <calculatedColumnFormula>SUBTOTAL(9,H7:N7)</calculatedColumnFormula>
    </tableColumn>
    <tableColumn id="16" xr3:uid="{D03ED6E8-0E88-4009-B275-E1732BCB989F}" name="ألتسوية" dataDxfId="8987">
      <calculatedColumnFormula>O7/8</calculatedColumnFormula>
    </tableColumn>
    <tableColumn id="17" xr3:uid="{11FE4B99-3E7C-46DB-ABD8-4B61E9D7FA09}" name="الترتيب" dataDxfId="8986">
      <calculatedColumnFormula>RANK(P7,P$7:P$282,0)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BCBBE9-AD69-4506-98EA-E7B7D054B127}" name="Table4" displayName="Table4" ref="A6:Q60" totalsRowShown="0" headerRowDxfId="8769" headerRowBorderDxfId="8768" tableBorderDxfId="8767">
  <autoFilter ref="A6:Q60" xr:uid="{6BBCBBE9-AD69-4506-98EA-E7B7D054B127}"/>
  <sortState xmlns:xlrd2="http://schemas.microsoft.com/office/spreadsheetml/2017/richdata2" ref="A7:Q60">
    <sortCondition ref="Q6:Q60"/>
  </sortState>
  <tableColumns count="17">
    <tableColumn id="1" xr3:uid="{4F93C5F7-6F30-4090-B156-E6CBFE3272ED}" name="NO" dataDxfId="8766"/>
    <tableColumn id="2" xr3:uid="{D9DBDCDC-C92D-4C53-B0DB-27790B86AB43}" name="NOPES" dataDxfId="8765"/>
    <tableColumn id="3" xr3:uid="{DDEF702A-15F6-4A88-BF3A-385A77CD4E86}" name="NIS" dataDxfId="8764"/>
    <tableColumn id="4" xr3:uid="{25BE202B-DE41-46E2-A1F1-88E1FEFFA307}" name="NAMA" dataDxfId="8763"/>
    <tableColumn id="5" xr3:uid="{A36D0306-18A7-417A-9E11-C1FE3474F60D}" name="ASR" dataDxfId="8762"/>
    <tableColumn id="6" xr3:uid="{C274CF97-74C2-4D9A-8716-929ED55F6034}" name="KLS" dataDxfId="8761"/>
    <tableColumn id="7" xr3:uid="{5D3303D3-A708-4A3A-9F36-136C06C5C352}" name="RUANG" dataDxfId="8760"/>
    <tableColumn id="8" xr3:uid="{366F3D0D-9F32-4F05-B765-EAAAA4FB8AE2}" name="مبادئ الفقيه" dataDxfId="8759"/>
    <tableColumn id="9" xr3:uid="{C52CAD23-8D88-4A43-AC2F-40A86AEEADED}" name="رابطة الحروف" dataDxfId="8758"/>
    <tableColumn id="10" xr3:uid="{9711D31D-F0D4-401F-8F73-ED9419ABDC95}" name="اللغة العربية" dataDxfId="8757"/>
    <tableColumn id="11" xr3:uid="{C3296815-C7E6-41DD-9833-BBFCE0050FE9}" name="إملاء" dataDxfId="8756"/>
    <tableColumn id="12" xr3:uid="{1197A630-FDFD-4450-A462-717B7751230C}" name="الديانة" dataDxfId="8755"/>
    <tableColumn id="13" xr3:uid="{DB6723FA-75C6-4C27-A58B-620F45E9AFEB}" name="هداية الصبيان" dataDxfId="8754"/>
    <tableColumn id="14" xr3:uid="{1365D574-9EBF-4D44-98D7-C09FDD400E42}" name="عقيدة العوام" dataDxfId="8753"/>
    <tableColumn id="15" xr3:uid="{DCD0017B-2AEC-4FF1-BC20-68694AC03666}" name="جملة" dataDxfId="8752">
      <calculatedColumnFormula>SUBTOTAL(9,H7:N7)</calculatedColumnFormula>
    </tableColumn>
    <tableColumn id="16" xr3:uid="{7087E9F7-742E-4EA1-AA52-F6DD1243AA9E}" name="ألتسوية" dataDxfId="8751">
      <calculatedColumnFormula>O7/8</calculatedColumnFormula>
    </tableColumn>
    <tableColumn id="17" xr3:uid="{A0485155-4103-40A9-B9FC-2A3816284CB5}" name="الترتيب" dataDxfId="8750">
      <calculatedColumnFormula>RANK(P7,P$7:P$282,0)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416062-10B1-4EB5-85E9-40695FDCAE3B}" name="Table6" displayName="Table6" ref="A6:Q60" totalsRowShown="0" headerRowDxfId="8533" headerRowBorderDxfId="8532" tableBorderDxfId="8531">
  <autoFilter ref="A6:Q60" xr:uid="{E0416062-10B1-4EB5-85E9-40695FDCAE3B}"/>
  <sortState xmlns:xlrd2="http://schemas.microsoft.com/office/spreadsheetml/2017/richdata2" ref="A7:Q60">
    <sortCondition ref="Q6:Q60"/>
  </sortState>
  <tableColumns count="17">
    <tableColumn id="1" xr3:uid="{A9D14275-D726-452D-A72B-61B92A6F0224}" name="NO" dataDxfId="8530"/>
    <tableColumn id="2" xr3:uid="{3B2536A0-3E1C-48CB-951F-F3A9260D92C7}" name="NOPES" dataDxfId="8529"/>
    <tableColumn id="3" xr3:uid="{342C31E0-3D4C-44EF-9BD2-B46ADCDEAC6E}" name="NIS" dataDxfId="8528"/>
    <tableColumn id="4" xr3:uid="{EB9174ED-ACF0-4D98-8906-B62D0960F955}" name="NAMA" dataDxfId="8527"/>
    <tableColumn id="5" xr3:uid="{0BD27DB2-0822-4B12-AA8A-23F18ECE4F14}" name="ASR" dataDxfId="8526"/>
    <tableColumn id="6" xr3:uid="{765A7276-43FF-433C-958F-26D1BA53E331}" name="KLS" dataDxfId="8525"/>
    <tableColumn id="7" xr3:uid="{BA4720FE-1063-47B7-8B61-9832048E398C}" name="RUANG" dataDxfId="8524"/>
    <tableColumn id="8" xr3:uid="{C1E97D1F-FFAF-4B3A-A0DC-57C7066D9BB9}" name="مبادئ الفقيه" dataDxfId="8523"/>
    <tableColumn id="9" xr3:uid="{6B6994D9-57FF-45FE-862A-A17E59810304}" name="رابطة الحروف" dataDxfId="8522"/>
    <tableColumn id="10" xr3:uid="{383CC4A3-170B-47AE-B3D5-6F0E8B8CB49C}" name="اللغة العربية" dataDxfId="8521"/>
    <tableColumn id="11" xr3:uid="{44599760-0F79-4BCD-AF5D-CC47688D6115}" name="إملاء" dataDxfId="8520"/>
    <tableColumn id="12" xr3:uid="{1D8B9A31-1A95-45CC-9BFC-E2B99E17239D}" name="الديانة" dataDxfId="8519"/>
    <tableColumn id="13" xr3:uid="{307C3EC8-CB88-4E24-AD66-8D6A1EE25291}" name="هداية الصبيان" dataDxfId="8518"/>
    <tableColumn id="14" xr3:uid="{7E947A12-FD95-417B-AB57-90B317F25D68}" name="عقيدة العوام" dataDxfId="8517"/>
    <tableColumn id="15" xr3:uid="{A9140A11-ABD2-4ABD-946D-417AF6A3B4F3}" name="جملة" dataDxfId="8516">
      <calculatedColumnFormula>SUBTOTAL(9,H7:N7)</calculatedColumnFormula>
    </tableColumn>
    <tableColumn id="16" xr3:uid="{AE17494C-6D42-4F59-A2A6-E23A18A357D2}" name="ألتسوية" dataDxfId="8515">
      <calculatedColumnFormula>O7/8</calculatedColumnFormula>
    </tableColumn>
    <tableColumn id="17" xr3:uid="{9B41BD78-FC88-4F63-ACAB-1EDC3B00557C}" name="الترتيب" dataDxfId="8514">
      <calculatedColumnFormula>RANK(P7,P$7:P$282,0)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8A13DB-6DA3-4A9D-ABE6-8A7FC7632A6B}" name="Table7" displayName="Table7" ref="A6:Q60" totalsRowShown="0" headerRowDxfId="8297" headerRowBorderDxfId="8296" tableBorderDxfId="8295">
  <autoFilter ref="A6:Q60" xr:uid="{F68A13DB-6DA3-4A9D-ABE6-8A7FC7632A6B}"/>
  <sortState xmlns:xlrd2="http://schemas.microsoft.com/office/spreadsheetml/2017/richdata2" ref="A7:Q60">
    <sortCondition ref="Q6:Q60"/>
  </sortState>
  <tableColumns count="17">
    <tableColumn id="1" xr3:uid="{7BF2C10F-13A8-49B5-B580-D210C5C05692}" name="NO" dataDxfId="8294"/>
    <tableColumn id="2" xr3:uid="{C404DBC3-371F-47D7-8CC4-DFD19B256446}" name="NOPES" dataDxfId="8293"/>
    <tableColumn id="3" xr3:uid="{01D3510F-75CB-468D-93EA-AB100023D338}" name="NIS" dataDxfId="8292"/>
    <tableColumn id="4" xr3:uid="{1DD5E34A-D45E-4557-A475-020D3B8C0C66}" name="NAMA" dataDxfId="8291"/>
    <tableColumn id="5" xr3:uid="{E42CD0E5-9632-4F1B-BF0C-D5417AE2244B}" name="ASR" dataDxfId="8290"/>
    <tableColumn id="6" xr3:uid="{AD2B74C4-B8A9-450C-8157-E85AE51C1B19}" name="KLS" dataDxfId="8289"/>
    <tableColumn id="7" xr3:uid="{2BF98A6A-54DC-43BB-B2AC-F335F5CD5095}" name="RUANG" dataDxfId="8288"/>
    <tableColumn id="8" xr3:uid="{7F78E615-85C3-4E30-B0CB-E87F61C32591}" name="مبادئ الفقيه" dataDxfId="8287"/>
    <tableColumn id="9" xr3:uid="{E9FD8727-CBAA-46CB-93D5-638C5765203B}" name="رابطة الحروف" dataDxfId="8286"/>
    <tableColumn id="10" xr3:uid="{B242CA44-D3CB-457E-B3CF-052B0DBAA902}" name="اللغة العربية" dataDxfId="8285"/>
    <tableColumn id="11" xr3:uid="{6DB4AE8B-89D8-452D-9D40-F99EC5E9B2D4}" name="إملاء" dataDxfId="8284"/>
    <tableColumn id="12" xr3:uid="{18EB8EB9-E486-4A57-8085-E0ECF869E6CE}" name="الديانة" dataDxfId="8283"/>
    <tableColumn id="13" xr3:uid="{93F55855-CE98-46AC-998F-D68E10FD10D9}" name="هداية الصبيان" dataDxfId="8282"/>
    <tableColumn id="14" xr3:uid="{5529C3A6-3D48-4889-91D0-CDA1195F26E8}" name="عقيدة العوام" dataDxfId="8281"/>
    <tableColumn id="15" xr3:uid="{8301336A-992B-4C15-A560-7CE2FB5DEE44}" name="جملة" dataDxfId="8280">
      <calculatedColumnFormula>SUBTOTAL(9,H7:N7)</calculatedColumnFormula>
    </tableColumn>
    <tableColumn id="16" xr3:uid="{8F2F41AA-FE2D-48EE-9250-C2944AFC6732}" name="ألتسوية" dataDxfId="8279">
      <calculatedColumnFormula>O7/8</calculatedColumnFormula>
    </tableColumn>
    <tableColumn id="17" xr3:uid="{F8F21F4F-472B-4417-A292-1DE3F9C48048}" name="الترتيب" dataDxfId="8278">
      <calculatedColumnFormula>RANK(P7,P$7:P$282,0)</calculatedColumnFormula>
    </tableColumn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6054F3-8C8A-4FCB-B4CB-0C87C12419A8}" name="Table8" displayName="Table8" ref="A6:Q61" totalsRowShown="0" headerRowDxfId="8057" headerRowBorderDxfId="8056" tableBorderDxfId="8055">
  <autoFilter ref="A6:Q61" xr:uid="{E06054F3-8C8A-4FCB-B4CB-0C87C12419A8}"/>
  <sortState xmlns:xlrd2="http://schemas.microsoft.com/office/spreadsheetml/2017/richdata2" ref="A7:Q61">
    <sortCondition ref="Q6:Q61"/>
  </sortState>
  <tableColumns count="17">
    <tableColumn id="1" xr3:uid="{0E294604-3AF3-4758-9DEB-5677E81FD916}" name="NO" dataDxfId="8054"/>
    <tableColumn id="2" xr3:uid="{5E3930B9-AE27-4F80-8A6C-F63ED3809D7D}" name="NOPES" dataDxfId="8053"/>
    <tableColumn id="3" xr3:uid="{F21DC76C-4807-4217-BE84-A6FE420F0429}" name="NIS" dataDxfId="8052"/>
    <tableColumn id="4" xr3:uid="{0D67A08C-516E-4244-B63F-0D905543944A}" name="NAMA" dataDxfId="8051"/>
    <tableColumn id="5" xr3:uid="{F734E622-124E-4977-9D1E-F8AFFE32A22E}" name="ASR" dataDxfId="8050"/>
    <tableColumn id="6" xr3:uid="{35832019-C30D-42D7-BEE2-D7EC16E4B269}" name="KLS" dataDxfId="8049"/>
    <tableColumn id="7" xr3:uid="{71E7C52F-8BA4-4746-B72F-6610D0031C49}" name="RUANG" dataDxfId="8048"/>
    <tableColumn id="8" xr3:uid="{CD51C617-7A20-4B17-8097-85A12FDCC858}" name="مبادئ الفقيه" dataDxfId="8047"/>
    <tableColumn id="9" xr3:uid="{5CA3DB9E-D4F7-4988-BB1A-CC36E8B59D31}" name="رابطة الحروف" dataDxfId="8046"/>
    <tableColumn id="10" xr3:uid="{3A93220A-8187-40F0-A1AA-13126915BFA1}" name="اللغة العربية" dataDxfId="8045"/>
    <tableColumn id="11" xr3:uid="{48320384-2B17-4EB6-B691-3F69245CBE7F}" name="إملاء" dataDxfId="8044"/>
    <tableColumn id="12" xr3:uid="{50BB3E3B-51CD-4438-AFD2-B0EE76ADD610}" name="الديانة" dataDxfId="8043"/>
    <tableColumn id="13" xr3:uid="{659E92C7-773D-4874-BCEC-2152BB0F4AFA}" name="هداية الصبيان" dataDxfId="8042"/>
    <tableColumn id="14" xr3:uid="{29FCDCB1-CCE5-4010-BAD9-52F75A84005D}" name="عقيدة العوام" dataDxfId="8041"/>
    <tableColumn id="15" xr3:uid="{BFA430F8-804B-47EF-BD7D-280A0556C2E5}" name="جملة" dataDxfId="8040">
      <calculatedColumnFormula>SUBTOTAL(9,H7:N7)</calculatedColumnFormula>
    </tableColumn>
    <tableColumn id="16" xr3:uid="{7E1A179E-F276-4975-8381-ED6A03D94074}" name="ألتسوية" dataDxfId="8039">
      <calculatedColumnFormula>O7/8</calculatedColumnFormula>
    </tableColumn>
    <tableColumn id="17" xr3:uid="{AA432F4B-FB9C-496C-A9E5-0C347F08E715}" name="الترتيب" dataDxfId="8038">
      <calculatedColumnFormula>RANK(P7,P$7:P$282,0)</calculatedColumnFormula>
    </tableColumn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47B5E1-7ACC-46D2-BEE3-46DAA36CEA6D}" name="Table9" displayName="Table9" ref="A6:Q67" totalsRowShown="0" headerRowDxfId="7793" headerRowBorderDxfId="7792" tableBorderDxfId="7791">
  <autoFilter ref="A6:Q67" xr:uid="{C947B5E1-7ACC-46D2-BEE3-46DAA36CEA6D}"/>
  <sortState xmlns:xlrd2="http://schemas.microsoft.com/office/spreadsheetml/2017/richdata2" ref="A7:Q67">
    <sortCondition ref="Q6:Q67"/>
  </sortState>
  <tableColumns count="17">
    <tableColumn id="1" xr3:uid="{9A859308-44A5-4E95-AC43-F1A102F46E28}" name="NO" dataDxfId="7790"/>
    <tableColumn id="2" xr3:uid="{F58920E1-01E0-4FA2-9965-9B71F6A29BBB}" name="NOPES" dataDxfId="7789"/>
    <tableColumn id="3" xr3:uid="{9FDCF0B3-AC66-47EB-8A25-6914039DC5F3}" name="NIS" dataDxfId="7788"/>
    <tableColumn id="4" xr3:uid="{45ACD811-21D6-49ED-838B-A2C9DE777F6A}" name="NAMA" dataDxfId="7787"/>
    <tableColumn id="5" xr3:uid="{0EA61E8B-85E1-4605-8A85-3B9CB4086209}" name="ASR" dataDxfId="7786"/>
    <tableColumn id="6" xr3:uid="{92450DD2-C825-41D7-A29E-1A4790DAA016}" name="KLS" dataDxfId="7785"/>
    <tableColumn id="7" xr3:uid="{080CBD58-73E6-4B89-B023-7F904B86BBA9}" name="RUANG" dataDxfId="7784"/>
    <tableColumn id="8" xr3:uid="{5D11C095-1127-4A69-8029-7C7F0BD76A4E}" name="مبادئ الفقه" dataDxfId="7783"/>
    <tableColumn id="9" xr3:uid="{7BFA51B7-4698-40D0-9F13-C7852A19F0CF}" name="رابطة الحروف" dataDxfId="7782"/>
    <tableColumn id="10" xr3:uid="{5C8FEC08-E31B-43A0-AE2A-449B14D04CBC}" name="عقيدة التوحيد" dataDxfId="7781"/>
    <tableColumn id="11" xr3:uid="{E0D31EE2-4CB2-439A-9103-F63157055842}" name="اللغة العربية" dataDxfId="7780"/>
    <tableColumn id="12" xr3:uid="{4AFD954F-5EE4-40CE-B35A-0B32127C09EE}" name="تحفة الاطفال" dataDxfId="7779"/>
    <tableColumn id="13" xr3:uid="{621A2A79-2735-4BDA-8533-6131BE46A53D}" name="خلاصة نور اليقين" dataDxfId="7778"/>
    <tableColumn id="14" xr3:uid="{9A52D34F-7E3A-4559-8CE1-7349B6428E3B}" name="إملاء" dataDxfId="7777"/>
    <tableColumn id="15" xr3:uid="{93267485-AC50-4E09-8BDE-5BDB9E18B925}" name="جملة" dataDxfId="7776">
      <calculatedColumnFormula>SUBTOTAL(9,I7:N7)</calculatedColumnFormula>
    </tableColumn>
    <tableColumn id="16" xr3:uid="{42DF6C9F-1654-4509-8FAA-333AF74D8681}" name="ألتسوية" dataDxfId="7775">
      <calculatedColumnFormula>O7/7</calculatedColumnFormula>
    </tableColumn>
    <tableColumn id="17" xr3:uid="{C655F84D-FB70-429F-BE79-675A5B573BA1}" name="الترتيب" dataDxfId="7774">
      <calculatedColumnFormula>RANK(P7,P$7:P$311,0)</calculatedColumnFormula>
    </tableColumn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544087-050A-43D9-BCFA-7D1EAED0B745}" name="Table10" displayName="Table10" ref="A6:Q67" totalsRowShown="0" headerRowDxfId="7529" headerRowBorderDxfId="7528" tableBorderDxfId="7527">
  <autoFilter ref="A6:Q67" xr:uid="{26544087-050A-43D9-BCFA-7D1EAED0B745}"/>
  <sortState xmlns:xlrd2="http://schemas.microsoft.com/office/spreadsheetml/2017/richdata2" ref="A7:Q67">
    <sortCondition ref="Q6:Q67"/>
  </sortState>
  <tableColumns count="17">
    <tableColumn id="1" xr3:uid="{0A72581F-5C8F-48A4-9017-D25619699D27}" name="NO" dataDxfId="7526"/>
    <tableColumn id="2" xr3:uid="{A4D3A666-F6E5-4E45-B390-9B58BD8CA26F}" name="NOPES" dataDxfId="7525"/>
    <tableColumn id="3" xr3:uid="{297814A7-BE4F-420F-86F9-56E67A25A1DA}" name="NIS" dataDxfId="7524"/>
    <tableColumn id="4" xr3:uid="{F321116C-EBAE-4204-8BFA-1E759774B2B1}" name="NAMA" dataDxfId="7523"/>
    <tableColumn id="5" xr3:uid="{0F0232B5-84D0-4D8D-B1F0-EE46C1E05F80}" name="ASR" dataDxfId="7522"/>
    <tableColumn id="6" xr3:uid="{CF483620-8F14-420E-BB33-FB5E9F3A7450}" name="KLS" dataDxfId="7521"/>
    <tableColumn id="7" xr3:uid="{A580C862-3E3B-4D72-A475-CDD090E12EC7}" name="RUANG" dataDxfId="7520"/>
    <tableColumn id="8" xr3:uid="{871D46F1-F984-44E2-8C74-B28B88FC1D6C}" name="مبادئ الفقه" dataDxfId="7519"/>
    <tableColumn id="9" xr3:uid="{C747C072-CD90-40F8-9D06-C6DE7E4A9C84}" name="رابطة الحروف" dataDxfId="7518"/>
    <tableColumn id="10" xr3:uid="{657EB466-384E-4147-B956-6E767085DFF5}" name="عقيدة التوحيد" dataDxfId="7517"/>
    <tableColumn id="11" xr3:uid="{61F1C227-4294-4757-B6B6-F1FE8DE8826F}" name="اللغة العربية" dataDxfId="7516"/>
    <tableColumn id="12" xr3:uid="{F1FE75E9-1C55-448E-AFCF-EAA452765398}" name="تحفة الاطفال" dataDxfId="7515"/>
    <tableColumn id="13" xr3:uid="{F2CC780B-1126-4311-BBF0-AA374340884B}" name="خلاصة نور اليقين" dataDxfId="7514"/>
    <tableColumn id="14" xr3:uid="{C35F32DA-14F2-40FE-87FF-1782F7A224FC}" name="إملاء" dataDxfId="7513"/>
    <tableColumn id="15" xr3:uid="{6969E4C9-6574-4042-B465-F13C48F6695C}" name="جملة" dataDxfId="7512">
      <calculatedColumnFormula>SUBTOTAL(9,I7:N7)</calculatedColumnFormula>
    </tableColumn>
    <tableColumn id="16" xr3:uid="{F4554F15-CA4F-4842-BB65-929BAC7C6389}" name="ألتسوية" dataDxfId="7511">
      <calculatedColumnFormula>O7/7</calculatedColumnFormula>
    </tableColumn>
    <tableColumn id="17" xr3:uid="{70225116-0F05-44AE-A70D-07C6B9701743}" name="الترتيب" dataDxfId="7510">
      <calculatedColumnFormula>RANK(P7,P$7:P$311,0)</calculatedColumnFormula>
    </tableColumn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17BDCF-6E05-4F93-85CA-2479A689A9B2}" name="Table11" displayName="Table11" ref="A6:Q69" totalsRowShown="0" headerRowDxfId="7257" headerRowBorderDxfId="7256" tableBorderDxfId="7255">
  <autoFilter ref="A6:Q69" xr:uid="{5D17BDCF-6E05-4F93-85CA-2479A689A9B2}"/>
  <sortState xmlns:xlrd2="http://schemas.microsoft.com/office/spreadsheetml/2017/richdata2" ref="A7:Q69">
    <sortCondition ref="Q6:Q69"/>
  </sortState>
  <tableColumns count="17">
    <tableColumn id="1" xr3:uid="{BF2926E1-0DB2-4E0C-9282-06C9DDEA1D0A}" name="NO" dataDxfId="7254"/>
    <tableColumn id="2" xr3:uid="{50292631-0016-4B17-84C4-BAD9784B9B7A}" name="NOPES" dataDxfId="7253"/>
    <tableColumn id="3" xr3:uid="{73BC9C68-D4DA-4EC4-9A7A-4B088262D9C1}" name="NIS" dataDxfId="7252"/>
    <tableColumn id="4" xr3:uid="{3974FF33-2320-430B-9AB3-23599590436C}" name="NAMA" dataDxfId="7251"/>
    <tableColumn id="5" xr3:uid="{C0D5641A-B63F-4E6E-A814-68E54FFB8B55}" name="ASR" dataDxfId="7250"/>
    <tableColumn id="6" xr3:uid="{056B88D8-E9CF-4CA7-8F70-7ADD01BD645A}" name="KLS" dataDxfId="7249"/>
    <tableColumn id="7" xr3:uid="{577A4EB8-A3CA-4F3C-A7CA-C8B57991F6B6}" name="RUANG" dataDxfId="7248"/>
    <tableColumn id="8" xr3:uid="{8B7E4470-FD6F-4C38-BB3E-7987E2ABE1FA}" name="مبادئ الفقه" dataDxfId="7247"/>
    <tableColumn id="9" xr3:uid="{25471F79-A2E2-43B8-8C6C-5BDC982D4FC9}" name="رابطة الحروف" dataDxfId="7246"/>
    <tableColumn id="10" xr3:uid="{ABE9E6A4-A407-4113-9B71-70CCE7C4D3CA}" name="عقيدة التوحيد" dataDxfId="7245"/>
    <tableColumn id="11" xr3:uid="{2D7783B0-1876-4CC6-8D5F-BFE9A61436DD}" name="اللغة العربية" dataDxfId="7244"/>
    <tableColumn id="12" xr3:uid="{22788388-DB5C-4DC8-8A12-4816E75EAE1B}" name="تحفة الاطفال" dataDxfId="7243"/>
    <tableColumn id="13" xr3:uid="{BC51873F-E74D-49A8-BF14-DDF170E819CD}" name="خلاصة نور اليقين" dataDxfId="7242"/>
    <tableColumn id="14" xr3:uid="{01E1B0BD-9A16-46B4-B7DE-B1E7348056D5}" name="إملاء" dataDxfId="7241"/>
    <tableColumn id="15" xr3:uid="{DEEF2E04-4433-40A8-ACF4-1EB7A255B751}" name="جملة" dataDxfId="7240">
      <calculatedColumnFormula>SUBTOTAL(9,I7:N7)</calculatedColumnFormula>
    </tableColumn>
    <tableColumn id="16" xr3:uid="{CEB7E564-A9E3-4547-981C-A51902FE3C47}" name="ألتسوية" dataDxfId="7239">
      <calculatedColumnFormula>O7/7</calculatedColumnFormula>
    </tableColumn>
    <tableColumn id="17" xr3:uid="{BDC554E6-8917-41A5-B6C4-612E91352898}" name="الترتيب" dataDxfId="7238">
      <calculatedColumnFormula>RANK(P7,P$7:P$311,0)</calculatedColumnFormula>
    </tableColumn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71C9CD1-9516-44E6-B7F2-C79EB09ACD1E}" name="Table12" displayName="Table12" ref="A6:Q66" totalsRowShown="0" headerRowDxfId="6997" headerRowBorderDxfId="6996" tableBorderDxfId="6995">
  <autoFilter ref="A6:Q66" xr:uid="{671C9CD1-9516-44E6-B7F2-C79EB09ACD1E}"/>
  <sortState xmlns:xlrd2="http://schemas.microsoft.com/office/spreadsheetml/2017/richdata2" ref="A7:Q66">
    <sortCondition ref="Q6:Q66"/>
  </sortState>
  <tableColumns count="17">
    <tableColumn id="1" xr3:uid="{E17A64AC-7C74-41E6-B710-5FCEA5E318ED}" name="NO" dataDxfId="6994"/>
    <tableColumn id="2" xr3:uid="{410CD08A-7C73-4240-A633-78B852D171E4}" name="NOPES" dataDxfId="6993"/>
    <tableColumn id="3" xr3:uid="{6EEE5A86-FEF7-47A9-82F2-327CC5C65767}" name="NIS" dataDxfId="6992"/>
    <tableColumn id="4" xr3:uid="{A5C16ED7-A316-4A5A-8DFD-7983ADA190BE}" name="NAMA" dataDxfId="6991"/>
    <tableColumn id="5" xr3:uid="{60465131-9076-4460-BF0A-080D9898D174}" name="ASR" dataDxfId="6990"/>
    <tableColumn id="6" xr3:uid="{F2185CD7-385F-4D61-906E-8765CC53E67F}" name="KLS" dataDxfId="6989"/>
    <tableColumn id="7" xr3:uid="{4F729399-CDE3-4137-AE7F-0275D573C840}" name="RUANG" dataDxfId="6988"/>
    <tableColumn id="8" xr3:uid="{7FF9CE1E-76B4-4EC4-81CE-5799208E2A34}" name="مبادئ الفقه" dataDxfId="6987"/>
    <tableColumn id="9" xr3:uid="{FA8C8E70-EDCD-4A04-8AEB-28FB88DA1DA7}" name="رابطة الحروف" dataDxfId="6986"/>
    <tableColumn id="10" xr3:uid="{BA8FC530-D6CE-44AE-8461-8EF60CCF0E6B}" name="عقيدة التوحيد" dataDxfId="6985"/>
    <tableColumn id="11" xr3:uid="{C75095BF-8E16-4044-8BA8-742D62BB682B}" name="اللغة العربية" dataDxfId="6984"/>
    <tableColumn id="12" xr3:uid="{3FD280A2-2B19-41DA-9E30-8E37F48B40DA}" name="تحفة الاطفال" dataDxfId="6983"/>
    <tableColumn id="13" xr3:uid="{33BA25EE-71A2-4D00-9853-1A22C73A8386}" name="خلاصة نور اليقين" dataDxfId="6982"/>
    <tableColumn id="14" xr3:uid="{95B8643E-62D7-42EC-B193-FB9A7AA529EC}" name="إملاء" dataDxfId="6981"/>
    <tableColumn id="15" xr3:uid="{4E0BCBBF-C02C-49DC-86EA-39611C0E7608}" name="جملة" dataDxfId="6980">
      <calculatedColumnFormula>SUBTOTAL(9,I7:N7)</calculatedColumnFormula>
    </tableColumn>
    <tableColumn id="16" xr3:uid="{92418F3A-79DA-440E-A331-36B8BF9A757E}" name="ألتسوية" dataDxfId="6979">
      <calculatedColumnFormula>O7/7</calculatedColumnFormula>
    </tableColumn>
    <tableColumn id="17" xr3:uid="{A45E86EE-D256-4026-82E1-D70260A89C7F}" name="الترتيب" dataDxfId="6978">
      <calculatedColumnFormula>RANK(P7,P$7:P$311,0)</calculatedColumnFormula>
    </tableColumn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0C12C01-31B3-4762-B40E-BD679AC6FE72}" name="Table13" displayName="Table13" ref="A6:Q66" totalsRowShown="0" headerRowDxfId="6737" headerRowBorderDxfId="6736" tableBorderDxfId="6735">
  <autoFilter ref="A6:Q66" xr:uid="{50C12C01-31B3-4762-B40E-BD679AC6FE72}"/>
  <sortState xmlns:xlrd2="http://schemas.microsoft.com/office/spreadsheetml/2017/richdata2" ref="A7:Q66">
    <sortCondition ref="Q6:Q66"/>
  </sortState>
  <tableColumns count="17">
    <tableColumn id="1" xr3:uid="{CFC8A79E-B23F-499F-A5B9-CE0E086814BA}" name="NO" dataDxfId="6734"/>
    <tableColumn id="2" xr3:uid="{992355A1-CC99-45FF-9033-A6D646BCE70E}" name="NOPES" dataDxfId="6733"/>
    <tableColumn id="3" xr3:uid="{A9FB414F-15E4-469B-B97B-9B3EC0017EC5}" name="NIS" dataDxfId="6732"/>
    <tableColumn id="4" xr3:uid="{9F041367-A365-4E1F-88D0-AF7EE1F76400}" name="NAMA" dataDxfId="6731"/>
    <tableColumn id="5" xr3:uid="{BAFAE253-FD59-4B23-997C-7874AF6F67AE}" name="ASR" dataDxfId="6730"/>
    <tableColumn id="6" xr3:uid="{646D680D-A8BB-4213-8AAA-766C1CC604F9}" name="KLS" dataDxfId="6729"/>
    <tableColumn id="7" xr3:uid="{4CC81192-674A-49C5-99D9-D8759C26AA2C}" name="RUANG" dataDxfId="6728"/>
    <tableColumn id="8" xr3:uid="{EAD97E0F-4F78-4FC1-A21D-D4164C946A99}" name="مبادئ الفقه" dataDxfId="6727"/>
    <tableColumn id="9" xr3:uid="{A2C8BFCF-FC73-4F59-B860-83C72F9676A1}" name="رابطة الحروف" dataDxfId="6726"/>
    <tableColumn id="10" xr3:uid="{CFF5608B-598E-4A90-837E-FA4D942EDC42}" name="عقيدة التوحيد" dataDxfId="6725"/>
    <tableColumn id="11" xr3:uid="{BEFF95E0-4E12-4FCA-A165-EC859982A186}" name="اللغة العربية" dataDxfId="6724"/>
    <tableColumn id="12" xr3:uid="{6C795689-3270-4A18-B8BB-E23C220AE21D}" name="تحفة الاطفال" dataDxfId="6723"/>
    <tableColumn id="13" xr3:uid="{32E264E5-CBCB-4FAB-A150-E9DBAF738F60}" name="خلاصة نور اليقين" dataDxfId="6722"/>
    <tableColumn id="14" xr3:uid="{2A102671-8898-431B-B26C-8D4E104B75A4}" name="إملاء" dataDxfId="6721"/>
    <tableColumn id="15" xr3:uid="{40DDFACC-090F-4843-A435-3BAEA9550134}" name="جملة" dataDxfId="6720">
      <calculatedColumnFormula>SUBTOTAL(9,I7:N7)</calculatedColumnFormula>
    </tableColumn>
    <tableColumn id="16" xr3:uid="{FA9456D3-3465-4D4E-9197-894C113FB007}" name="ألتسوية" dataDxfId="6719">
      <calculatedColumnFormula>O7/7</calculatedColumnFormula>
    </tableColumn>
    <tableColumn id="17" xr3:uid="{0ED9351D-4071-4650-B31C-1D35911A8481}" name="الترتيب" dataDxfId="6718">
      <calculatedColumnFormula>RANK(P7,P$7:P$311,0)</calculatedColumnFormula>
    </tableColumn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A9478B0-B2CF-4EB3-B871-8CCEAF2443AD}" name="Table14" displayName="Table14" ref="A6:Q62" totalsRowShown="0" headerRowDxfId="6493" headerRowBorderDxfId="6492" tableBorderDxfId="6491">
  <autoFilter ref="A6:Q62" xr:uid="{FA9478B0-B2CF-4EB3-B871-8CCEAF2443AD}"/>
  <sortState xmlns:xlrd2="http://schemas.microsoft.com/office/spreadsheetml/2017/richdata2" ref="A7:Q62">
    <sortCondition ref="Q6:Q62"/>
  </sortState>
  <tableColumns count="17">
    <tableColumn id="1" xr3:uid="{62E49499-6B1D-4029-B250-A72ADA192BFA}" name="NO" dataDxfId="6490"/>
    <tableColumn id="2" xr3:uid="{A348C014-2D05-480E-BB1C-44922B1AC27C}" name="NOPES" dataDxfId="6489"/>
    <tableColumn id="3" xr3:uid="{35260D83-1CA3-4BFD-9461-A8DCFDE3B584}" name="NIS" dataDxfId="6488"/>
    <tableColumn id="4" xr3:uid="{36E4D3F0-9C96-4AF6-9466-06C3E9A77654}" name="NAMA" dataDxfId="6487"/>
    <tableColumn id="5" xr3:uid="{DFECA242-D445-4269-A177-1D6FED1C6488}" name="ASR" dataDxfId="6486"/>
    <tableColumn id="6" xr3:uid="{7C392E87-09DB-4B0A-B03D-9BB051BC4481}" name="KLS" dataDxfId="6485"/>
    <tableColumn id="7" xr3:uid="{5AA7F497-2A4D-4BF0-9138-93488892C786}" name="RUANG" dataDxfId="6484"/>
    <tableColumn id="8" xr3:uid="{70D14A74-9BF4-44EB-A863-753EE9A7D54D}" name="مبادئ الفقه" dataDxfId="6483"/>
    <tableColumn id="9" xr3:uid="{139D5C95-B4EE-4336-AA6C-36E56A00CF2A}" name="خريدة البهية" dataDxfId="6482"/>
    <tableColumn id="10" xr3:uid="{C95F2223-A536-42C4-89E8-CB36CF5DD915}" name="هداية المستفيد" dataDxfId="6481"/>
    <tableColumn id="11" xr3:uid="{B4168861-4661-46B8-ADB3-AFFDD657CFCE}" name="اللغة العربية" dataDxfId="6480"/>
    <tableColumn id="12" xr3:uid="{EEF21BC4-43D2-4592-9544-5665D5114260}" name=" قاعدة متن الأجرومية" dataDxfId="6479"/>
    <tableColumn id="13" xr3:uid="{7765FD47-C415-4273-A778-F25293CE034A}" name="خلاصة نور اليقين" dataDxfId="6478"/>
    <tableColumn id="14" xr3:uid="{97AC4259-9C10-4AFF-8F58-40423EDFFE78}" name="إملاء" dataDxfId="6477"/>
    <tableColumn id="15" xr3:uid="{E15B81C0-8F72-4C87-B365-605E3C89D536}" name="جملة" dataDxfId="6476">
      <calculatedColumnFormula>SUBTOTAL(9,H7:N7)</calculatedColumnFormula>
    </tableColumn>
    <tableColumn id="16" xr3:uid="{E12F5A72-796F-4FBF-BAA7-A3C5BF748422}" name="ألتسوية" dataDxfId="6475">
      <calculatedColumnFormula>O7/7</calculatedColumnFormula>
    </tableColumn>
    <tableColumn id="17" xr3:uid="{81F83D98-3AD0-4A99-A3F4-CCF5E3600B5C}" name="الترتيب" dataDxfId="6474">
      <calculatedColumnFormula>RANK(P7,P$7:P$286,0)</calculatedColumnFormula>
    </tableColumn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524964D-E575-44C9-94B6-F8AFC847EC75}" name="Table15" displayName="Table15" ref="A6:Q62" totalsRowShown="0" headerRowDxfId="6249" headerRowBorderDxfId="6248" tableBorderDxfId="6247">
  <autoFilter ref="A6:Q62" xr:uid="{A524964D-E575-44C9-94B6-F8AFC847EC75}"/>
  <sortState xmlns:xlrd2="http://schemas.microsoft.com/office/spreadsheetml/2017/richdata2" ref="A7:Q62">
    <sortCondition ref="Q6:Q62"/>
  </sortState>
  <tableColumns count="17">
    <tableColumn id="1" xr3:uid="{C37A63DE-92C5-4859-A560-4A6A07A9F51B}" name="NO" dataDxfId="6246"/>
    <tableColumn id="2" xr3:uid="{DC2214C6-2465-464A-AD7C-FBBDE1CFD3E7}" name="NOPES" dataDxfId="6245"/>
    <tableColumn id="3" xr3:uid="{CB0473AE-746D-48C4-A453-803EFFCA05E5}" name="NIS" dataDxfId="6244"/>
    <tableColumn id="4" xr3:uid="{9874FBA1-B003-45AB-8D1F-6AEFCA102539}" name="NAMA" dataDxfId="6243"/>
    <tableColumn id="5" xr3:uid="{988CD0E5-950C-4FFE-A2B9-3249AED13BAD}" name="ASR" dataDxfId="6242"/>
    <tableColumn id="6" xr3:uid="{EB73EA9C-6CB5-4119-BE74-DC615842050E}" name="KLS" dataDxfId="6241"/>
    <tableColumn id="7" xr3:uid="{8AA368C3-6EE0-4190-A16E-E3BBE17138DD}" name="RUANG" dataDxfId="6240"/>
    <tableColumn id="8" xr3:uid="{28634F89-31C2-4DE8-A760-272C3C115C99}" name="مبادئ الفقه" dataDxfId="6239"/>
    <tableColumn id="9" xr3:uid="{0FBFCB89-AF37-4A9A-A972-5975350F9365}" name="خريدة البهية" dataDxfId="6238"/>
    <tableColumn id="10" xr3:uid="{47D38E9D-75A6-4C77-BCB7-7196EAC92B0D}" name="هداية المستفيد" dataDxfId="6237"/>
    <tableColumn id="11" xr3:uid="{E3C67ABB-DF27-4EAF-99FA-FA00DF351D5E}" name="اللغة العربية" dataDxfId="6236"/>
    <tableColumn id="12" xr3:uid="{2E6B481C-AE0C-4C98-8194-82BDD0523B70}" name=" قاعدة متن الأجرومية" dataDxfId="6235"/>
    <tableColumn id="13" xr3:uid="{824D159C-E4B2-43EE-8CFE-771B4FBF3D55}" name="خلاصة نور اليقين" dataDxfId="6234"/>
    <tableColumn id="14" xr3:uid="{6AF5DFE9-4AB4-4D2F-B083-703A053F5352}" name="إملاء" dataDxfId="6233"/>
    <tableColumn id="15" xr3:uid="{B8D2A95F-0D9C-4715-A820-303C12FED76C}" name="جملة" dataDxfId="6232">
      <calculatedColumnFormula>SUBTOTAL(9,H7:N7)</calculatedColumnFormula>
    </tableColumn>
    <tableColumn id="16" xr3:uid="{42474F34-F84B-4BAE-9ED4-87B3239C519C}" name="ألتسوية" dataDxfId="6231">
      <calculatedColumnFormula>O7/7</calculatedColumnFormula>
    </tableColumn>
    <tableColumn id="17" xr3:uid="{3EC38E9D-F061-4526-8E47-F5F8F3D16126}" name="الترتيب" dataDxfId="6230">
      <calculatedColumnFormula>RANK(P7,P$7:P$286,0)</calculatedColumnFormula>
    </tableColumn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09D40DD-26DC-43FD-8B47-2A18101F7CF6}" name="Table16" displayName="Table16" ref="A6:Q62" totalsRowShown="0" headerRowDxfId="6005" headerRowBorderDxfId="6004" tableBorderDxfId="6003">
  <autoFilter ref="A6:Q62" xr:uid="{D09D40DD-26DC-43FD-8B47-2A18101F7CF6}"/>
  <sortState xmlns:xlrd2="http://schemas.microsoft.com/office/spreadsheetml/2017/richdata2" ref="A7:Q62">
    <sortCondition ref="Q6:Q62"/>
  </sortState>
  <tableColumns count="17">
    <tableColumn id="1" xr3:uid="{875E70DC-5AB9-446F-A068-3C2AE781F8AD}" name="NO" dataDxfId="6002"/>
    <tableColumn id="2" xr3:uid="{DF655369-ADE3-474B-ADAD-84E4A4F07197}" name="NOPES" dataDxfId="6001"/>
    <tableColumn id="3" xr3:uid="{3E8FD51C-F4AB-4E15-9975-E399B8C5E804}" name="NIS" dataDxfId="6000"/>
    <tableColumn id="4" xr3:uid="{AB585E98-7D18-4DBD-A365-6E1208132EA7}" name="NAMA" dataDxfId="5999"/>
    <tableColumn id="5" xr3:uid="{831CA4F9-6920-4417-AFB8-72E7A04E6EB1}" name="ASR" dataDxfId="5998"/>
    <tableColumn id="6" xr3:uid="{2D8B4DB0-16F6-49E1-ACB2-509007AAA8E1}" name="KLS" dataDxfId="5997"/>
    <tableColumn id="7" xr3:uid="{7B281399-E321-47C7-B888-107F48ACBCE7}" name="RUANG" dataDxfId="5996"/>
    <tableColumn id="8" xr3:uid="{766BB443-3123-4472-8BFC-6358292E5AAF}" name="مبادئ الفقه" dataDxfId="5995"/>
    <tableColumn id="9" xr3:uid="{97331EA2-E7BE-466A-938A-0EE1AE62110E}" name="خريدة البهية" dataDxfId="5994"/>
    <tableColumn id="10" xr3:uid="{8C811F86-E3B5-40D8-B575-0BE635CF5B2C}" name="هداية المستفيد" dataDxfId="5993"/>
    <tableColumn id="11" xr3:uid="{3B50195C-FBA9-44F0-92D1-43584F6EF729}" name="اللغة العربية" dataDxfId="5992"/>
    <tableColumn id="12" xr3:uid="{AF7839A0-0331-4797-B6F9-32F33C628511}" name=" قاعدة متن الأجرومية" dataDxfId="5991"/>
    <tableColumn id="13" xr3:uid="{37F51965-2E05-4F0B-B465-D0F9D95FB3FD}" name="خلاصة نور اليقين" dataDxfId="5990"/>
    <tableColumn id="14" xr3:uid="{042E5F02-3A5C-4431-B53C-35823BFA9D48}" name="إملاء" dataDxfId="5989"/>
    <tableColumn id="15" xr3:uid="{AF498588-DEBD-4145-A46C-D8D2241B3FFC}" name="جملة" dataDxfId="5988">
      <calculatedColumnFormula>SUBTOTAL(9,H7:N7)</calculatedColumnFormula>
    </tableColumn>
    <tableColumn id="16" xr3:uid="{82E04A88-BD4E-410B-988D-397DB122B59B}" name="ألتسوية" dataDxfId="5987">
      <calculatedColumnFormula>O7/7</calculatedColumnFormula>
    </tableColumn>
    <tableColumn id="17" xr3:uid="{9ECC6BCC-916A-404D-A48B-14DA07A4973E}" name="الترتيب" dataDxfId="5986">
      <calculatedColumnFormula>RANK(P7,P$7:P$286,0)</calculatedColumnFormula>
    </tableColumn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186D879-99CB-4D41-9580-8DBD20B822FB}" name="Table17" displayName="Table17" ref="A6:Q62" totalsRowShown="0" headerRowDxfId="5761" headerRowBorderDxfId="5760" tableBorderDxfId="5759">
  <autoFilter ref="A6:Q62" xr:uid="{3186D879-99CB-4D41-9580-8DBD20B822FB}"/>
  <sortState xmlns:xlrd2="http://schemas.microsoft.com/office/spreadsheetml/2017/richdata2" ref="A7:Q62">
    <sortCondition ref="Q6:Q62"/>
  </sortState>
  <tableColumns count="17">
    <tableColumn id="1" xr3:uid="{37591754-8E3F-4CFE-9CA7-88534DA2D559}" name="NO" dataDxfId="5758"/>
    <tableColumn id="2" xr3:uid="{5CCDE411-8E2D-4E07-BF4B-1CF5684C5424}" name="NOPES" dataDxfId="5757"/>
    <tableColumn id="3" xr3:uid="{ED3B0431-95E7-4AD6-9DCE-8C9C9D9E097C}" name="NIS" dataDxfId="5756"/>
    <tableColumn id="4" xr3:uid="{FED0EBB3-6CC1-4D97-855E-EDA2572E152D}" name="NAMA" dataDxfId="5755"/>
    <tableColumn id="5" xr3:uid="{2CC09BEB-338B-40F3-A64D-BE0D9B2C425E}" name="ASR" dataDxfId="5754"/>
    <tableColumn id="6" xr3:uid="{BA4F20C7-F499-43AB-88A7-8FDF9E80FD33}" name="KLS" dataDxfId="5753"/>
    <tableColumn id="7" xr3:uid="{0DAFC9CB-841E-4796-88DE-1645AC43DB4D}" name="RUANG" dataDxfId="5752"/>
    <tableColumn id="8" xr3:uid="{52336749-C76E-479A-9965-142F86674C61}" name="مبادئ الفقه" dataDxfId="5751"/>
    <tableColumn id="9" xr3:uid="{588E7AF7-3AA8-44E9-ACA6-DA4EE698487B}" name="خريدة البهية" dataDxfId="5750"/>
    <tableColumn id="10" xr3:uid="{C3F0332E-3CF5-4FBE-AAA8-5741876AF338}" name="هداية المستفيد" dataDxfId="5749"/>
    <tableColumn id="11" xr3:uid="{608DECBC-A9B9-4001-8026-07673014D0DF}" name="اللغة العربية" dataDxfId="5748"/>
    <tableColumn id="12" xr3:uid="{C4A47391-2FF8-437D-9134-5CF82AC00152}" name=" قاعدة متن الأجرومية" dataDxfId="5747"/>
    <tableColumn id="13" xr3:uid="{45EF5FF2-A172-471A-909D-7C358A6A252E}" name="خلاصة نور اليقين" dataDxfId="5746"/>
    <tableColumn id="14" xr3:uid="{84241A3F-849E-429B-AC9F-09BAF4F4E3C6}" name="إملاء" dataDxfId="5745"/>
    <tableColumn id="15" xr3:uid="{88FFD49B-5E7F-4ADD-B0D5-17CBE2D8D744}" name="جملة" dataDxfId="5744">
      <calculatedColumnFormula>SUBTOTAL(9,H7:N7)</calculatedColumnFormula>
    </tableColumn>
    <tableColumn id="16" xr3:uid="{A174FDF7-D0C6-4998-AD88-882E431AC278}" name="ألتسوية" dataDxfId="5743">
      <calculatedColumnFormula>O7/7</calculatedColumnFormula>
    </tableColumn>
    <tableColumn id="17" xr3:uid="{A6B1FDD1-E1A5-45D5-B2B3-18E9F6709662}" name="الترتيب" dataDxfId="5742">
      <calculatedColumnFormula>RANK(P7,P$7:P$286,0)</calculatedColumnFormula>
    </tableColumn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96988F7-3529-480E-8DF7-077305C57A45}" name="Table18" displayName="Table18" ref="A6:Q62" totalsRowShown="0" headerRowDxfId="5517" headerRowBorderDxfId="5516" tableBorderDxfId="5515">
  <autoFilter ref="A6:Q62" xr:uid="{896988F7-3529-480E-8DF7-077305C57A45}"/>
  <sortState xmlns:xlrd2="http://schemas.microsoft.com/office/spreadsheetml/2017/richdata2" ref="A7:Q62">
    <sortCondition ref="Q6:Q62"/>
  </sortState>
  <tableColumns count="17">
    <tableColumn id="1" xr3:uid="{4E3E4C58-EAE4-4E0D-AEF7-829333FED177}" name="NO" dataDxfId="5514"/>
    <tableColumn id="2" xr3:uid="{9D3840B6-1523-4A9C-A8A5-F62B4D9CB48C}" name="NOPES" dataDxfId="5513"/>
    <tableColumn id="3" xr3:uid="{D8C91E71-BAC7-4B3A-8C5F-2FA0E1955088}" name="NIS" dataDxfId="5512"/>
    <tableColumn id="4" xr3:uid="{CE531255-82FF-49D6-9657-F7E63AA542DA}" name="NAMA" dataDxfId="5511"/>
    <tableColumn id="5" xr3:uid="{274AD924-3C8F-4733-8A45-57A869F3347C}" name="ASR" dataDxfId="5510"/>
    <tableColumn id="6" xr3:uid="{F4A70158-96B1-41DD-BDA5-F9865745EA1C}" name="KLS" dataDxfId="5509"/>
    <tableColumn id="7" xr3:uid="{8A8DA5A8-2C37-4C49-AA02-4B3AE574DF20}" name="RUANG" dataDxfId="5508"/>
    <tableColumn id="8" xr3:uid="{5DC197A5-22EF-4D4B-8BC9-0CB38F57C459}" name="مبادئ الفقه" dataDxfId="5507"/>
    <tableColumn id="9" xr3:uid="{13DC4590-484A-42D1-9E35-0E19A64E4398}" name="خريدة البهية" dataDxfId="5506"/>
    <tableColumn id="10" xr3:uid="{EEF731C2-C35A-4FF1-A81C-24E072E78710}" name="هداية المستفيد" dataDxfId="5505"/>
    <tableColumn id="11" xr3:uid="{AC11BFF7-C226-4D41-AC23-C53119C2F16E}" name="اللغة العربية" dataDxfId="5504"/>
    <tableColumn id="12" xr3:uid="{58194676-249E-484E-9A3F-DE2C01ADA97D}" name=" قاعدة متن الأجرومية" dataDxfId="5503"/>
    <tableColumn id="13" xr3:uid="{9ED21161-246A-4872-9C13-01541AA9F39E}" name="خلاصة نور اليقين" dataDxfId="5502"/>
    <tableColumn id="14" xr3:uid="{CA145147-E0C6-4A84-8A1B-AF3A6B285E96}" name="إملاء" dataDxfId="5501"/>
    <tableColumn id="15" xr3:uid="{49C9E6FA-691C-48AA-B4D1-7C8106B9A2A5}" name="جملة" dataDxfId="5500">
      <calculatedColumnFormula>SUBTOTAL(9,H7:N7)</calculatedColumnFormula>
    </tableColumn>
    <tableColumn id="16" xr3:uid="{83F3C4D4-F59E-4862-AE3F-7D443AF62ABC}" name="ألتسوية" dataDxfId="5499">
      <calculatedColumnFormula>O7/7</calculatedColumnFormula>
    </tableColumn>
    <tableColumn id="17" xr3:uid="{9D5B2249-4FAB-4B89-AB9E-10C92B3E7676}" name="الترتيب" dataDxfId="5498">
      <calculatedColumnFormula>RANK(P7,P$7:P$286,0)</calculatedColumnFormula>
    </tableColumn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FE4E8CF-C021-4F38-9866-B36246314FAE}" name="Table19" displayName="Table19" ref="A6:P68" totalsRowShown="0" headerRowDxfId="5249" headerRowBorderDxfId="5248" tableBorderDxfId="5247">
  <autoFilter ref="A6:P68" xr:uid="{BFE4E8CF-C021-4F38-9866-B36246314FAE}"/>
  <sortState xmlns:xlrd2="http://schemas.microsoft.com/office/spreadsheetml/2017/richdata2" ref="A7:P68">
    <sortCondition ref="P6:P68"/>
  </sortState>
  <tableColumns count="16">
    <tableColumn id="1" xr3:uid="{FD9B77FF-92BB-4657-B104-3CB8BBBAD209}" name="NO" dataDxfId="5246"/>
    <tableColumn id="2" xr3:uid="{1F57ECBC-CAC1-49D3-96E6-3ADB5D8C1B90}" name="NOPES" dataDxfId="5245"/>
    <tableColumn id="3" xr3:uid="{0FE4EFE0-F2B8-42FE-872E-0938A285CD7B}" name="NIS" dataDxfId="5244"/>
    <tableColumn id="4" xr3:uid="{021879D7-0C48-4CF2-9CF7-FD097C27A243}" name="NAMA" dataDxfId="5243"/>
    <tableColumn id="5" xr3:uid="{E55FFDB9-372C-4361-A0A0-7583A1F3E6C6}" name="ASR" dataDxfId="5242"/>
    <tableColumn id="6" xr3:uid="{56AD82E2-5F47-491A-BFD5-B4F5471B8EC8}" name="KLS" dataDxfId="5241"/>
    <tableColumn id="7" xr3:uid="{D0245DA4-4794-4369-9CCE-9222E72D2089}" name="RUANG" dataDxfId="5240"/>
    <tableColumn id="8" xr3:uid="{B59D5533-4488-43F3-AD7C-8A8B7D31E2BD}" name="إملاء" dataDxfId="5239"/>
    <tableColumn id="9" xr3:uid="{B8A4E314-DD53-436B-B369-662F147FD387}" name="جواهر الكلامية" dataDxfId="5238"/>
    <tableColumn id="10" xr3:uid="{0B6A59F4-AE1D-41ED-B709-E3BDB0BB30EC}" name="التصريف" dataDxfId="5237"/>
    <tableColumn id="11" xr3:uid="{711CAF10-CE69-47A2-8679-B5364CC62DBF}" name="رياض البديعة" dataDxfId="5236"/>
    <tableColumn id="12" xr3:uid="{FCBFD8EA-72CB-4D29-84B3-320DA9885C00}" name="خلاصة نور اليقين" dataDxfId="5235"/>
    <tableColumn id="13" xr3:uid="{0AC992E0-959D-4310-BB6D-ED4ECBAF27AE}" name="مختصر جدا" dataDxfId="5234"/>
    <tableColumn id="14" xr3:uid="{806DA761-F081-454F-AFD5-7804D6F3B6EB}" name="جملة" dataDxfId="5233">
      <calculatedColumnFormula>SUBTOTAL(9,H7:M7)</calculatedColumnFormula>
    </tableColumn>
    <tableColumn id="15" xr3:uid="{EDC76757-E607-4796-BABB-4ED2124CF4D9}" name="ألتسوية" dataDxfId="5232">
      <calculatedColumnFormula>N7/6</calculatedColumnFormula>
    </tableColumn>
    <tableColumn id="16" xr3:uid="{CB3FCFDA-4785-486B-B0AC-1FF08C5EC158}" name="الترتيب" dataDxfId="5231">
      <calculatedColumnFormula>RANK(O7,O$7:O$310,0)</calculatedColumnFormula>
    </tableColumn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F94791F-AFCD-41A9-9DF7-3F17DFFB1E00}" name="Table20" displayName="Table20" ref="A6:P66" totalsRowShown="0" headerRowDxfId="4990" headerRowBorderDxfId="4989" tableBorderDxfId="4988">
  <autoFilter ref="A6:P66" xr:uid="{AF94791F-AFCD-41A9-9DF7-3F17DFFB1E00}"/>
  <sortState xmlns:xlrd2="http://schemas.microsoft.com/office/spreadsheetml/2017/richdata2" ref="A7:P66">
    <sortCondition ref="P6:P66"/>
  </sortState>
  <tableColumns count="16">
    <tableColumn id="1" xr3:uid="{B2F2ED74-6CD4-4B07-8DC7-74FEA1C2EEAF}" name="NO" dataDxfId="4987"/>
    <tableColumn id="2" xr3:uid="{C5BEDDF5-65D3-4D78-8B0E-817240B9EE7F}" name="NOPES" dataDxfId="4986"/>
    <tableColumn id="3" xr3:uid="{37CCE98D-FDF6-4625-8119-E323D0C8437D}" name="NIS" dataDxfId="4985"/>
    <tableColumn id="4" xr3:uid="{D33C5EE1-5E8C-43C0-AD44-C1DAD88AC0F9}" name="NAMA" dataDxfId="4984"/>
    <tableColumn id="5" xr3:uid="{F560F0A9-60A6-4BC3-977D-1CE9DE1075D2}" name="ASR" dataDxfId="4983"/>
    <tableColumn id="6" xr3:uid="{AB698EC6-6695-4A5E-8109-908379F605D0}" name="KLS" dataDxfId="4982"/>
    <tableColumn id="7" xr3:uid="{CE07B367-61DA-4229-B052-B6F9564C0A38}" name="RUANG" dataDxfId="4981"/>
    <tableColumn id="8" xr3:uid="{09DA5809-0E4C-4BC5-B0C6-DE37A9D151A8}" name="إملاء" dataDxfId="4980"/>
    <tableColumn id="9" xr3:uid="{1CC700E4-E494-4E82-8737-0D8C64BE8230}" name="جواهر الكلامية" dataDxfId="4979"/>
    <tableColumn id="10" xr3:uid="{4EEB8017-0583-44FD-9257-2D7295A97EA2}" name="التصريف" dataDxfId="4978"/>
    <tableColumn id="11" xr3:uid="{4E862DF9-5E47-4250-A55A-2C6E93706B3E}" name="رياض البديعة" dataDxfId="4977"/>
    <tableColumn id="12" xr3:uid="{050B90D6-811C-497C-8883-E1AFC81205A9}" name="خلاصة نور اليقين" dataDxfId="4976"/>
    <tableColumn id="13" xr3:uid="{7024363E-67E8-43F1-9763-DBC3B816CED1}" name="مختصر جدا" dataDxfId="4975"/>
    <tableColumn id="14" xr3:uid="{49503555-776E-4B81-A3CF-2440061BD613}" name="جملة" dataDxfId="4974">
      <calculatedColumnFormula>SUBTOTAL(9,H7:M7)</calculatedColumnFormula>
    </tableColumn>
    <tableColumn id="15" xr3:uid="{D7D47344-627D-4A0A-8B14-57EDE0C4548C}" name="ألتسوية" dataDxfId="4973">
      <calculatedColumnFormula>N7/6</calculatedColumnFormula>
    </tableColumn>
    <tableColumn id="16" xr3:uid="{94DCCCA1-1AAF-4A99-9CEC-5E703BB50E9C}" name="الترتيب" dataDxfId="4972">
      <calculatedColumnFormula>RANK(O7,O$7:O$310,0)</calculatedColumnFormula>
    </tableColumn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623D296-65F9-469C-8BC0-691D6B76805E}" name="Table21" displayName="Table21" ref="A6:P67" totalsRowShown="0" headerRowDxfId="4727" headerRowBorderDxfId="4726" tableBorderDxfId="4725">
  <autoFilter ref="A6:P67" xr:uid="{A623D296-65F9-469C-8BC0-691D6B76805E}"/>
  <sortState xmlns:xlrd2="http://schemas.microsoft.com/office/spreadsheetml/2017/richdata2" ref="A7:P67">
    <sortCondition ref="P6:P67"/>
  </sortState>
  <tableColumns count="16">
    <tableColumn id="1" xr3:uid="{657E6B72-D86E-44B4-B5E2-DA4C7E33993F}" name="NO" dataDxfId="4724"/>
    <tableColumn id="2" xr3:uid="{8DDCB6D7-0B31-4CD0-B8D9-A6F31F665E54}" name="NOPES" dataDxfId="4723"/>
    <tableColumn id="3" xr3:uid="{172CF54E-3C4E-4642-AAF0-77CAADAE4B69}" name="NIS" dataDxfId="4722"/>
    <tableColumn id="4" xr3:uid="{5E6E6F44-F6FE-420A-A7DE-D2D7D16F9F08}" name="NAMA" dataDxfId="4721"/>
    <tableColumn id="5" xr3:uid="{DB803D29-9AEB-491F-BFF9-9CAABF4C1A1C}" name="ASR" dataDxfId="4720"/>
    <tableColumn id="6" xr3:uid="{77DE8472-0DAF-4A75-93AB-6FC27650B715}" name="KLS" dataDxfId="4719"/>
    <tableColumn id="7" xr3:uid="{7F3C71A8-53A6-400C-AAA8-49DA1DB64359}" name="RUANG" dataDxfId="4718"/>
    <tableColumn id="8" xr3:uid="{29C9F564-3178-48F3-8B17-9054665DB92B}" name="إملاء" dataDxfId="4717"/>
    <tableColumn id="9" xr3:uid="{0990EF9A-12B2-441A-A96E-C3CDA1A19527}" name="جواهر الكلامية" dataDxfId="4716"/>
    <tableColumn id="10" xr3:uid="{CC9181DF-12B3-46F6-8A80-B32F8DF4AB1B}" name="التصريف" dataDxfId="4715"/>
    <tableColumn id="11" xr3:uid="{69980C11-8592-4496-9FD3-BCC58F569258}" name="رياض البديعة" dataDxfId="4714"/>
    <tableColumn id="12" xr3:uid="{D3A08E88-81C2-4DEF-9948-6BB348B93937}" name="خلاصة نور اليقين" dataDxfId="4713"/>
    <tableColumn id="13" xr3:uid="{46DBF5D1-60EA-4387-B4F6-DF99688C9767}" name="مختصر جدا" dataDxfId="4712"/>
    <tableColumn id="14" xr3:uid="{35A73372-4322-4E75-8A7B-B88FBE31B90C}" name="جملة" dataDxfId="4711">
      <calculatedColumnFormula>SUBTOTAL(9,H7:M7)</calculatedColumnFormula>
    </tableColumn>
    <tableColumn id="15" xr3:uid="{C51698D8-EF0B-4F7C-82E8-1F9C23D56C83}" name="ألتسوية" dataDxfId="4710">
      <calculatedColumnFormula>N7/6</calculatedColumnFormula>
    </tableColumn>
    <tableColumn id="16" xr3:uid="{06B48F71-8DDF-483F-B357-5FE5C44BC76B}" name="الترتيب" dataDxfId="4709">
      <calculatedColumnFormula>RANK(O7,O$7:O$310,0)</calculatedColumnFormula>
    </tableColumn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30907F-CCCB-4046-97C9-1F2668366847}" name="Table5" displayName="Table5" ref="A6:P67" totalsRowShown="0" headerRowDxfId="4464" headerRowBorderDxfId="4463" tableBorderDxfId="4462">
  <autoFilter ref="A6:P67" xr:uid="{CD30907F-CCCB-4046-97C9-1F2668366847}"/>
  <sortState xmlns:xlrd2="http://schemas.microsoft.com/office/spreadsheetml/2017/richdata2" ref="A7:P67">
    <sortCondition ref="P6:P67"/>
  </sortState>
  <tableColumns count="16">
    <tableColumn id="1" xr3:uid="{3899F5D4-5ED9-43AF-B3BA-F78A80E3E7A9}" name="NO" dataDxfId="4461"/>
    <tableColumn id="2" xr3:uid="{9AA3872F-EA02-49EF-9A7E-210345C1D4E1}" name="NOPES" dataDxfId="4460"/>
    <tableColumn id="3" xr3:uid="{05B716F5-E5F6-4B1A-800D-C8F3B3A9DA4E}" name="NIS" dataDxfId="4459"/>
    <tableColumn id="4" xr3:uid="{5298A508-FDE4-4CF1-B36F-1AE32F0DB9A7}" name="NAMA" dataDxfId="4458"/>
    <tableColumn id="5" xr3:uid="{4502BB3C-565A-4F80-A011-572E95C75FFD}" name="ASR" dataDxfId="4457"/>
    <tableColumn id="6" xr3:uid="{1E739F1A-B73C-4A3F-A90D-53AB70270AAC}" name="KLS" dataDxfId="4456"/>
    <tableColumn id="7" xr3:uid="{EEB9CD56-4A40-402A-ADFD-257A5360EAF3}" name="RUANG" dataDxfId="4455"/>
    <tableColumn id="8" xr3:uid="{CBA94E0F-77EF-4AD3-81A2-AB59A1718A03}" name="إملاء" dataDxfId="4454"/>
    <tableColumn id="9" xr3:uid="{784C1292-0E43-43F3-82F7-76439C4E7362}" name="جواهر الكلامية" dataDxfId="4453"/>
    <tableColumn id="10" xr3:uid="{5285C1B9-0A6D-4D15-B496-838E4F15D948}" name="التصريف" dataDxfId="4452"/>
    <tableColumn id="11" xr3:uid="{65ACEB51-16B0-4327-ACA7-693DBBED4D9C}" name="رياض البديعة" dataDxfId="4451"/>
    <tableColumn id="12" xr3:uid="{507472D3-A8AD-4649-B1F3-5BF7147B5B6A}" name="خلاصة نور اليقين" dataDxfId="4450"/>
    <tableColumn id="13" xr3:uid="{14C80B39-B67E-4EE7-B8C3-D4C146639C25}" name="مختصر جدا" dataDxfId="4449"/>
    <tableColumn id="14" xr3:uid="{DFBD2CFD-D31C-451A-BE8B-A3FEAF253600}" name="جملة" dataDxfId="4448">
      <calculatedColumnFormula>SUBTOTAL(9,H7:M7)</calculatedColumnFormula>
    </tableColumn>
    <tableColumn id="15" xr3:uid="{D85CC7A1-727B-40EF-9D11-4AFBC2DC97F5}" name="ألتسوية" dataDxfId="4447">
      <calculatedColumnFormula>N7/6</calculatedColumnFormula>
    </tableColumn>
    <tableColumn id="16" xr3:uid="{F1817B9B-9C18-4A24-9122-D9D85D55FEC8}" name="الترتيب" dataDxfId="4446">
      <calculatedColumnFormula>RANK(O7,O$7:O$310,0)</calculatedColumnFormula>
    </tableColumn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B8B9572-B228-4A35-90C8-D558435294DC}" name="Table22" displayName="Table22" ref="A6:P66" totalsRowShown="0" headerRowDxfId="4205" headerRowBorderDxfId="4204" tableBorderDxfId="4203">
  <autoFilter ref="A6:P66" xr:uid="{AB8B9572-B228-4A35-90C8-D558435294DC}"/>
  <sortState xmlns:xlrd2="http://schemas.microsoft.com/office/spreadsheetml/2017/richdata2" ref="A7:P66">
    <sortCondition ref="P6:P66"/>
  </sortState>
  <tableColumns count="16">
    <tableColumn id="1" xr3:uid="{37A4178D-C704-4EFE-822F-3E1A17521F56}" name="NO" dataDxfId="4202"/>
    <tableColumn id="2" xr3:uid="{DBBD98F9-7150-4F58-8982-12D50EFE8F94}" name="NOPES" dataDxfId="4201"/>
    <tableColumn id="3" xr3:uid="{6BFA53B2-2E72-4FBB-8F10-772876D9FC39}" name="NIS" dataDxfId="4200"/>
    <tableColumn id="4" xr3:uid="{098E9D52-61ED-42C6-92A3-712E9622F3F6}" name="NAMA" dataDxfId="4199"/>
    <tableColumn id="5" xr3:uid="{6A09673F-F199-43E7-BAB8-452921A85322}" name="ASR" dataDxfId="4198"/>
    <tableColumn id="6" xr3:uid="{F0BBA744-77B2-4E9E-BA0E-F9437BBA563A}" name="KLS" dataDxfId="4197"/>
    <tableColumn id="7" xr3:uid="{74F8E356-9BBE-43BD-80E8-1AD853C095EA}" name="RUANG" dataDxfId="4196"/>
    <tableColumn id="8" xr3:uid="{7D81C1C4-F077-4C69-B74C-B93C3154C336}" name="إملاء" dataDxfId="4195"/>
    <tableColumn id="9" xr3:uid="{14037CC3-D4B0-4D50-89B9-4AB1F24F0F3B}" name="جواهر الكلامية" dataDxfId="4194"/>
    <tableColumn id="10" xr3:uid="{70FBC67A-5A28-41C1-94AE-76E11D367242}" name="التصريف" dataDxfId="4193"/>
    <tableColumn id="11" xr3:uid="{5E0F2ADC-B118-482F-9E1E-557593C58EEA}" name="رياض البديعة" dataDxfId="4192"/>
    <tableColumn id="12" xr3:uid="{BCA0B8ED-64A7-43E0-8981-884E04999F0B}" name="خلاصة نور اليقين" dataDxfId="4191"/>
    <tableColumn id="13" xr3:uid="{F38DE45E-38F7-4635-BE2C-2D163EB5FFB4}" name="مختصر جدا" dataDxfId="4190"/>
    <tableColumn id="14" xr3:uid="{9D2DFBD2-2284-4EFE-A9C9-4EB91AAF7FA3}" name="جملة" dataDxfId="4189">
      <calculatedColumnFormula>SUBTOTAL(9,H7:M7)</calculatedColumnFormula>
    </tableColumn>
    <tableColumn id="15" xr3:uid="{36AF90D4-9A33-4B0A-AEE0-5A7B7081C7D1}" name="ألتسوية" dataDxfId="4188">
      <calculatedColumnFormula>N7/6</calculatedColumnFormula>
    </tableColumn>
    <tableColumn id="16" xr3:uid="{867DD906-7985-4F2D-8CCF-A0D44D03DDBF}" name="الترتيب" dataDxfId="4187">
      <calculatedColumnFormula>RANK(O7,O$7:O$310,0)</calculatedColumnFormula>
    </tableColumn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B6D659C-0E0F-404F-99C5-61B237DEBFFA}" name="Table23" displayName="Table23" ref="A6:R73" totalsRowShown="0" headerRowDxfId="3851" headerRowBorderDxfId="3850" tableBorderDxfId="3849">
  <autoFilter ref="A6:R73" xr:uid="{0B6D659C-0E0F-404F-99C5-61B237DEBFFA}"/>
  <sortState xmlns:xlrd2="http://schemas.microsoft.com/office/spreadsheetml/2017/richdata2" ref="A7:R73">
    <sortCondition ref="R6:R73"/>
  </sortState>
  <tableColumns count="18">
    <tableColumn id="1" xr3:uid="{1B3FAE30-102D-4E18-8938-66E82075537A}" name="NO" dataDxfId="3848"/>
    <tableColumn id="2" xr3:uid="{16EED34A-BF96-4A73-A81F-B50EE9C25D15}" name="NOPES" dataDxfId="3847"/>
    <tableColumn id="3" xr3:uid="{1E7960D3-8B3C-4CB5-A7F7-834D79EE144F}" name="NIS" dataDxfId="3846"/>
    <tableColumn id="4" xr3:uid="{2435B6F1-218F-458A-ACF7-5C7D6EEBB3D0}" name="NAMA" dataDxfId="3845"/>
    <tableColumn id="5" xr3:uid="{4E9825C1-05B6-4691-80E5-6C240DA06E25}" name="ASR" dataDxfId="3844"/>
    <tableColumn id="6" xr3:uid="{9F0D04B9-B85E-490B-9448-96DFE6360AAD}" name="KLS" dataDxfId="3843"/>
    <tableColumn id="7" xr3:uid="{5D735ECA-DA5D-45C8-B98A-162D665C0B5C}" name="RUANG" dataDxfId="3842"/>
    <tableColumn id="8" xr3:uid="{49FE2BE4-D56E-40F5-BA13-EB713DDE7554}" name="فتح القريب " dataDxfId="3841"/>
    <tableColumn id="9" xr3:uid="{CE56FFAB-B7E3-42DE-815E-E0BC5842155E}" name="إملاء" dataDxfId="3840"/>
    <tableColumn id="10" xr3:uid="{C88D4776-7B0F-44DB-B569-CB9504FB6355}" name="قطر الغيث" dataDxfId="3839"/>
    <tableColumn id="11" xr3:uid="{92A024E4-FC2D-486A-9326-3839552A3D36}" name="مختصر جدا" dataDxfId="3838"/>
    <tableColumn id="12" xr3:uid="{389C6A64-EEF5-4A70-934A-CA1FC45AAE38}" name="الامثلة التصريفية" dataDxfId="3837"/>
    <tableColumn id="13" xr3:uid="{A8AC2242-B59A-46F2-9280-46B0303E86EE}" name="القواعد الإعلال" dataDxfId="3836"/>
    <tableColumn id="14" xr3:uid="{AE56914D-0570-4ECC-AE5A-D90DD3615F2B}" name="الاربعين النووية" dataDxfId="3835"/>
    <tableColumn id="15" xr3:uid="{CAD967CF-9741-4EC6-BAB3-FAFF2749125C}" name="نظم العوامل" dataDxfId="3834"/>
    <tableColumn id="16" xr3:uid="{535EFB30-BBBC-42F8-8077-FE3B046279D3}" name="جملة" dataDxfId="3833">
      <calculatedColumnFormula>SUBTOTAL(9,H7:O7)</calculatedColumnFormula>
    </tableColumn>
    <tableColumn id="17" xr3:uid="{1950337E-8114-4C1F-9AA2-3493C8BE1BFA}" name="ألتسوية" dataDxfId="3832">
      <calculatedColumnFormula>P7/8</calculatedColumnFormula>
    </tableColumn>
    <tableColumn id="18" xr3:uid="{FF36D140-2D48-4065-BCED-A50DC5AC7196}" name="الترتيب" dataDxfId="3831">
      <calculatedColumnFormula>RANK(Q7,Q$7:Q$274,0)</calculatedColumnFormula>
    </tableColumn>
  </tableColumns>
  <tableStyleInfo name="TableStyleLight1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42A48FC-DF1E-4F26-9358-36A8F1DA0EDC}" name="Table24" displayName="Table24" ref="A6:R74" totalsRowShown="0" headerRowDxfId="3490" headerRowBorderDxfId="3489" tableBorderDxfId="3488">
  <autoFilter ref="A6:R74" xr:uid="{242A48FC-DF1E-4F26-9358-36A8F1DA0EDC}"/>
  <sortState xmlns:xlrd2="http://schemas.microsoft.com/office/spreadsheetml/2017/richdata2" ref="A7:R74">
    <sortCondition ref="R6:R74"/>
  </sortState>
  <tableColumns count="18">
    <tableColumn id="1" xr3:uid="{074CBCDB-FC20-42E1-BE74-8C5D7E4F5A1A}" name="NO" dataDxfId="3487"/>
    <tableColumn id="2" xr3:uid="{A75E9478-8BA9-4F49-82BB-B268ECD18BC9}" name="NOPES" dataDxfId="3486"/>
    <tableColumn id="3" xr3:uid="{F9478FC7-A802-4F5A-8103-50272717E127}" name="NIS" dataDxfId="3485"/>
    <tableColumn id="4" xr3:uid="{BB23DC54-2850-45FA-A531-11F3C1DFFE38}" name="NAMA" dataDxfId="3484"/>
    <tableColumn id="5" xr3:uid="{CAC126AF-EA70-4116-A94A-03EBA6D144F6}" name="ASR" dataDxfId="3483"/>
    <tableColumn id="6" xr3:uid="{83FFBAC8-082D-4162-B021-F9C68B139EE9}" name="KLS" dataDxfId="3482"/>
    <tableColumn id="7" xr3:uid="{4FC2AC46-AF72-4246-B48D-28ADCFDC39E2}" name="RUANG" dataDxfId="3481"/>
    <tableColumn id="8" xr3:uid="{F3A199A0-ED50-4933-8BCA-235981928ADB}" name="فتح القريب " dataDxfId="3480"/>
    <tableColumn id="9" xr3:uid="{B92D7DFE-5612-4098-9B47-7DF18974A80E}" name="إملاء" dataDxfId="3479"/>
    <tableColumn id="10" xr3:uid="{0F68AD8D-D259-43CE-9D56-013F17C94D01}" name="قطر الغيث" dataDxfId="3478"/>
    <tableColumn id="11" xr3:uid="{060D713F-AD0F-4EC9-BA95-3BA7615DE135}" name="مختصر جدا" dataDxfId="3477"/>
    <tableColumn id="12" xr3:uid="{D2582EB8-D0E9-4591-BDAC-6BF2E30937EA}" name="الامثلة التصريفية" dataDxfId="3476"/>
    <tableColumn id="13" xr3:uid="{C0B687AF-BC40-4B42-8CE1-D25CC317FA5A}" name="القواعد الإعلال" dataDxfId="3475"/>
    <tableColumn id="14" xr3:uid="{90CDD74A-356D-4CA3-847E-80E6BA88A0DB}" name="الاربعين النووية" dataDxfId="3474"/>
    <tableColumn id="15" xr3:uid="{69FAB39B-9DF8-49D2-8B83-7DDF4ABDD8EE}" name="نظم العوامل" dataDxfId="3473"/>
    <tableColumn id="16" xr3:uid="{80D73273-88CB-4700-B8AE-A6085047180C}" name="جملة" dataDxfId="3472">
      <calculatedColumnFormula>SUBTOTAL(9,H7:O7)</calculatedColumnFormula>
    </tableColumn>
    <tableColumn id="17" xr3:uid="{45D7DFA8-AEF0-49D7-9C03-222499A5A58A}" name="ألتسوية" dataDxfId="3471">
      <calculatedColumnFormula>P7/8</calculatedColumnFormula>
    </tableColumn>
    <tableColumn id="18" xr3:uid="{611406BE-3798-48C4-8D4C-A61890A3D760}" name="الترتيب" dataDxfId="3470">
      <calculatedColumnFormula>RANK(Q7,Q$7:Q$274,0)</calculatedColumnFormula>
    </tableColumn>
  </tableColumns>
  <tableStyleInfo name="TableStyleLight1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F78B2BF-4097-4C4D-85E2-28AAFEC04B54}" name="Table25" displayName="Table25" ref="A6:R73" totalsRowShown="0" headerRowDxfId="3134" headerRowBorderDxfId="3133" tableBorderDxfId="3132">
  <autoFilter ref="A6:R73" xr:uid="{DF78B2BF-4097-4C4D-85E2-28AAFEC04B54}"/>
  <sortState xmlns:xlrd2="http://schemas.microsoft.com/office/spreadsheetml/2017/richdata2" ref="A7:R73">
    <sortCondition ref="R6:R73"/>
  </sortState>
  <tableColumns count="18">
    <tableColumn id="1" xr3:uid="{6BA2850A-D2D1-4863-A5BF-B5CB283512D5}" name="NO" dataDxfId="3131"/>
    <tableColumn id="2" xr3:uid="{17740C64-D94C-47F6-A9CD-8D4D594B6278}" name="NOPES" dataDxfId="3130"/>
    <tableColumn id="3" xr3:uid="{5844900B-7B5F-4442-A522-735BF506CBA2}" name="NIS" dataDxfId="3129"/>
    <tableColumn id="4" xr3:uid="{9687C3C2-3A9B-4BB4-ABDC-C87CB66BA3F2}" name="NAMA" dataDxfId="3128"/>
    <tableColumn id="5" xr3:uid="{32D9FCE2-15BF-4E7E-9ED5-71F2A1C0D017}" name="ASR" dataDxfId="3127"/>
    <tableColumn id="6" xr3:uid="{3DCEEBA3-6161-4606-8C56-B6D5BEA158DF}" name="KLS" dataDxfId="3126"/>
    <tableColumn id="7" xr3:uid="{3F606FDE-2CE7-4217-875D-9A4530CF41FC}" name="RUANG" dataDxfId="3125"/>
    <tableColumn id="8" xr3:uid="{4CAAF8CB-7134-49EE-AED7-36958BEB6830}" name="فتح القريب " dataDxfId="3124"/>
    <tableColumn id="9" xr3:uid="{E701D579-210C-4009-9273-352E1F341BA4}" name="إملاء" dataDxfId="3123"/>
    <tableColumn id="10" xr3:uid="{55D0CECF-2B06-43A7-A8ED-5D1CBB05D576}" name="قطر الغيث" dataDxfId="3122"/>
    <tableColumn id="11" xr3:uid="{92A8CBF7-C27B-4D8E-8CA3-EAD0E3513069}" name="مختصر جدا" dataDxfId="3121"/>
    <tableColumn id="12" xr3:uid="{329EB0C3-2E63-4E9E-84BF-4585233DD96E}" name="الامثلة التصريفية" dataDxfId="3120"/>
    <tableColumn id="13" xr3:uid="{2C8CFBAF-02DA-4D1D-AC4F-EA53A17128B7}" name="القواعد الإعلال" dataDxfId="3119"/>
    <tableColumn id="14" xr3:uid="{5EC3DC59-DDB2-4BB8-A639-248254B6BB2D}" name="الاربعين النووية" dataDxfId="3118"/>
    <tableColumn id="15" xr3:uid="{EC41B60C-A5C2-45AB-A931-2F19674C9F22}" name="نظم العوامل" dataDxfId="3117"/>
    <tableColumn id="16" xr3:uid="{AB64AC03-AB12-49AB-B128-062F9E4601C3}" name="جملة" dataDxfId="3116">
      <calculatedColumnFormula>SUBTOTAL(9,H7:O7)</calculatedColumnFormula>
    </tableColumn>
    <tableColumn id="17" xr3:uid="{6E357786-8BC1-4DA3-A00E-67CCD3A19390}" name="ألتسوية" dataDxfId="3115">
      <calculatedColumnFormula>P7/8</calculatedColumnFormula>
    </tableColumn>
    <tableColumn id="18" xr3:uid="{8FF2ED03-17A8-40CB-8BAB-BC27BD044671}" name="الترتيب" dataDxfId="3114">
      <calculatedColumnFormula>RANK(Q7,Q$7:Q$274,0)</calculatedColumnFormula>
    </tableColumn>
  </tableColumns>
  <tableStyleInfo name="TableStyleLight1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2115E81-E56B-4307-B3BC-7D8765B62122}" name="Table26" displayName="Table26" ref="A6:R72" totalsRowShown="0" headerRowDxfId="2783" headerRowBorderDxfId="2782" tableBorderDxfId="2781">
  <autoFilter ref="A6:R72" xr:uid="{42115E81-E56B-4307-B3BC-7D8765B62122}"/>
  <sortState xmlns:xlrd2="http://schemas.microsoft.com/office/spreadsheetml/2017/richdata2" ref="A7:R72">
    <sortCondition ref="R6:R72"/>
  </sortState>
  <tableColumns count="18">
    <tableColumn id="1" xr3:uid="{8B1E881C-8F8A-45DE-A71C-9AFA560BA8FE}" name="NO" dataDxfId="2780"/>
    <tableColumn id="2" xr3:uid="{1B438271-A9B1-4602-B7A6-ED73C0EABA8A}" name="NOPES" dataDxfId="2779"/>
    <tableColumn id="3" xr3:uid="{140CB20B-AB08-4A13-8836-EC0EBEA69ACB}" name="NIS" dataDxfId="2778"/>
    <tableColumn id="4" xr3:uid="{189E1C27-1CC4-45F2-A8DE-410421AFB98A}" name="NAMA" dataDxfId="2777"/>
    <tableColumn id="5" xr3:uid="{D8FBCA76-722E-4FB6-B48B-A2FAEB3EE71A}" name="ASR" dataDxfId="2776"/>
    <tableColumn id="6" xr3:uid="{89A76495-1E96-48C2-A0B7-6CC3D6E5A44D}" name="KLS" dataDxfId="2775"/>
    <tableColumn id="7" xr3:uid="{80F19F81-267F-4F41-A036-B5676808E572}" name="RUANG" dataDxfId="2774"/>
    <tableColumn id="8" xr3:uid="{D93A53DF-8AEE-47AD-BCB7-0B722ECBBDC7}" name="فتح القريب " dataDxfId="2773"/>
    <tableColumn id="9" xr3:uid="{775CAE90-929D-41C7-AB3B-E87D7BE15F77}" name="إملاء" dataDxfId="2772"/>
    <tableColumn id="10" xr3:uid="{E631A69B-15B1-4FED-938F-640826126787}" name="قطر الغيث" dataDxfId="2771"/>
    <tableColumn id="11" xr3:uid="{2E04567F-2A97-4F9D-85CB-5DCDE758C664}" name="مختصر جدا" dataDxfId="2770"/>
    <tableColumn id="12" xr3:uid="{C7850774-8A07-43C3-BFFF-F15F9AE098A2}" name="الامثلة التصريفية" dataDxfId="2769"/>
    <tableColumn id="13" xr3:uid="{236E3B98-E60D-444C-B5E0-5B9C3CC1C559}" name="القواعد الإعلال" dataDxfId="2768"/>
    <tableColumn id="14" xr3:uid="{36B2EAD5-7ABC-4105-82B3-11AA6FD36351}" name="الاربعين النووية" dataDxfId="2767"/>
    <tableColumn id="15" xr3:uid="{C2C7EFC5-EBEA-4D46-8080-09540BDC1BD9}" name="نظم العوامل" dataDxfId="2766"/>
    <tableColumn id="16" xr3:uid="{B1B51930-A203-4AB0-89AF-8916D4A82AB8}" name="جملة" dataDxfId="2765">
      <calculatedColumnFormula>SUBTOTAL(9,H7:O7)</calculatedColumnFormula>
    </tableColumn>
    <tableColumn id="17" xr3:uid="{DB41278C-CD7F-4582-B7C3-4CF9F0B406B6}" name="ألتسوية" dataDxfId="2764">
      <calculatedColumnFormula>P7/8</calculatedColumnFormula>
    </tableColumn>
    <tableColumn id="18" xr3:uid="{1F2D191C-D733-4C84-82FB-F2EFAAB08F45}" name="الترتيب" dataDxfId="2763">
      <calculatedColumnFormula>RANK(Q7,Q$7:Q$274,0)</calculatedColumnFormula>
    </tableColumn>
  </tableColumns>
  <tableStyleInfo name="TableStyleLight1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87F71C4-03C7-46FE-A39C-4EF9BFCF2890}" name="Table27" displayName="Table27" ref="A6:R61" totalsRowShown="0" headerRowDxfId="2487" tableBorderDxfId="2486">
  <autoFilter ref="A6:R61" xr:uid="{287F71C4-03C7-46FE-A39C-4EF9BFCF2890}"/>
  <sortState xmlns:xlrd2="http://schemas.microsoft.com/office/spreadsheetml/2017/richdata2" ref="A7:R61">
    <sortCondition ref="R6:R61"/>
  </sortState>
  <tableColumns count="18">
    <tableColumn id="1" xr3:uid="{B1583873-EE11-4AFE-8350-BF10ACC98574}" name="NO" dataDxfId="2485"/>
    <tableColumn id="2" xr3:uid="{B1E560FB-4797-4D58-9277-47A21BFCBDA5}" name="NOPES" dataDxfId="2484"/>
    <tableColumn id="3" xr3:uid="{0695DD9B-D8BC-405E-9EEE-05A9E9620594}" name="NIS" dataDxfId="2483"/>
    <tableColumn id="4" xr3:uid="{693F42DB-8652-4FCB-98E1-25CD25AE97EB}" name="NAMA" dataDxfId="2482"/>
    <tableColumn id="5" xr3:uid="{A0392F05-DE78-4A82-9B0A-FB7F0382F1EF}" name="ASR" dataDxfId="2481"/>
    <tableColumn id="6" xr3:uid="{F45A250C-EBB8-4BEC-9EF8-846D5706EF9C}" name="KLS" dataDxfId="2480"/>
    <tableColumn id="7" xr3:uid="{1D7C5C52-6F30-4E4B-9CCE-32E150CAB229}" name="RUANG" dataDxfId="2479"/>
    <tableColumn id="8" xr3:uid="{0A799005-531E-4CEA-8027-A4E69809D95C}" name="فتح القريب " dataDxfId="2478"/>
    <tableColumn id="9" xr3:uid="{543BF792-B38F-411C-A15B-3645681AF858}" name="إملاء" dataDxfId="2477"/>
    <tableColumn id="10" xr3:uid="{828EF659-B210-4CE9-A0D9-F400A629F7B8}" name="كفاية العوام" dataDxfId="2476"/>
    <tableColumn id="11" xr3:uid="{23A6E27F-89F0-42B9-A7AA-82686E44114A}" name="شرح الورقات" dataDxfId="2475"/>
    <tableColumn id="12" xr3:uid="{0051A274-DAF2-4E2F-9E93-947AFCB148E1}" name="قاعدة الكيلاني عزي" dataDxfId="2474"/>
    <tableColumn id="13" xr3:uid="{B5E671C3-E792-4993-B552-3E410E63985B}" name="تسهيل نيل المعاني" dataDxfId="2473"/>
    <tableColumn id="14" xr3:uid="{59DC3224-5CFB-41DE-91EB-C2E607298343}" name="بلوغ المرام" dataDxfId="2472"/>
    <tableColumn id="15" xr3:uid="{5E091F4F-9695-4AD4-99CF-E60F2C2C6509}" name="نظم العريطى" dataDxfId="2471"/>
    <tableColumn id="16" xr3:uid="{30935EA1-7E60-4CB8-B6C6-4E6D38A79D88}" name="جملة" dataDxfId="2470">
      <calculatedColumnFormula>SUBTOTAL(9,H7:O7)</calculatedColumnFormula>
    </tableColumn>
    <tableColumn id="17" xr3:uid="{00733C30-D545-421D-85BA-2168E92F39F4}" name="ألتسوية" dataDxfId="2469">
      <calculatedColumnFormula>P7/8</calculatedColumnFormula>
    </tableColumn>
    <tableColumn id="18" xr3:uid="{B13B3F14-5FB3-4E59-B960-66B3D242D87C}" name="الترتيب" dataDxfId="2468">
      <calculatedColumnFormula>RANK(Q7,Q$7:Q$231,0)</calculatedColumnFormula>
    </tableColumn>
  </tableColumns>
  <tableStyleInfo name="TableStyleLight1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8FE6766-FEEA-4A36-BF79-6933A66F3765}" name="Table28" displayName="Table28" ref="A6:R61" totalsRowShown="0" headerRowDxfId="2192" tableBorderDxfId="2191">
  <autoFilter ref="A6:R61" xr:uid="{08FE6766-FEEA-4A36-BF79-6933A66F3765}"/>
  <sortState xmlns:xlrd2="http://schemas.microsoft.com/office/spreadsheetml/2017/richdata2" ref="A7:R61">
    <sortCondition ref="R6:R61"/>
  </sortState>
  <tableColumns count="18">
    <tableColumn id="1" xr3:uid="{EDDCB9D9-2257-4339-BDF8-11033267B8C0}" name="NO" dataDxfId="2190"/>
    <tableColumn id="2" xr3:uid="{5DB54FA9-DA89-471A-8496-CE7500C430BE}" name="NOPES" dataDxfId="2189"/>
    <tableColumn id="3" xr3:uid="{4C5444D3-2BE7-48C8-8B9D-247E52E27508}" name="NIS" dataDxfId="2188"/>
    <tableColumn id="4" xr3:uid="{DEADFA25-B142-4A47-A024-3561B1A3D499}" name="NAMA" dataDxfId="2187"/>
    <tableColumn id="5" xr3:uid="{7D089E59-3D3A-47D2-AB94-F5EA716189DE}" name="ASR" dataDxfId="2186"/>
    <tableColumn id="6" xr3:uid="{E6EDB1CB-9203-43CB-A9F2-1F0D280C2AC8}" name="KLS" dataDxfId="2185"/>
    <tableColumn id="7" xr3:uid="{953D2AC0-60A0-4EA5-AA5A-A55F810881C6}" name="RUANG" dataDxfId="2184"/>
    <tableColumn id="8" xr3:uid="{372B07F9-510C-4919-83CD-05CD8EE9E460}" name="فتح القريب " dataDxfId="2183"/>
    <tableColumn id="9" xr3:uid="{33C9A890-069D-4FB0-8652-D42C56C117A9}" name="إملاء" dataDxfId="2182"/>
    <tableColumn id="10" xr3:uid="{7C2C26F9-10A9-4310-8DEC-1D7D6126835F}" name="كفاية العوام" dataDxfId="2181"/>
    <tableColumn id="11" xr3:uid="{0387E4B5-7202-4234-A2BC-336B4F47E56C}" name="شرح الورقات" dataDxfId="2180"/>
    <tableColumn id="12" xr3:uid="{447F03AE-5693-41A9-B6F3-82C918825375}" name="قاعدة الكيلاني عزي" dataDxfId="2179"/>
    <tableColumn id="13" xr3:uid="{48333516-1F22-4A7F-B81B-7A7431CEB9E2}" name="تسهيل نيل المعاني" dataDxfId="2178"/>
    <tableColumn id="14" xr3:uid="{7D575975-99F6-4749-BDBC-3C385904373D}" name="بلوغ المرام" dataDxfId="2177"/>
    <tableColumn id="15" xr3:uid="{642C596C-5E37-4F18-AD04-A5294AEE9373}" name="نظم العريطى" dataDxfId="2176"/>
    <tableColumn id="16" xr3:uid="{DF3E40B0-8DCC-486C-9353-7DBA322DF27E}" name="جملة" dataDxfId="2175">
      <calculatedColumnFormula>SUBTOTAL(9,H7:O7)</calculatedColumnFormula>
    </tableColumn>
    <tableColumn id="17" xr3:uid="{36EA55CE-3328-45FF-ACBD-F495FE4148C2}" name="ألتسوية" dataDxfId="2174">
      <calculatedColumnFormula>P7/8</calculatedColumnFormula>
    </tableColumn>
    <tableColumn id="18" xr3:uid="{A0F81A3A-F54E-4AEC-9C4E-603FCD2AA6E6}" name="الترتيب" dataDxfId="2173">
      <calculatedColumnFormula>RANK(Q7,Q$7:Q$231,0)</calculatedColumnFormula>
    </tableColumn>
  </tableColumns>
  <tableStyleInfo name="TableStyleLight1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05C75C5-8A2A-421D-9621-C40F70053EBF}" name="Table29" displayName="Table29" ref="A6:R65" totalsRowShown="0" headerRowDxfId="1877" tableBorderDxfId="1876">
  <autoFilter ref="A6:R65" xr:uid="{A05C75C5-8A2A-421D-9621-C40F70053EBF}"/>
  <sortState xmlns:xlrd2="http://schemas.microsoft.com/office/spreadsheetml/2017/richdata2" ref="A7:R65">
    <sortCondition ref="R6:R65"/>
  </sortState>
  <tableColumns count="18">
    <tableColumn id="1" xr3:uid="{254E59A8-CD9B-4B89-AFF1-CDD75927E505}" name="NO" dataDxfId="1875"/>
    <tableColumn id="2" xr3:uid="{6833470F-389C-4E03-84DC-8FB2233D6595}" name="NOPES" dataDxfId="1874"/>
    <tableColumn id="3" xr3:uid="{BE9AAB38-A9F8-4F87-93A2-2FEF753E4529}" name="NIS" dataDxfId="1873"/>
    <tableColumn id="4" xr3:uid="{A37124F7-97D1-4DD8-B261-F0F5D3A5F134}" name="NAMA" dataDxfId="1872"/>
    <tableColumn id="5" xr3:uid="{C566F266-AD44-4149-8190-A22A1ADFE1AC}" name="ASR" dataDxfId="1871"/>
    <tableColumn id="6" xr3:uid="{5BC41D47-476D-4131-AF14-24AB01E63C48}" name="KLS" dataDxfId="1870"/>
    <tableColumn id="7" xr3:uid="{C7451CCD-B661-49B8-B6AD-FD96C66839B6}" name="RUANG" dataDxfId="1869"/>
    <tableColumn id="8" xr3:uid="{67B93295-F14D-418D-899D-97EF50013938}" name="فتح القريب " dataDxfId="1868"/>
    <tableColumn id="9" xr3:uid="{DBC7C15E-A8C7-4D68-B75D-259627D3CCB5}" name="إملاء" dataDxfId="1867"/>
    <tableColumn id="10" xr3:uid="{AC95AE7A-1FEA-46E0-9BA1-C256DC8E138F}" name="كفاية العوام" dataDxfId="1866"/>
    <tableColumn id="11" xr3:uid="{21A4D00B-5956-44AC-9534-F61B441C484C}" name="شرح الورقات" dataDxfId="1865"/>
    <tableColumn id="12" xr3:uid="{99E7D906-7DCC-4E76-B455-5008A78B361C}" name="قاعدة الكيلاني عزي" dataDxfId="1864"/>
    <tableColumn id="13" xr3:uid="{CBDAAD46-44EC-4F63-AA4E-6A36B145DE5C}" name="تسهيل نيل المعاني" dataDxfId="1863"/>
    <tableColumn id="14" xr3:uid="{C9323AAC-F2BE-44FE-8374-0D62B7BF79C1}" name="بلوغ المرام" dataDxfId="1862"/>
    <tableColumn id="15" xr3:uid="{5F13A80A-5EB0-433D-90D4-AAE6CB958C34}" name="نظم العريطى" dataDxfId="1861"/>
    <tableColumn id="16" xr3:uid="{CE6FBCF9-2F8A-4D39-B458-A21B70E4752B}" name="جملة" dataDxfId="1860">
      <calculatedColumnFormula>SUBTOTAL(9,H7:O7)</calculatedColumnFormula>
    </tableColumn>
    <tableColumn id="17" xr3:uid="{53B1479B-C084-4FD4-A1A6-7E6764E2D571}" name="ألتسوية" dataDxfId="1859">
      <calculatedColumnFormula>P7/8</calculatedColumnFormula>
    </tableColumn>
    <tableColumn id="18" xr3:uid="{A2C4759F-2D46-4084-99AB-0CDBB7D84C70}" name="الترتيب" dataDxfId="1858">
      <calculatedColumnFormula>RANK(Q7,Q$7:Q$231,0)</calculatedColumnFormula>
    </tableColumn>
  </tableColumns>
  <tableStyleInfo name="TableStyleLight1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6DA93F1-C2C6-4BD2-A323-6CE2EEDB0436}" name="Table30" displayName="Table30" ref="A6:R62" totalsRowShown="0" headerRowDxfId="1577" tableBorderDxfId="1576">
  <autoFilter ref="A6:R62" xr:uid="{26DA93F1-C2C6-4BD2-A323-6CE2EEDB0436}"/>
  <sortState xmlns:xlrd2="http://schemas.microsoft.com/office/spreadsheetml/2017/richdata2" ref="A7:R62">
    <sortCondition ref="R6:R62"/>
  </sortState>
  <tableColumns count="18">
    <tableColumn id="1" xr3:uid="{5A6FD60D-0AF8-42FA-B914-00C10BDDB1DE}" name="NO" dataDxfId="1575"/>
    <tableColumn id="2" xr3:uid="{5E681657-D3BE-4130-BFA9-D7E1F19ACA67}" name="NOPES" dataDxfId="1574"/>
    <tableColumn id="3" xr3:uid="{9CC8731F-25E5-43DD-BDFC-E012B32620C3}" name="NIS" dataDxfId="1573"/>
    <tableColumn id="4" xr3:uid="{47E72479-E6C2-4A0B-B42A-E9891D094464}" name="NAMA" dataDxfId="1572"/>
    <tableColumn id="5" xr3:uid="{290BEF6D-4CE8-4956-9FF2-1884D8B800FF}" name="ASR" dataDxfId="1571"/>
    <tableColumn id="6" xr3:uid="{062BCD13-211C-4218-B8A4-CAE445A28F67}" name="KLS" dataDxfId="1570"/>
    <tableColumn id="7" xr3:uid="{AA94BB04-60A9-4882-AC6C-305BF3199DC2}" name="RUANG" dataDxfId="1569"/>
    <tableColumn id="8" xr3:uid="{20A45BFD-B1EF-4538-A51E-659F1B86E0DA}" name="فتح القريب " dataDxfId="1568"/>
    <tableColumn id="9" xr3:uid="{7F1F9734-4043-4A34-BE07-D1F234898912}" name="إملاء" dataDxfId="1567"/>
    <tableColumn id="10" xr3:uid="{CBB1694C-E261-4094-BAF2-D7CA99C5F506}" name="كفاية العوام" dataDxfId="1566"/>
    <tableColumn id="11" xr3:uid="{E7D6D601-E788-4F3A-80EE-6DC85E6AE4E8}" name="شرح الورقات" dataDxfId="1565"/>
    <tableColumn id="12" xr3:uid="{82421CFA-1BB4-4950-8482-8ACE6F2B277B}" name="قاعدة الكيلاني عزي" dataDxfId="1564"/>
    <tableColumn id="13" xr3:uid="{CE9C6FB1-933D-440C-A7F5-F8DE53F9324C}" name="تسهيل نيل المعاني" dataDxfId="1563"/>
    <tableColumn id="14" xr3:uid="{B89D024D-6A12-4837-A9FC-E95C4E510855}" name="بلوغ المرام" dataDxfId="1562"/>
    <tableColumn id="15" xr3:uid="{17518873-2519-436D-9555-1095BAD7FA14}" name="نظم العريطى" dataDxfId="1561"/>
    <tableColumn id="16" xr3:uid="{69607217-A713-4E60-BDFA-1F756B033976}" name="جملة" dataDxfId="1560">
      <calculatedColumnFormula>SUBTOTAL(9,H7:O7)</calculatedColumnFormula>
    </tableColumn>
    <tableColumn id="17" xr3:uid="{EF975522-A8B5-4E74-896B-21EFE98316C5}" name="ألتسوية" dataDxfId="1559">
      <calculatedColumnFormula>P7/8</calculatedColumnFormula>
    </tableColumn>
    <tableColumn id="18" xr3:uid="{FF257CDC-728C-44A3-9B9A-66144AF0A842}" name="الترتيب" dataDxfId="1558">
      <calculatedColumnFormula>RANK(Q7,Q$7:Q$231,0)</calculatedColumnFormula>
    </tableColumn>
  </tableColumns>
  <tableStyleInfo name="TableStyleLight1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A675F18-3D30-45C6-902B-DFAF45C24796}" name="Table31" displayName="Table31" ref="A6:T55" totalsRowShown="0" headerRowDxfId="1361" headerRowBorderDxfId="1360" tableBorderDxfId="1359">
  <autoFilter ref="A6:T55" xr:uid="{BA675F18-3D30-45C6-902B-DFAF45C24796}"/>
  <sortState xmlns:xlrd2="http://schemas.microsoft.com/office/spreadsheetml/2017/richdata2" ref="A7:T55">
    <sortCondition ref="T6:T55"/>
  </sortState>
  <tableColumns count="20">
    <tableColumn id="1" xr3:uid="{03754928-6ECA-4A17-AC66-FC015876104B}" name="NO" dataDxfId="1358"/>
    <tableColumn id="2" xr3:uid="{58A54CE9-9F6E-4EB3-A084-37423668A019}" name="NOPES" dataDxfId="1357"/>
    <tableColumn id="3" xr3:uid="{A16DEA7A-BC32-4E05-B4EB-F7C12C12B28E}" name="NIS" dataDxfId="1356"/>
    <tableColumn id="4" xr3:uid="{0EE1722D-88ED-4E73-8EE9-22AF9721BB91}" name="NAMA" dataDxfId="1355"/>
    <tableColumn id="5" xr3:uid="{07FF35AC-41EA-4E43-9293-6C07CFD42D9D}" name="ASR" dataDxfId="1354"/>
    <tableColumn id="6" xr3:uid="{2DE34517-324A-45F6-B610-DB7299CB036C}" name="KLS" dataDxfId="1353"/>
    <tableColumn id="7" xr3:uid="{FD684457-2235-46E7-813A-E2A47825AB0E}" name="RUANG" dataDxfId="1352"/>
    <tableColumn id="8" xr3:uid="{2DA7895F-E291-4345-B1B9-D8F1221C4706}" name="فتح القريب " dataDxfId="1351"/>
    <tableColumn id="9" xr3:uid="{A48834EE-E107-409B-9A18-EBA8C9F802B2}" name="تفسير الجلالين" dataDxfId="1350"/>
    <tableColumn id="10" xr3:uid="{94E9BD64-71E2-4BE3-AE8E-AD0A58135020}" name="شرح ام البراهين" dataDxfId="1349"/>
    <tableColumn id="11" xr3:uid="{404A5294-2A2F-489F-A783-2BAEB1F3B9C6}" name="قرة العين" dataDxfId="1348"/>
    <tableColumn id="12" xr3:uid="{C9A260A7-6519-41CE-9110-5266C04500AF}" name="رسالة أهل السنة" dataDxfId="1347"/>
    <tableColumn id="13" xr3:uid="{35C861E9-1052-4AE5-B922-D4140C8630B6}" name="الخلفاء الراشدون" dataDxfId="1346"/>
    <tableColumn id="14" xr3:uid="{03D29731-1E80-4A02-BD8C-CD3ADE88188D}" name="الكواكب الدرية" dataDxfId="1345"/>
    <tableColumn id="15" xr3:uid="{686FCCF6-8F41-452B-A90B-E35348378CD0}" name="إملاء" dataDxfId="1344"/>
    <tableColumn id="16" xr3:uid="{C84373A1-3703-4608-8770-CC99396AE3AB}" name="بلوغ المرام" dataDxfId="1343"/>
    <tableColumn id="17" xr3:uid="{BB712AE4-973C-4A03-B599-90AE45F365CC}" name="منحة المغيث" dataDxfId="1342"/>
    <tableColumn id="18" xr3:uid="{0B650CD0-E0CC-4E72-BFEC-840296C2E4A7}" name="جملة" dataDxfId="1341">
      <calculatedColumnFormula>SUBTOTAL(9,H7:Q7)</calculatedColumnFormula>
    </tableColumn>
    <tableColumn id="19" xr3:uid="{BB4E1737-3DA6-4530-8CC1-4069880F39A9}" name="ألتسوية" dataDxfId="1340">
      <calculatedColumnFormula>R7/10</calculatedColumnFormula>
    </tableColumn>
    <tableColumn id="20" xr3:uid="{3F80EDCA-6478-496F-B0E3-6FD5619792DD}" name="الترتيب" dataDxfId="1339">
      <calculatedColumnFormula>RANK(S7,S$7:S$156,0)</calculatedColumnFormula>
    </tableColumn>
  </tableColumns>
  <tableStyleInfo name="TableStyleLight1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467A34E-8049-492A-8958-3DD34EFE9F46}" name="Table32" displayName="Table32" ref="A6:T61" totalsRowShown="0" headerRowDxfId="1118" headerRowBorderDxfId="1117" tableBorderDxfId="1116">
  <autoFilter ref="A6:T61" xr:uid="{1467A34E-8049-492A-8958-3DD34EFE9F46}"/>
  <sortState xmlns:xlrd2="http://schemas.microsoft.com/office/spreadsheetml/2017/richdata2" ref="A7:T61">
    <sortCondition ref="T6:T61"/>
  </sortState>
  <tableColumns count="20">
    <tableColumn id="1" xr3:uid="{4C819E6A-C6E9-47A4-9678-073AC002A472}" name="NO" dataDxfId="1115"/>
    <tableColumn id="2" xr3:uid="{46D96385-62B3-4703-B6DF-B47702AD88A6}" name="NOPES" dataDxfId="1114"/>
    <tableColumn id="3" xr3:uid="{2711E28F-BF90-4D43-8E77-A58926B91352}" name="NIS" dataDxfId="1113"/>
    <tableColumn id="4" xr3:uid="{256CEBD8-8997-40D9-AAA3-DD7B2987E6D1}" name="NAMA" dataDxfId="1112"/>
    <tableColumn id="5" xr3:uid="{D2FAB1A0-30EC-4A20-87FE-613AF553208F}" name="ASR" dataDxfId="1111"/>
    <tableColumn id="6" xr3:uid="{28EEE340-A511-482A-9F06-A0611BE4BD0E}" name="KLS" dataDxfId="1110"/>
    <tableColumn id="7" xr3:uid="{8739ABDE-A17B-4D56-AD62-46946CD319C0}" name="RUANG" dataDxfId="1109"/>
    <tableColumn id="8" xr3:uid="{0470880D-1DDB-4D2B-9949-B967D8611F2A}" name="فتح القريب " dataDxfId="1108"/>
    <tableColumn id="9" xr3:uid="{CD5E5BE6-34D5-47A3-AD3B-2378E6396308}" name="تفسير الجلالين" dataDxfId="1107"/>
    <tableColumn id="10" xr3:uid="{4247235E-F638-4322-BD10-F672AFA10F19}" name="شرح ام البراهين" dataDxfId="1106"/>
    <tableColumn id="11" xr3:uid="{E3ADFAF6-402E-4684-92D8-052AC12E82A5}" name="قرة العين" dataDxfId="1105"/>
    <tableColumn id="12" xr3:uid="{1EB0BB3B-6C21-4D05-A30C-0FF3405938D5}" name="رسالة أهل السنة" dataDxfId="1104"/>
    <tableColumn id="13" xr3:uid="{8865A936-683B-4644-A468-6B5E24CA0B98}" name="الخلفاء الراشدون" dataDxfId="1103"/>
    <tableColumn id="14" xr3:uid="{D325B41D-63AB-4258-93D7-03AB4B3364F0}" name="الكواكب الدرية" dataDxfId="1102"/>
    <tableColumn id="15" xr3:uid="{2E862E7B-5B4C-41CD-A21C-AE5C6FD36EC7}" name="إملاء" dataDxfId="1101"/>
    <tableColumn id="16" xr3:uid="{6087AF48-3269-437B-B6EE-D574F5BCCA55}" name="بلوغ المرام" dataDxfId="1100"/>
    <tableColumn id="17" xr3:uid="{83CCE5E3-568F-4B8D-99C0-D6329CC5BA79}" name="منحة المغيث" dataDxfId="1099"/>
    <tableColumn id="18" xr3:uid="{5B9943B9-67CE-4276-88FB-B4811AE96E66}" name="جملة" dataDxfId="1098">
      <calculatedColumnFormula>SUBTOTAL(9,H7:Q7)</calculatedColumnFormula>
    </tableColumn>
    <tableColumn id="19" xr3:uid="{E21C67C7-8E49-4C2D-A16F-29FA0E25C2F6}" name="ألتسوية" dataDxfId="1097">
      <calculatedColumnFormula>R7/10</calculatedColumnFormula>
    </tableColumn>
    <tableColumn id="20" xr3:uid="{4F1F4476-4B1F-4619-8D9D-DFCD9DFEB81A}" name="الترتيب" dataDxfId="1096">
      <calculatedColumnFormula>RANK(S7,S$7:S$156,0)</calculatedColumnFormula>
    </tableColumn>
  </tableColumns>
  <tableStyleInfo name="TableStyleLight1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78930B0-52D7-41A6-9602-3A49661520B6}" name="Table33" displayName="Table33" ref="A6:T52" totalsRowShown="0" headerRowDxfId="911" headerRowBorderDxfId="910" tableBorderDxfId="909">
  <autoFilter ref="A6:T52" xr:uid="{878930B0-52D7-41A6-9602-3A49661520B6}"/>
  <sortState xmlns:xlrd2="http://schemas.microsoft.com/office/spreadsheetml/2017/richdata2" ref="A7:T52">
    <sortCondition ref="T6:T52"/>
  </sortState>
  <tableColumns count="20">
    <tableColumn id="1" xr3:uid="{2A856C14-1AE6-452B-B19C-48CE6D981734}" name="NO" dataDxfId="908"/>
    <tableColumn id="2" xr3:uid="{11C42A46-2B2C-4431-86DF-FCFA4A3A0F5F}" name="NOPES" dataDxfId="907"/>
    <tableColumn id="3" xr3:uid="{999F9EE8-F6E3-4046-B017-18F34BAAA4F8}" name="NIS" dataDxfId="906"/>
    <tableColumn id="4" xr3:uid="{573EA0F0-49FE-42EA-8B14-9471AD197441}" name="NAMA" dataDxfId="905"/>
    <tableColumn id="5" xr3:uid="{0CE1F5A3-B382-4BAB-AA80-C645C1F005C2}" name="ASR" dataDxfId="904"/>
    <tableColumn id="6" xr3:uid="{273A3D0E-E409-4112-A1B3-9213C2DB118A}" name="KLS" dataDxfId="903"/>
    <tableColumn id="7" xr3:uid="{22CF2A19-C384-415A-9F83-D10AA85ED245}" name="RUANG" dataDxfId="902"/>
    <tableColumn id="8" xr3:uid="{DAC44290-38BB-47FD-870E-98E57417CA34}" name="فتح القريب " dataDxfId="901"/>
    <tableColumn id="9" xr3:uid="{F18BD6EE-95F6-4F62-9BB6-CC3A7656138A}" name="تفسير الجلالين" dataDxfId="900"/>
    <tableColumn id="10" xr3:uid="{BFE19657-32E4-4AE1-B3B2-27205DE73D05}" name="شرح ام البراهين" dataDxfId="899"/>
    <tableColumn id="11" xr3:uid="{856F87B4-C4F4-427F-B63A-7538549FB8D1}" name="قرة العين" dataDxfId="898"/>
    <tableColumn id="12" xr3:uid="{DFBF473C-4D94-4652-9311-D70C60F6890F}" name="رسالة أهل السنة" dataDxfId="897"/>
    <tableColumn id="13" xr3:uid="{E03078D4-1D0A-43A7-8A7C-8CA77B2F2AFF}" name="الخلفاء الراشدون" dataDxfId="896"/>
    <tableColumn id="14" xr3:uid="{D186AD34-0732-4478-AB41-176F5EA920EE}" name="الكواكب الدرية" dataDxfId="895"/>
    <tableColumn id="15" xr3:uid="{5D3837AC-CE3D-4F51-A22B-B5C69E8D56BE}" name="إملاء" dataDxfId="894"/>
    <tableColumn id="16" xr3:uid="{2133CA17-ECD2-46D8-88B9-4E1A4D970492}" name="بلوغ المرام" dataDxfId="893"/>
    <tableColumn id="17" xr3:uid="{2D49B646-E52C-4BB3-9B25-F07A0FB2226F}" name="منحة المغيث" dataDxfId="892"/>
    <tableColumn id="18" xr3:uid="{70043A1F-85AB-43D1-B3DF-A0482501A0D9}" name="جملة" dataDxfId="891">
      <calculatedColumnFormula>SUBTOTAL(9,H7:Q7)</calculatedColumnFormula>
    </tableColumn>
    <tableColumn id="19" xr3:uid="{77C78D1B-BE15-406D-9E95-73F06EE3FF6B}" name="ألتسوية" dataDxfId="890">
      <calculatedColumnFormula>R7/10</calculatedColumnFormula>
    </tableColumn>
    <tableColumn id="20" xr3:uid="{5FF9E4F7-237B-4335-B208-3CCB590C1772}" name="الترتيب" dataDxfId="889">
      <calculatedColumnFormula>RANK(S7,S$7:S$156,0)</calculatedColumnFormula>
    </tableColumn>
  </tableColumns>
  <tableStyleInfo name="TableStyleLight1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6B09AD5-0B11-4957-958D-1183A791B0A3}" name="Table34" displayName="Table34" ref="A6:U69" totalsRowShown="0" headerRowDxfId="636" headerRowBorderDxfId="635" tableBorderDxfId="634">
  <autoFilter ref="A6:U69" xr:uid="{D6B09AD5-0B11-4957-958D-1183A791B0A3}"/>
  <sortState xmlns:xlrd2="http://schemas.microsoft.com/office/spreadsheetml/2017/richdata2" ref="A7:U69">
    <sortCondition ref="U6:U69"/>
  </sortState>
  <tableColumns count="21">
    <tableColumn id="1" xr3:uid="{849E05AA-131B-4CD8-8E4F-BA3100162A8D}" name="NO" dataDxfId="633"/>
    <tableColumn id="2" xr3:uid="{E0BD695E-3F80-46A9-AC59-C18266A184B2}" name="NOPES" dataDxfId="632"/>
    <tableColumn id="3" xr3:uid="{CFC028F8-C42A-468B-8EF7-86047F501DD3}" name="NIS" dataDxfId="631"/>
    <tableColumn id="4" xr3:uid="{61E4C532-DEE1-424E-959E-DA1EA7767181}" name="NAMA" dataDxfId="630"/>
    <tableColumn id="5" xr3:uid="{44B77D5C-9F4A-4927-A45D-15D20C980693}" name="ASR" dataDxfId="629"/>
    <tableColumn id="6" xr3:uid="{A0981559-E757-4F34-A56C-D783ABDC7E4C}" name="KLS" dataDxfId="628"/>
    <tableColumn id="7" xr3:uid="{8A6904F5-8E52-4002-A218-02FBDAAA8EFD}" name="RUANG" dataDxfId="627"/>
    <tableColumn id="8" xr3:uid="{2826FA84-43C4-47C9-8861-7C1A614694AA}" name="فتح القريب " dataDxfId="626"/>
    <tableColumn id="9" xr3:uid="{5C32B178-ED76-4B6E-BC70-141417EFB9AE}" name="تفسير الجلالين" dataDxfId="625"/>
    <tableColumn id="10" xr3:uid="{81455BC4-D1E7-460C-99CB-83025B3BE583}" name="شرح ام البراهين" dataDxfId="624"/>
    <tableColumn id="11" xr3:uid="{98B776C6-0DDA-49E4-AE1E-C0192DBAD909}" name="التبيان" dataDxfId="623"/>
    <tableColumn id="12" xr3:uid="{7D5F55A4-B7D7-419E-A6AA-9AD28CC206BF}" name="فرائد البهية" dataDxfId="622"/>
    <tableColumn id="13" xr3:uid="{9B7BD926-3CC3-4175-B523-4D68E43D5DFF}" name="الخلفاء الراشدون" dataDxfId="621"/>
    <tableColumn id="14" xr3:uid="{5DAAC4E2-A635-4280-BA87-101E65275CBA}" name="متممة الجرومية" dataDxfId="620"/>
    <tableColumn id="15" xr3:uid="{286F7538-1C18-45CE-8664-6256DDA31912}" name="نظم المقصود" dataDxfId="619"/>
    <tableColumn id="16" xr3:uid="{8AB8A791-F23B-41FF-BDEA-3198F4B270AD}" name="بلوغ المرام" dataDxfId="618"/>
    <tableColumn id="17" xr3:uid="{0CDCC9F8-C983-4EA3-8564-75666D347D28}" name="إملاء" dataDxfId="617"/>
    <tableColumn id="18" xr3:uid="{E3AF5768-FEE1-413A-80F7-8CA84115379C}" name="علم الفرائض" dataDxfId="616"/>
    <tableColumn id="19" xr3:uid="{A6393716-D7A8-405C-8ADE-5656FA7AA122}" name="جملة" dataDxfId="615">
      <calculatedColumnFormula>SUBTOTAL(9,H7:R7)</calculatedColumnFormula>
    </tableColumn>
    <tableColumn id="20" xr3:uid="{771B8EAB-E08D-4D86-BD65-787AD84CC79B}" name="ألتسوية" dataDxfId="614">
      <calculatedColumnFormula>S7/12</calculatedColumnFormula>
    </tableColumn>
    <tableColumn id="21" xr3:uid="{5F008DBD-C3F6-4CFD-AB2D-6C74D5833953}" name="الترتيب" dataDxfId="613">
      <calculatedColumnFormula>RANK(T7,T$7:T$125,0)</calculatedColumnFormula>
    </tableColumn>
  </tableColumns>
  <tableStyleInfo name="TableStyleLight1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756FDD3-BA22-4DD2-9193-A818D0167A7A}" name="Table35" displayName="Table35" ref="A6:U62" totalsRowShown="0" headerRowDxfId="384" headerRowBorderDxfId="383" tableBorderDxfId="382">
  <autoFilter ref="A6:U62" xr:uid="{6756FDD3-BA22-4DD2-9193-A818D0167A7A}"/>
  <sortState xmlns:xlrd2="http://schemas.microsoft.com/office/spreadsheetml/2017/richdata2" ref="A7:U62">
    <sortCondition ref="U6:U62"/>
  </sortState>
  <tableColumns count="21">
    <tableColumn id="1" xr3:uid="{F9405760-8D67-4238-BD34-8C80AEB127B4}" name="NO" dataDxfId="381"/>
    <tableColumn id="2" xr3:uid="{F0FA80A5-2392-406C-AD56-48FACC14C822}" name="NOPES" dataDxfId="380"/>
    <tableColumn id="3" xr3:uid="{BB78EE3B-0FC0-4787-8B90-9B6AE4313D23}" name="NIS" dataDxfId="379"/>
    <tableColumn id="4" xr3:uid="{9F3F8A5A-F68A-4EFD-9F15-14CAD72C927A}" name="NAMA" dataDxfId="378"/>
    <tableColumn id="5" xr3:uid="{4EF795B1-287A-42A5-8BAD-10E8308465A8}" name="ASR" dataDxfId="377"/>
    <tableColumn id="6" xr3:uid="{FD8CBDB4-FF03-459A-B86B-C4EBCCA61D86}" name="KLS" dataDxfId="376"/>
    <tableColumn id="7" xr3:uid="{9B9FE911-49A7-417F-BB43-5B01A24E0882}" name="RUANG" dataDxfId="375"/>
    <tableColumn id="8" xr3:uid="{6D052704-3A85-4818-B832-2AA868B88BB9}" name="فتح القريب " dataDxfId="374"/>
    <tableColumn id="9" xr3:uid="{738AF325-D19F-412B-8825-C09863BDD6B2}" name="تفسير الجلالين" dataDxfId="373"/>
    <tableColumn id="10" xr3:uid="{C4EC59E6-C9B7-490E-A28D-BA9894EB3DDE}" name="شرح ام البراهين" dataDxfId="372"/>
    <tableColumn id="11" xr3:uid="{5F87BDBC-7330-4D4E-ADBD-4D736249538A}" name="التبيان" dataDxfId="371"/>
    <tableColumn id="12" xr3:uid="{AE173FAA-71B0-4185-A46A-C5B0178B69E6}" name="فرائد البهية" dataDxfId="370"/>
    <tableColumn id="13" xr3:uid="{351FDC14-69D5-4DB1-92D8-F0F9F09A43CD}" name="الخلفاء الراشدون" dataDxfId="369"/>
    <tableColumn id="14" xr3:uid="{40B9AC6B-A053-4AFF-AAFB-9E6DF793F5AF}" name="متممة الجرومية" dataDxfId="368"/>
    <tableColumn id="15" xr3:uid="{E8E90D88-3FAD-4928-9511-C0AD502885FC}" name="نظم المقصود" dataDxfId="367"/>
    <tableColumn id="16" xr3:uid="{A1484A3C-DB17-4D1D-8587-E9ED4164BE13}" name="بلوغ المرام" dataDxfId="366"/>
    <tableColumn id="17" xr3:uid="{B74F2189-BCA0-4A39-B2E3-CEE0ADA1F281}" name="إملاء" dataDxfId="365"/>
    <tableColumn id="18" xr3:uid="{F538E7ED-D8C8-4737-8420-295A20FCCB7F}" name="علم الفرائض" dataDxfId="364"/>
    <tableColumn id="19" xr3:uid="{B22FA61A-04E5-420C-94F9-BC4ED4727509}" name="جملة" dataDxfId="363">
      <calculatedColumnFormula>SUBTOTAL(9,H7:R7)</calculatedColumnFormula>
    </tableColumn>
    <tableColumn id="20" xr3:uid="{F60F7097-9ED7-4323-85DF-657FEB88B656}" name="ألتسوية" dataDxfId="362">
      <calculatedColumnFormula>S7/12</calculatedColumnFormula>
    </tableColumn>
    <tableColumn id="21" xr3:uid="{B366A4D9-3CA8-4B90-8E58-75161C21ECCA}" name="الترتيب" dataDxfId="361">
      <calculatedColumnFormula>RANK(T7,T$7:T$125,0)</calculatedColumnFormula>
    </tableColumn>
  </tableColumns>
  <tableStyleInfo name="TableStyleLight1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2E5D1DB-72A8-4C59-92AD-4025B8BCBB52}" name="Table36" displayName="Table36" ref="A6:U89" totalsRowShown="0" headerRowDxfId="23" headerRowBorderDxfId="22" tableBorderDxfId="21">
  <autoFilter ref="A6:U89" xr:uid="{42E5D1DB-72A8-4C59-92AD-4025B8BCBB52}"/>
  <sortState xmlns:xlrd2="http://schemas.microsoft.com/office/spreadsheetml/2017/richdata2" ref="A7:U89">
    <sortCondition ref="U6:U89"/>
  </sortState>
  <tableColumns count="21">
    <tableColumn id="1" xr3:uid="{6BF20C65-CEA6-43C3-B604-1AB6F891892D}" name="NO" dataDxfId="20"/>
    <tableColumn id="2" xr3:uid="{91DD2A52-4FED-4715-8116-6D4C6C9D5D68}" name="NOPES" dataDxfId="19"/>
    <tableColumn id="3" xr3:uid="{A4088DAC-7656-4AC4-9B7A-201F88161C23}" name="NIS" dataDxfId="18"/>
    <tableColumn id="4" xr3:uid="{43C6FB8D-F7DD-4653-AC2D-A6D5CB7DEBB3}" name="NAMA" dataDxfId="17"/>
    <tableColumn id="5" xr3:uid="{AB8C962A-7115-49F8-A833-AF8C2C048557}" name="ASR" dataDxfId="16"/>
    <tableColumn id="6" xr3:uid="{7BBAFCC5-7739-4389-816A-BAA7D0EE04BE}" name="KLS" dataDxfId="15"/>
    <tableColumn id="7" xr3:uid="{3F2C2193-277D-481A-B85D-5BF4FE6BA1FD}" name="RUANG" dataDxfId="14"/>
    <tableColumn id="8" xr3:uid="{C5E3595D-4A75-45EC-9209-D08E0F397BC7}" name="فتح القريب " dataDxfId="13"/>
    <tableColumn id="9" xr3:uid="{CD5B7701-A00D-4F43-9FCF-BDB2E9F38DCF}" name="تفسير الجلالين" dataDxfId="12"/>
    <tableColumn id="10" xr3:uid="{19B04B81-F6B3-470E-B908-52784389FA95}" name="شرح ام البراهين" dataDxfId="11"/>
    <tableColumn id="11" xr3:uid="{B894472B-58E5-4502-9186-33093C6B9F15}" name="لتبيان فى علوم القران" dataDxfId="10"/>
    <tableColumn id="12" xr3:uid="{2E07985B-D318-4A0C-BBBC-A478B2199DEC}" name="فراائد البهية" dataDxfId="9"/>
    <tableColumn id="13" xr3:uid="{A89F0C2D-5636-48E6-8493-0B635265670A}" name="الخلفاء الراشدون" dataDxfId="8"/>
    <tableColumn id="14" xr3:uid="{F97B4A80-217B-4607-8313-8AB95114E228}" name="متممة الأجرومية" dataDxfId="7"/>
    <tableColumn id="15" xr3:uid="{32597050-45A5-4CF9-A24F-A91073CCC14B}" name="ستين مسئلة" dataDxfId="6"/>
    <tableColumn id="16" xr3:uid="{9D4CAA30-2EDB-40F6-A80A-1EAFBDAEF241}" name="بلوغ المرام" dataDxfId="5"/>
    <tableColumn id="17" xr3:uid="{A87EFD4B-2A84-4BE4-B201-E3116F28221D}" name="إملاء" dataDxfId="4"/>
    <tableColumn id="18" xr3:uid="{658B934D-42E7-43DC-92B9-6076968D95FE}" name="إيضاح المبهم" dataDxfId="3"/>
    <tableColumn id="19" xr3:uid="{591D6A9C-F81C-426F-AE06-780C1E174DCC}" name="جملة" dataDxfId="2">
      <calculatedColumnFormula>SUBTOTAL(9,H7:R7)</calculatedColumnFormula>
    </tableColumn>
    <tableColumn id="20" xr3:uid="{D09C0B18-E054-44DA-93FA-152D2C0BF101}" name="ألتسوية" dataDxfId="1">
      <calculatedColumnFormula>S7/12</calculatedColumnFormula>
    </tableColumn>
    <tableColumn id="21" xr3:uid="{89B34896-4A44-40E1-AAB3-2D285BE2DB6E}" name="الترتيب" dataDxfId="0">
      <calculatedColumnFormula>RANK(T7,T$7:T$89,0)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188F-8CBB-4953-A263-6948B857BAA4}">
  <sheetPr codeName="Sheet83"/>
  <dimension ref="A1:P49"/>
  <sheetViews>
    <sheetView showGridLines="0" tabSelected="1" workbookViewId="0">
      <selection activeCell="T11" sqref="T11"/>
    </sheetView>
  </sheetViews>
  <sheetFormatPr defaultRowHeight="15"/>
  <cols>
    <col min="1" max="1" width="4.7109375" customWidth="1"/>
    <col min="2" max="2" width="10.7109375" customWidth="1"/>
    <col min="3" max="3" width="11.28515625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2" width="4.7109375" customWidth="1"/>
    <col min="13" max="13" width="4.7109375" style="44" customWidth="1"/>
    <col min="14" max="14" width="6.7109375" style="44" customWidth="1"/>
    <col min="15" max="15" width="4.7109375" style="44" customWidth="1"/>
    <col min="16" max="16" width="4.7109375" customWidth="1"/>
  </cols>
  <sheetData>
    <row r="1" spans="1:16" ht="18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8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18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1:16" ht="18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42"/>
      <c r="N4" s="42"/>
      <c r="O4" s="42"/>
      <c r="P4" s="15"/>
    </row>
    <row r="5" spans="1:16" ht="18" customHeight="1">
      <c r="A5" s="57" t="s">
        <v>5326</v>
      </c>
      <c r="B5" s="57"/>
      <c r="C5" s="17" t="s">
        <v>5327</v>
      </c>
      <c r="D5" s="15"/>
      <c r="E5" s="15"/>
      <c r="F5" s="17"/>
      <c r="G5" s="15"/>
      <c r="H5" s="15"/>
      <c r="I5" s="15"/>
      <c r="J5" s="15"/>
      <c r="K5" s="15"/>
      <c r="L5" s="15"/>
      <c r="M5" s="42"/>
      <c r="N5" s="42"/>
      <c r="O5" s="42"/>
      <c r="P5" s="15"/>
    </row>
    <row r="6" spans="1:16" ht="70.5" customHeight="1">
      <c r="A6" s="21" t="s">
        <v>41</v>
      </c>
      <c r="B6" s="22" t="s">
        <v>42</v>
      </c>
      <c r="C6" s="22" t="s">
        <v>43</v>
      </c>
      <c r="D6" s="22" t="s">
        <v>44</v>
      </c>
      <c r="E6" s="22" t="s">
        <v>45</v>
      </c>
      <c r="F6" s="22" t="s">
        <v>46</v>
      </c>
      <c r="G6" s="23" t="s">
        <v>47</v>
      </c>
      <c r="H6" s="24" t="s">
        <v>48</v>
      </c>
      <c r="I6" s="25" t="s">
        <v>49</v>
      </c>
      <c r="J6" s="24" t="s">
        <v>50</v>
      </c>
      <c r="K6" s="24" t="s">
        <v>3</v>
      </c>
      <c r="L6" s="24" t="s">
        <v>1</v>
      </c>
      <c r="M6" s="43" t="s">
        <v>5318</v>
      </c>
      <c r="N6" s="43" t="s">
        <v>5320</v>
      </c>
      <c r="O6" s="43" t="s">
        <v>5321</v>
      </c>
      <c r="P6" s="26" t="s">
        <v>5324</v>
      </c>
    </row>
    <row r="7" spans="1:16" ht="18" customHeight="1">
      <c r="A7" s="19">
        <v>1</v>
      </c>
      <c r="B7" s="2" t="s">
        <v>398</v>
      </c>
      <c r="C7" s="1">
        <v>311260472</v>
      </c>
      <c r="D7" s="3" t="s">
        <v>399</v>
      </c>
      <c r="E7" s="1" t="s">
        <v>74</v>
      </c>
      <c r="F7" s="10" t="s">
        <v>342</v>
      </c>
      <c r="G7" s="1">
        <v>38</v>
      </c>
      <c r="H7" s="18">
        <v>86</v>
      </c>
      <c r="I7" s="18">
        <v>79</v>
      </c>
      <c r="J7" s="18">
        <v>86</v>
      </c>
      <c r="K7" s="18">
        <v>95</v>
      </c>
      <c r="L7" s="18">
        <v>94</v>
      </c>
      <c r="M7" s="14">
        <v>100</v>
      </c>
      <c r="N7" s="14">
        <f t="shared" ref="N7:N49" si="0">SUBTOTAL(9,H7:M7)</f>
        <v>540</v>
      </c>
      <c r="O7" s="14">
        <f t="shared" ref="O7:O49" si="1">N7/7</f>
        <v>77.142857142857139</v>
      </c>
      <c r="P7" s="20">
        <f t="shared" ref="P7:P49" si="2">RANK(O7,O$7:O$88,0)</f>
        <v>1</v>
      </c>
    </row>
    <row r="8" spans="1:16" ht="18" customHeight="1">
      <c r="A8" s="19">
        <v>2</v>
      </c>
      <c r="B8" s="2" t="s">
        <v>364</v>
      </c>
      <c r="C8" s="1">
        <v>311260455</v>
      </c>
      <c r="D8" s="3" t="s">
        <v>365</v>
      </c>
      <c r="E8" s="1" t="s">
        <v>55</v>
      </c>
      <c r="F8" s="10" t="s">
        <v>342</v>
      </c>
      <c r="G8" s="1">
        <v>38</v>
      </c>
      <c r="H8" s="18">
        <v>100</v>
      </c>
      <c r="I8" s="18">
        <v>73</v>
      </c>
      <c r="J8" s="18">
        <v>73</v>
      </c>
      <c r="K8" s="18">
        <v>80</v>
      </c>
      <c r="L8" s="18">
        <v>100</v>
      </c>
      <c r="M8" s="14">
        <v>100</v>
      </c>
      <c r="N8" s="14">
        <f t="shared" si="0"/>
        <v>526</v>
      </c>
      <c r="O8" s="14">
        <f t="shared" si="1"/>
        <v>75.142857142857139</v>
      </c>
      <c r="P8" s="20">
        <f t="shared" si="2"/>
        <v>2</v>
      </c>
    </row>
    <row r="9" spans="1:16" ht="18" customHeight="1">
      <c r="A9" s="19">
        <v>3</v>
      </c>
      <c r="B9" s="2" t="s">
        <v>400</v>
      </c>
      <c r="C9" s="1">
        <v>311260473</v>
      </c>
      <c r="D9" s="3" t="s">
        <v>401</v>
      </c>
      <c r="E9" s="1" t="s">
        <v>65</v>
      </c>
      <c r="F9" s="10" t="s">
        <v>342</v>
      </c>
      <c r="G9" s="1">
        <v>38</v>
      </c>
      <c r="H9" s="18">
        <v>86</v>
      </c>
      <c r="I9" s="18">
        <v>59</v>
      </c>
      <c r="J9" s="18">
        <v>86</v>
      </c>
      <c r="K9" s="18">
        <v>90</v>
      </c>
      <c r="L9" s="18">
        <v>89</v>
      </c>
      <c r="M9" s="14">
        <v>100</v>
      </c>
      <c r="N9" s="14">
        <f t="shared" si="0"/>
        <v>510</v>
      </c>
      <c r="O9" s="14">
        <f t="shared" si="1"/>
        <v>72.857142857142861</v>
      </c>
      <c r="P9" s="20">
        <f t="shared" si="2"/>
        <v>3</v>
      </c>
    </row>
    <row r="10" spans="1:16" ht="18" customHeight="1">
      <c r="A10" s="19">
        <v>4</v>
      </c>
      <c r="B10" s="2" t="s">
        <v>358</v>
      </c>
      <c r="C10" s="1">
        <v>311260333</v>
      </c>
      <c r="D10" s="3" t="s">
        <v>359</v>
      </c>
      <c r="E10" s="1" t="s">
        <v>63</v>
      </c>
      <c r="F10" s="10" t="s">
        <v>342</v>
      </c>
      <c r="G10" s="1">
        <v>38</v>
      </c>
      <c r="H10" s="18">
        <v>79</v>
      </c>
      <c r="I10" s="18">
        <v>59</v>
      </c>
      <c r="J10" s="18">
        <v>86</v>
      </c>
      <c r="K10" s="18">
        <v>80</v>
      </c>
      <c r="L10" s="18">
        <v>89</v>
      </c>
      <c r="M10" s="14">
        <v>100</v>
      </c>
      <c r="N10" s="14">
        <f t="shared" si="0"/>
        <v>493</v>
      </c>
      <c r="O10" s="14">
        <f t="shared" si="1"/>
        <v>70.428571428571431</v>
      </c>
      <c r="P10" s="20">
        <f t="shared" si="2"/>
        <v>4</v>
      </c>
    </row>
    <row r="11" spans="1:16" ht="18" customHeight="1">
      <c r="A11" s="19">
        <v>5</v>
      </c>
      <c r="B11" s="2" t="s">
        <v>368</v>
      </c>
      <c r="C11" s="1">
        <v>311260457</v>
      </c>
      <c r="D11" s="3" t="s">
        <v>369</v>
      </c>
      <c r="E11" s="1" t="s">
        <v>55</v>
      </c>
      <c r="F11" s="10" t="s">
        <v>342</v>
      </c>
      <c r="G11" s="1">
        <v>38</v>
      </c>
      <c r="H11" s="18">
        <v>86</v>
      </c>
      <c r="I11" s="18">
        <v>53</v>
      </c>
      <c r="J11" s="18">
        <v>73</v>
      </c>
      <c r="K11" s="18">
        <v>80</v>
      </c>
      <c r="L11" s="18">
        <v>100</v>
      </c>
      <c r="M11" s="14">
        <v>100</v>
      </c>
      <c r="N11" s="14">
        <f t="shared" si="0"/>
        <v>492</v>
      </c>
      <c r="O11" s="14">
        <f t="shared" si="1"/>
        <v>70.285714285714292</v>
      </c>
      <c r="P11" s="20">
        <f t="shared" si="2"/>
        <v>5</v>
      </c>
    </row>
    <row r="12" spans="1:16" ht="18" customHeight="1">
      <c r="A12" s="19">
        <v>6</v>
      </c>
      <c r="B12" s="2" t="s">
        <v>394</v>
      </c>
      <c r="C12" s="1">
        <v>311260470</v>
      </c>
      <c r="D12" s="3" t="s">
        <v>395</v>
      </c>
      <c r="E12" s="1" t="s">
        <v>81</v>
      </c>
      <c r="F12" s="10" t="s">
        <v>342</v>
      </c>
      <c r="G12" s="1">
        <v>38</v>
      </c>
      <c r="H12" s="18">
        <v>79</v>
      </c>
      <c r="I12" s="18">
        <v>73</v>
      </c>
      <c r="J12" s="18">
        <v>79</v>
      </c>
      <c r="K12" s="18">
        <v>70</v>
      </c>
      <c r="L12" s="18">
        <v>94</v>
      </c>
      <c r="M12" s="14">
        <v>96.666666666666671</v>
      </c>
      <c r="N12" s="14">
        <f t="shared" si="0"/>
        <v>491.66666666666669</v>
      </c>
      <c r="O12" s="14">
        <f t="shared" si="1"/>
        <v>70.238095238095241</v>
      </c>
      <c r="P12" s="20">
        <f t="shared" si="2"/>
        <v>6</v>
      </c>
    </row>
    <row r="13" spans="1:16" ht="18" customHeight="1">
      <c r="A13" s="19">
        <v>7</v>
      </c>
      <c r="B13" s="2" t="s">
        <v>414</v>
      </c>
      <c r="C13" s="1">
        <v>311260953</v>
      </c>
      <c r="D13" s="3" t="s">
        <v>415</v>
      </c>
      <c r="E13" s="1" t="s">
        <v>59</v>
      </c>
      <c r="F13" s="10" t="s">
        <v>342</v>
      </c>
      <c r="G13" s="1">
        <v>38</v>
      </c>
      <c r="H13" s="18">
        <v>73</v>
      </c>
      <c r="I13" s="18">
        <v>66</v>
      </c>
      <c r="J13" s="18">
        <v>86</v>
      </c>
      <c r="K13" s="18">
        <v>55</v>
      </c>
      <c r="L13" s="18">
        <v>94</v>
      </c>
      <c r="M13" s="14">
        <v>100</v>
      </c>
      <c r="N13" s="14">
        <f t="shared" si="0"/>
        <v>474</v>
      </c>
      <c r="O13" s="14">
        <f t="shared" si="1"/>
        <v>67.714285714285708</v>
      </c>
      <c r="P13" s="20">
        <f t="shared" si="2"/>
        <v>7</v>
      </c>
    </row>
    <row r="14" spans="1:16" ht="18" customHeight="1">
      <c r="A14" s="19">
        <v>8</v>
      </c>
      <c r="B14" s="2" t="s">
        <v>376</v>
      </c>
      <c r="C14" s="1">
        <v>311260461</v>
      </c>
      <c r="D14" s="3" t="s">
        <v>377</v>
      </c>
      <c r="E14" s="1" t="s">
        <v>57</v>
      </c>
      <c r="F14" s="10" t="s">
        <v>342</v>
      </c>
      <c r="G14" s="1">
        <v>38</v>
      </c>
      <c r="H14" s="18">
        <v>73</v>
      </c>
      <c r="I14" s="18">
        <v>66</v>
      </c>
      <c r="J14" s="18">
        <v>86</v>
      </c>
      <c r="K14" s="18">
        <v>65</v>
      </c>
      <c r="L14" s="18">
        <v>83</v>
      </c>
      <c r="M14" s="14">
        <v>100</v>
      </c>
      <c r="N14" s="14">
        <f t="shared" si="0"/>
        <v>473</v>
      </c>
      <c r="O14" s="14">
        <f t="shared" si="1"/>
        <v>67.571428571428569</v>
      </c>
      <c r="P14" s="20">
        <f t="shared" si="2"/>
        <v>8</v>
      </c>
    </row>
    <row r="15" spans="1:16" ht="18" customHeight="1">
      <c r="A15" s="19">
        <v>9</v>
      </c>
      <c r="B15" s="2" t="s">
        <v>390</v>
      </c>
      <c r="C15" s="1">
        <v>311260468</v>
      </c>
      <c r="D15" s="3" t="s">
        <v>391</v>
      </c>
      <c r="E15" s="1" t="s">
        <v>60</v>
      </c>
      <c r="F15" s="10" t="s">
        <v>342</v>
      </c>
      <c r="G15" s="1">
        <v>38</v>
      </c>
      <c r="H15" s="18">
        <v>92</v>
      </c>
      <c r="I15" s="18">
        <v>40</v>
      </c>
      <c r="J15" s="18">
        <v>79</v>
      </c>
      <c r="K15" s="18">
        <v>65</v>
      </c>
      <c r="L15" s="18">
        <v>94</v>
      </c>
      <c r="M15" s="14">
        <v>100</v>
      </c>
      <c r="N15" s="14">
        <f t="shared" si="0"/>
        <v>470</v>
      </c>
      <c r="O15" s="14">
        <f t="shared" si="1"/>
        <v>67.142857142857139</v>
      </c>
      <c r="P15" s="20">
        <f t="shared" si="2"/>
        <v>9</v>
      </c>
    </row>
    <row r="16" spans="1:16" ht="18" customHeight="1">
      <c r="A16" s="19">
        <v>10</v>
      </c>
      <c r="B16" s="2" t="s">
        <v>366</v>
      </c>
      <c r="C16" s="1">
        <v>311260456</v>
      </c>
      <c r="D16" s="3" t="s">
        <v>367</v>
      </c>
      <c r="E16" s="1" t="s">
        <v>55</v>
      </c>
      <c r="F16" s="10" t="s">
        <v>342</v>
      </c>
      <c r="G16" s="1">
        <v>38</v>
      </c>
      <c r="H16" s="18">
        <v>73</v>
      </c>
      <c r="I16" s="18">
        <v>40</v>
      </c>
      <c r="J16" s="18">
        <v>92</v>
      </c>
      <c r="K16" s="18">
        <v>55</v>
      </c>
      <c r="L16" s="18">
        <v>100</v>
      </c>
      <c r="M16" s="14">
        <v>83.333333333333329</v>
      </c>
      <c r="N16" s="14">
        <f t="shared" si="0"/>
        <v>443.33333333333331</v>
      </c>
      <c r="O16" s="14">
        <f t="shared" si="1"/>
        <v>63.333333333333329</v>
      </c>
      <c r="P16" s="20">
        <f t="shared" si="2"/>
        <v>10</v>
      </c>
    </row>
    <row r="17" spans="1:16" ht="18" customHeight="1">
      <c r="A17" s="19">
        <v>11</v>
      </c>
      <c r="B17" s="2" t="s">
        <v>5313</v>
      </c>
      <c r="C17" s="1">
        <v>311261008</v>
      </c>
      <c r="D17" s="3" t="s">
        <v>3714</v>
      </c>
      <c r="E17" s="1" t="s">
        <v>67</v>
      </c>
      <c r="F17" s="10" t="s">
        <v>342</v>
      </c>
      <c r="G17" s="1">
        <v>38</v>
      </c>
      <c r="H17" s="18">
        <v>73</v>
      </c>
      <c r="I17" s="18">
        <v>46</v>
      </c>
      <c r="J17" s="18">
        <v>73</v>
      </c>
      <c r="K17" s="18">
        <v>55</v>
      </c>
      <c r="L17" s="18">
        <v>89</v>
      </c>
      <c r="M17" s="14">
        <v>100</v>
      </c>
      <c r="N17" s="14">
        <f t="shared" si="0"/>
        <v>436</v>
      </c>
      <c r="O17" s="14">
        <f t="shared" si="1"/>
        <v>62.285714285714285</v>
      </c>
      <c r="P17" s="20">
        <f t="shared" si="2"/>
        <v>11</v>
      </c>
    </row>
    <row r="18" spans="1:16" ht="18" customHeight="1">
      <c r="A18" s="19">
        <v>12</v>
      </c>
      <c r="B18" s="2" t="s">
        <v>362</v>
      </c>
      <c r="C18" s="1">
        <v>311260454</v>
      </c>
      <c r="D18" s="3" t="s">
        <v>363</v>
      </c>
      <c r="E18" s="1" t="s">
        <v>69</v>
      </c>
      <c r="F18" s="10" t="s">
        <v>342</v>
      </c>
      <c r="G18" s="1">
        <v>38</v>
      </c>
      <c r="H18" s="18">
        <v>79</v>
      </c>
      <c r="I18" s="18">
        <v>26</v>
      </c>
      <c r="J18" s="18">
        <v>79</v>
      </c>
      <c r="K18" s="18">
        <v>45</v>
      </c>
      <c r="L18" s="18">
        <v>100</v>
      </c>
      <c r="M18" s="14">
        <v>100</v>
      </c>
      <c r="N18" s="14">
        <f t="shared" si="0"/>
        <v>429</v>
      </c>
      <c r="O18" s="14">
        <f t="shared" si="1"/>
        <v>61.285714285714285</v>
      </c>
      <c r="P18" s="20">
        <f t="shared" si="2"/>
        <v>12</v>
      </c>
    </row>
    <row r="19" spans="1:16" ht="18" customHeight="1">
      <c r="A19" s="19">
        <v>13</v>
      </c>
      <c r="B19" s="2" t="s">
        <v>386</v>
      </c>
      <c r="C19" s="1">
        <v>311260466</v>
      </c>
      <c r="D19" s="3" t="s">
        <v>387</v>
      </c>
      <c r="E19" s="1" t="s">
        <v>58</v>
      </c>
      <c r="F19" s="10" t="s">
        <v>342</v>
      </c>
      <c r="G19" s="1">
        <v>38</v>
      </c>
      <c r="H19" s="18">
        <v>66</v>
      </c>
      <c r="I19" s="18">
        <v>33</v>
      </c>
      <c r="J19" s="18">
        <v>66</v>
      </c>
      <c r="K19" s="18">
        <v>80</v>
      </c>
      <c r="L19" s="18">
        <v>94</v>
      </c>
      <c r="M19" s="14">
        <v>90</v>
      </c>
      <c r="N19" s="14">
        <f t="shared" si="0"/>
        <v>429</v>
      </c>
      <c r="O19" s="14">
        <f t="shared" si="1"/>
        <v>61.285714285714285</v>
      </c>
      <c r="P19" s="20">
        <f t="shared" si="2"/>
        <v>12</v>
      </c>
    </row>
    <row r="20" spans="1:16" ht="18" customHeight="1">
      <c r="A20" s="19">
        <v>14</v>
      </c>
      <c r="B20" s="2" t="s">
        <v>356</v>
      </c>
      <c r="C20" s="1">
        <v>311260332</v>
      </c>
      <c r="D20" s="3" t="s">
        <v>357</v>
      </c>
      <c r="E20" s="1" t="s">
        <v>73</v>
      </c>
      <c r="F20" s="10" t="s">
        <v>342</v>
      </c>
      <c r="G20" s="1">
        <v>38</v>
      </c>
      <c r="H20" s="18">
        <v>66</v>
      </c>
      <c r="I20" s="18">
        <v>40</v>
      </c>
      <c r="J20" s="18">
        <v>53</v>
      </c>
      <c r="K20" s="18">
        <v>75</v>
      </c>
      <c r="L20" s="18">
        <v>94</v>
      </c>
      <c r="M20" s="14">
        <v>100</v>
      </c>
      <c r="N20" s="14">
        <f t="shared" si="0"/>
        <v>428</v>
      </c>
      <c r="O20" s="14">
        <f t="shared" si="1"/>
        <v>61.142857142857146</v>
      </c>
      <c r="P20" s="20">
        <f t="shared" si="2"/>
        <v>14</v>
      </c>
    </row>
    <row r="21" spans="1:16" ht="18" customHeight="1">
      <c r="A21" s="19">
        <v>15</v>
      </c>
      <c r="B21" s="2" t="s">
        <v>347</v>
      </c>
      <c r="C21" s="1">
        <v>311260328</v>
      </c>
      <c r="D21" s="3" t="s">
        <v>348</v>
      </c>
      <c r="E21" s="1" t="s">
        <v>64</v>
      </c>
      <c r="F21" s="10" t="s">
        <v>342</v>
      </c>
      <c r="G21" s="1">
        <v>38</v>
      </c>
      <c r="H21" s="18">
        <v>66</v>
      </c>
      <c r="I21" s="18">
        <v>46</v>
      </c>
      <c r="J21" s="18">
        <v>79</v>
      </c>
      <c r="K21" s="18">
        <v>50</v>
      </c>
      <c r="L21" s="18">
        <v>94</v>
      </c>
      <c r="M21" s="14">
        <v>90</v>
      </c>
      <c r="N21" s="14">
        <f t="shared" si="0"/>
        <v>425</v>
      </c>
      <c r="O21" s="14">
        <f t="shared" si="1"/>
        <v>60.714285714285715</v>
      </c>
      <c r="P21" s="20">
        <f t="shared" si="2"/>
        <v>15</v>
      </c>
    </row>
    <row r="22" spans="1:16" ht="18" customHeight="1">
      <c r="A22" s="19">
        <v>16</v>
      </c>
      <c r="B22" s="2" t="s">
        <v>388</v>
      </c>
      <c r="C22" s="1">
        <v>311260467</v>
      </c>
      <c r="D22" s="3" t="s">
        <v>389</v>
      </c>
      <c r="E22" s="1" t="s">
        <v>59</v>
      </c>
      <c r="F22" s="10" t="s">
        <v>342</v>
      </c>
      <c r="G22" s="1">
        <v>38</v>
      </c>
      <c r="H22" s="18">
        <v>79</v>
      </c>
      <c r="I22" s="18">
        <v>53</v>
      </c>
      <c r="J22" s="18">
        <v>53</v>
      </c>
      <c r="K22" s="18">
        <v>65</v>
      </c>
      <c r="L22" s="18">
        <v>72</v>
      </c>
      <c r="M22" s="14">
        <v>93.333333333333329</v>
      </c>
      <c r="N22" s="14">
        <f t="shared" si="0"/>
        <v>415.33333333333331</v>
      </c>
      <c r="O22" s="14">
        <f t="shared" si="1"/>
        <v>59.333333333333329</v>
      </c>
      <c r="P22" s="20">
        <f t="shared" si="2"/>
        <v>16</v>
      </c>
    </row>
    <row r="23" spans="1:16" ht="18" customHeight="1">
      <c r="A23" s="19">
        <v>17</v>
      </c>
      <c r="B23" s="2" t="s">
        <v>372</v>
      </c>
      <c r="C23" s="1">
        <v>311260459</v>
      </c>
      <c r="D23" s="3" t="s">
        <v>373</v>
      </c>
      <c r="E23" s="1" t="s">
        <v>56</v>
      </c>
      <c r="F23" s="10" t="s">
        <v>342</v>
      </c>
      <c r="G23" s="1">
        <v>38</v>
      </c>
      <c r="H23" s="18">
        <v>26</v>
      </c>
      <c r="I23" s="18">
        <v>66</v>
      </c>
      <c r="J23" s="18">
        <v>40</v>
      </c>
      <c r="K23" s="18">
        <v>80</v>
      </c>
      <c r="L23" s="18">
        <v>100</v>
      </c>
      <c r="M23" s="14">
        <v>100</v>
      </c>
      <c r="N23" s="14">
        <f t="shared" si="0"/>
        <v>412</v>
      </c>
      <c r="O23" s="14">
        <f t="shared" si="1"/>
        <v>58.857142857142854</v>
      </c>
      <c r="P23" s="20">
        <f t="shared" si="2"/>
        <v>17</v>
      </c>
    </row>
    <row r="24" spans="1:16" ht="18" customHeight="1">
      <c r="A24" s="19">
        <v>18</v>
      </c>
      <c r="B24" s="2" t="s">
        <v>340</v>
      </c>
      <c r="C24" s="1">
        <v>311260325</v>
      </c>
      <c r="D24" s="3" t="s">
        <v>341</v>
      </c>
      <c r="E24" s="1" t="s">
        <v>69</v>
      </c>
      <c r="F24" s="10" t="s">
        <v>342</v>
      </c>
      <c r="G24" s="1">
        <v>38</v>
      </c>
      <c r="H24" s="18">
        <v>86</v>
      </c>
      <c r="I24" s="18">
        <v>26</v>
      </c>
      <c r="J24" s="18">
        <v>51</v>
      </c>
      <c r="K24" s="18">
        <v>70</v>
      </c>
      <c r="L24" s="18">
        <v>100</v>
      </c>
      <c r="M24" s="14">
        <v>66.666666666666671</v>
      </c>
      <c r="N24" s="14">
        <f t="shared" si="0"/>
        <v>399.66666666666669</v>
      </c>
      <c r="O24" s="14">
        <f t="shared" si="1"/>
        <v>57.095238095238095</v>
      </c>
      <c r="P24" s="20">
        <f t="shared" si="2"/>
        <v>18</v>
      </c>
    </row>
    <row r="25" spans="1:16" ht="18" customHeight="1">
      <c r="A25" s="19">
        <v>19</v>
      </c>
      <c r="B25" s="2" t="s">
        <v>380</v>
      </c>
      <c r="C25" s="1">
        <v>311260463</v>
      </c>
      <c r="D25" s="3" t="s">
        <v>381</v>
      </c>
      <c r="E25" s="1" t="s">
        <v>57</v>
      </c>
      <c r="F25" s="10" t="s">
        <v>342</v>
      </c>
      <c r="G25" s="1">
        <v>38</v>
      </c>
      <c r="H25" s="18">
        <v>92</v>
      </c>
      <c r="I25" s="18">
        <v>59</v>
      </c>
      <c r="J25" s="18">
        <v>73</v>
      </c>
      <c r="K25" s="18">
        <v>35</v>
      </c>
      <c r="L25" s="18">
        <v>38</v>
      </c>
      <c r="M25" s="14">
        <v>100</v>
      </c>
      <c r="N25" s="14">
        <f t="shared" si="0"/>
        <v>397</v>
      </c>
      <c r="O25" s="14">
        <f t="shared" si="1"/>
        <v>56.714285714285715</v>
      </c>
      <c r="P25" s="20">
        <f t="shared" si="2"/>
        <v>19</v>
      </c>
    </row>
    <row r="26" spans="1:16" ht="18" customHeight="1">
      <c r="A26" s="19">
        <v>20</v>
      </c>
      <c r="B26" s="2" t="s">
        <v>5314</v>
      </c>
      <c r="C26" s="1">
        <v>311261009</v>
      </c>
      <c r="D26" s="3" t="s">
        <v>1217</v>
      </c>
      <c r="E26" s="1" t="s">
        <v>67</v>
      </c>
      <c r="F26" s="10" t="s">
        <v>342</v>
      </c>
      <c r="G26" s="1">
        <v>38</v>
      </c>
      <c r="H26" s="18">
        <v>46</v>
      </c>
      <c r="I26" s="18">
        <v>40</v>
      </c>
      <c r="J26" s="18">
        <v>66</v>
      </c>
      <c r="K26" s="18">
        <v>40</v>
      </c>
      <c r="L26" s="18">
        <v>100</v>
      </c>
      <c r="M26" s="14">
        <v>100</v>
      </c>
      <c r="N26" s="14">
        <f t="shared" si="0"/>
        <v>392</v>
      </c>
      <c r="O26" s="14">
        <f t="shared" si="1"/>
        <v>56</v>
      </c>
      <c r="P26" s="20">
        <f t="shared" si="2"/>
        <v>20</v>
      </c>
    </row>
    <row r="27" spans="1:16" ht="18" customHeight="1">
      <c r="A27" s="19">
        <v>21</v>
      </c>
      <c r="B27" s="2" t="s">
        <v>351</v>
      </c>
      <c r="C27" s="1">
        <v>311260330</v>
      </c>
      <c r="D27" s="3" t="s">
        <v>352</v>
      </c>
      <c r="E27" s="1" t="s">
        <v>353</v>
      </c>
      <c r="F27" s="10" t="s">
        <v>342</v>
      </c>
      <c r="G27" s="1">
        <v>38</v>
      </c>
      <c r="H27" s="18">
        <v>66</v>
      </c>
      <c r="I27" s="18">
        <v>53</v>
      </c>
      <c r="J27" s="18">
        <v>86</v>
      </c>
      <c r="K27" s="18">
        <v>25</v>
      </c>
      <c r="L27" s="18">
        <v>89</v>
      </c>
      <c r="M27" s="14">
        <v>66.666666666666671</v>
      </c>
      <c r="N27" s="14">
        <f t="shared" si="0"/>
        <v>385.66666666666669</v>
      </c>
      <c r="O27" s="14">
        <f t="shared" si="1"/>
        <v>55.095238095238095</v>
      </c>
      <c r="P27" s="20">
        <f t="shared" si="2"/>
        <v>21</v>
      </c>
    </row>
    <row r="28" spans="1:16" ht="18" customHeight="1">
      <c r="A28" s="19">
        <v>22</v>
      </c>
      <c r="B28" s="2" t="s">
        <v>392</v>
      </c>
      <c r="C28" s="1">
        <v>311260469</v>
      </c>
      <c r="D28" s="3" t="s">
        <v>393</v>
      </c>
      <c r="E28" s="1" t="s">
        <v>61</v>
      </c>
      <c r="F28" s="10" t="s">
        <v>342</v>
      </c>
      <c r="G28" s="1">
        <v>38</v>
      </c>
      <c r="H28" s="18">
        <v>73</v>
      </c>
      <c r="I28" s="18">
        <v>46</v>
      </c>
      <c r="J28" s="18">
        <v>66</v>
      </c>
      <c r="K28" s="18">
        <v>35</v>
      </c>
      <c r="L28" s="18">
        <v>61</v>
      </c>
      <c r="M28" s="14">
        <v>100</v>
      </c>
      <c r="N28" s="14">
        <f t="shared" si="0"/>
        <v>381</v>
      </c>
      <c r="O28" s="14">
        <f t="shared" si="1"/>
        <v>54.428571428571431</v>
      </c>
      <c r="P28" s="20">
        <f t="shared" si="2"/>
        <v>22</v>
      </c>
    </row>
    <row r="29" spans="1:16" ht="18" customHeight="1">
      <c r="A29" s="19">
        <v>23</v>
      </c>
      <c r="B29" s="2" t="s">
        <v>410</v>
      </c>
      <c r="C29" s="1">
        <v>311260769</v>
      </c>
      <c r="D29" s="3" t="s">
        <v>411</v>
      </c>
      <c r="E29" s="1" t="s">
        <v>61</v>
      </c>
      <c r="F29" s="10" t="s">
        <v>342</v>
      </c>
      <c r="G29" s="1">
        <v>38</v>
      </c>
      <c r="H29" s="18">
        <v>79</v>
      </c>
      <c r="I29" s="18">
        <v>59</v>
      </c>
      <c r="J29" s="18">
        <v>53</v>
      </c>
      <c r="K29" s="18">
        <v>50</v>
      </c>
      <c r="L29" s="18">
        <v>72</v>
      </c>
      <c r="M29" s="14">
        <v>66.666666666666671</v>
      </c>
      <c r="N29" s="14">
        <f t="shared" si="0"/>
        <v>379.66666666666669</v>
      </c>
      <c r="O29" s="14">
        <f t="shared" si="1"/>
        <v>54.238095238095241</v>
      </c>
      <c r="P29" s="20">
        <f t="shared" si="2"/>
        <v>23</v>
      </c>
    </row>
    <row r="30" spans="1:16" ht="18" customHeight="1">
      <c r="A30" s="19">
        <v>24</v>
      </c>
      <c r="B30" s="2" t="s">
        <v>412</v>
      </c>
      <c r="C30" s="1">
        <v>311260770</v>
      </c>
      <c r="D30" s="3" t="s">
        <v>413</v>
      </c>
      <c r="E30" s="1" t="s">
        <v>81</v>
      </c>
      <c r="F30" s="10" t="s">
        <v>342</v>
      </c>
      <c r="G30" s="1">
        <v>38</v>
      </c>
      <c r="H30" s="18">
        <v>86</v>
      </c>
      <c r="I30" s="18">
        <v>33</v>
      </c>
      <c r="J30" s="18">
        <v>46</v>
      </c>
      <c r="K30" s="18">
        <v>30</v>
      </c>
      <c r="L30" s="18">
        <v>72</v>
      </c>
      <c r="M30" s="14">
        <v>100</v>
      </c>
      <c r="N30" s="14">
        <f t="shared" si="0"/>
        <v>367</v>
      </c>
      <c r="O30" s="14">
        <f t="shared" si="1"/>
        <v>52.428571428571431</v>
      </c>
      <c r="P30" s="20">
        <f t="shared" si="2"/>
        <v>24</v>
      </c>
    </row>
    <row r="31" spans="1:16" ht="18" customHeight="1">
      <c r="A31" s="19">
        <v>25</v>
      </c>
      <c r="B31" s="2" t="s">
        <v>349</v>
      </c>
      <c r="C31" s="1">
        <v>311260329</v>
      </c>
      <c r="D31" s="3" t="s">
        <v>350</v>
      </c>
      <c r="E31" s="1" t="s">
        <v>90</v>
      </c>
      <c r="F31" s="10" t="s">
        <v>342</v>
      </c>
      <c r="G31" s="1">
        <v>38</v>
      </c>
      <c r="H31" s="18">
        <v>53</v>
      </c>
      <c r="I31" s="18">
        <v>33</v>
      </c>
      <c r="J31" s="18">
        <v>79</v>
      </c>
      <c r="K31" s="18">
        <v>40</v>
      </c>
      <c r="L31" s="18">
        <v>94</v>
      </c>
      <c r="M31" s="14">
        <v>66.666666666666671</v>
      </c>
      <c r="N31" s="14">
        <f t="shared" si="0"/>
        <v>365.66666666666669</v>
      </c>
      <c r="O31" s="14">
        <f t="shared" si="1"/>
        <v>52.238095238095241</v>
      </c>
      <c r="P31" s="20">
        <f t="shared" si="2"/>
        <v>25</v>
      </c>
    </row>
    <row r="32" spans="1:16" ht="18" customHeight="1">
      <c r="A32" s="19">
        <v>26</v>
      </c>
      <c r="B32" s="2" t="s">
        <v>408</v>
      </c>
      <c r="C32" s="1">
        <v>311260768</v>
      </c>
      <c r="D32" s="3" t="s">
        <v>409</v>
      </c>
      <c r="E32" s="1" t="s">
        <v>61</v>
      </c>
      <c r="F32" s="10" t="s">
        <v>342</v>
      </c>
      <c r="G32" s="1">
        <v>38</v>
      </c>
      <c r="H32" s="18">
        <v>46</v>
      </c>
      <c r="I32" s="18">
        <v>66</v>
      </c>
      <c r="J32" s="18">
        <v>49</v>
      </c>
      <c r="K32" s="18">
        <v>35</v>
      </c>
      <c r="L32" s="18">
        <v>83</v>
      </c>
      <c r="M32" s="14">
        <v>66.666666666666671</v>
      </c>
      <c r="N32" s="14">
        <f t="shared" si="0"/>
        <v>345.66666666666669</v>
      </c>
      <c r="O32" s="14">
        <f t="shared" si="1"/>
        <v>49.380952380952387</v>
      </c>
      <c r="P32" s="20">
        <f t="shared" si="2"/>
        <v>26</v>
      </c>
    </row>
    <row r="33" spans="1:16" ht="18" customHeight="1">
      <c r="A33" s="19">
        <v>27</v>
      </c>
      <c r="B33" s="2" t="s">
        <v>402</v>
      </c>
      <c r="C33" s="1">
        <v>311260765</v>
      </c>
      <c r="D33" s="3" t="s">
        <v>403</v>
      </c>
      <c r="E33" s="1" t="s">
        <v>69</v>
      </c>
      <c r="F33" s="10" t="s">
        <v>342</v>
      </c>
      <c r="G33" s="1">
        <v>38</v>
      </c>
      <c r="H33" s="18">
        <v>66</v>
      </c>
      <c r="I33" s="18">
        <v>20</v>
      </c>
      <c r="J33" s="18">
        <v>59</v>
      </c>
      <c r="K33" s="18">
        <v>45</v>
      </c>
      <c r="L33" s="18">
        <v>89</v>
      </c>
      <c r="M33" s="14">
        <v>63.333333333333336</v>
      </c>
      <c r="N33" s="14">
        <f t="shared" si="0"/>
        <v>342.33333333333331</v>
      </c>
      <c r="O33" s="14">
        <f t="shared" si="1"/>
        <v>48.904761904761905</v>
      </c>
      <c r="P33" s="20">
        <f t="shared" si="2"/>
        <v>27</v>
      </c>
    </row>
    <row r="34" spans="1:16" ht="18" customHeight="1">
      <c r="A34" s="19">
        <v>28</v>
      </c>
      <c r="B34" s="2" t="s">
        <v>384</v>
      </c>
      <c r="C34" s="1">
        <v>311260465</v>
      </c>
      <c r="D34" s="3" t="s">
        <v>385</v>
      </c>
      <c r="E34" s="1" t="s">
        <v>71</v>
      </c>
      <c r="F34" s="10" t="s">
        <v>342</v>
      </c>
      <c r="G34" s="1">
        <v>38</v>
      </c>
      <c r="H34" s="18">
        <v>46</v>
      </c>
      <c r="I34" s="18">
        <v>13</v>
      </c>
      <c r="J34" s="18">
        <v>59</v>
      </c>
      <c r="K34" s="18">
        <v>75</v>
      </c>
      <c r="L34" s="18">
        <v>75</v>
      </c>
      <c r="M34" s="14">
        <v>66.666666666666671</v>
      </c>
      <c r="N34" s="14">
        <f t="shared" si="0"/>
        <v>334.66666666666669</v>
      </c>
      <c r="O34" s="14">
        <f t="shared" si="1"/>
        <v>47.80952380952381</v>
      </c>
      <c r="P34" s="20">
        <f t="shared" si="2"/>
        <v>28</v>
      </c>
    </row>
    <row r="35" spans="1:16" ht="18" customHeight="1">
      <c r="A35" s="19">
        <v>29</v>
      </c>
      <c r="B35" s="2" t="s">
        <v>420</v>
      </c>
      <c r="C35" s="1">
        <v>311261006</v>
      </c>
      <c r="D35" s="3" t="s">
        <v>421</v>
      </c>
      <c r="E35" s="1" t="s">
        <v>64</v>
      </c>
      <c r="F35" s="10" t="s">
        <v>342</v>
      </c>
      <c r="G35" s="1">
        <v>38</v>
      </c>
      <c r="H35" s="18">
        <v>79</v>
      </c>
      <c r="I35" s="18">
        <v>46</v>
      </c>
      <c r="J35" s="18">
        <v>20</v>
      </c>
      <c r="K35" s="18">
        <v>45</v>
      </c>
      <c r="L35" s="18">
        <v>44</v>
      </c>
      <c r="M35" s="14">
        <v>100</v>
      </c>
      <c r="N35" s="14">
        <f t="shared" si="0"/>
        <v>334</v>
      </c>
      <c r="O35" s="14">
        <f t="shared" si="1"/>
        <v>47.714285714285715</v>
      </c>
      <c r="P35" s="20">
        <f t="shared" si="2"/>
        <v>29</v>
      </c>
    </row>
    <row r="36" spans="1:16" ht="18" customHeight="1">
      <c r="A36" s="19">
        <v>30</v>
      </c>
      <c r="B36" s="2" t="s">
        <v>396</v>
      </c>
      <c r="C36" s="1">
        <v>311260471</v>
      </c>
      <c r="D36" s="3" t="s">
        <v>397</v>
      </c>
      <c r="E36" s="1" t="s">
        <v>73</v>
      </c>
      <c r="F36" s="10" t="s">
        <v>342</v>
      </c>
      <c r="G36" s="1">
        <v>38</v>
      </c>
      <c r="H36" s="18">
        <v>59</v>
      </c>
      <c r="I36" s="18">
        <v>33</v>
      </c>
      <c r="J36" s="18">
        <v>33</v>
      </c>
      <c r="K36" s="18">
        <v>40</v>
      </c>
      <c r="L36" s="18">
        <v>61</v>
      </c>
      <c r="M36" s="14">
        <v>100</v>
      </c>
      <c r="N36" s="14">
        <f t="shared" si="0"/>
        <v>326</v>
      </c>
      <c r="O36" s="14">
        <f t="shared" si="1"/>
        <v>46.571428571428569</v>
      </c>
      <c r="P36" s="20">
        <f t="shared" si="2"/>
        <v>30</v>
      </c>
    </row>
    <row r="37" spans="1:16" ht="18" customHeight="1">
      <c r="A37" s="19">
        <v>31</v>
      </c>
      <c r="B37" s="2" t="s">
        <v>406</v>
      </c>
      <c r="C37" s="1">
        <v>311260767</v>
      </c>
      <c r="D37" s="3" t="s">
        <v>407</v>
      </c>
      <c r="E37" s="1" t="s">
        <v>57</v>
      </c>
      <c r="F37" s="10" t="s">
        <v>342</v>
      </c>
      <c r="G37" s="1">
        <v>38</v>
      </c>
      <c r="H37" s="18">
        <v>86</v>
      </c>
      <c r="I37" s="18">
        <v>66</v>
      </c>
      <c r="J37" s="18">
        <v>59</v>
      </c>
      <c r="K37" s="18">
        <v>35</v>
      </c>
      <c r="L37" s="18">
        <v>38</v>
      </c>
      <c r="M37" s="14">
        <v>33.333333333333336</v>
      </c>
      <c r="N37" s="14">
        <f t="shared" si="0"/>
        <v>317.33333333333331</v>
      </c>
      <c r="O37" s="14">
        <f t="shared" si="1"/>
        <v>45.333333333333329</v>
      </c>
      <c r="P37" s="20">
        <f t="shared" si="2"/>
        <v>31</v>
      </c>
    </row>
    <row r="38" spans="1:16" ht="18" customHeight="1">
      <c r="A38" s="19">
        <v>32</v>
      </c>
      <c r="B38" s="2" t="s">
        <v>382</v>
      </c>
      <c r="C38" s="1">
        <v>311260464</v>
      </c>
      <c r="D38" s="3" t="s">
        <v>383</v>
      </c>
      <c r="E38" s="1" t="s">
        <v>71</v>
      </c>
      <c r="F38" s="10" t="s">
        <v>342</v>
      </c>
      <c r="G38" s="1">
        <v>38</v>
      </c>
      <c r="H38" s="18">
        <v>46</v>
      </c>
      <c r="I38" s="18">
        <v>26</v>
      </c>
      <c r="J38" s="18">
        <v>59</v>
      </c>
      <c r="K38" s="18">
        <v>85</v>
      </c>
      <c r="L38" s="18">
        <v>100</v>
      </c>
      <c r="M38" s="14"/>
      <c r="N38" s="14">
        <f t="shared" si="0"/>
        <v>316</v>
      </c>
      <c r="O38" s="14">
        <f t="shared" si="1"/>
        <v>45.142857142857146</v>
      </c>
      <c r="P38" s="20">
        <f t="shared" si="2"/>
        <v>32</v>
      </c>
    </row>
    <row r="39" spans="1:16" ht="18" customHeight="1">
      <c r="A39" s="19">
        <v>33</v>
      </c>
      <c r="B39" s="2" t="s">
        <v>5315</v>
      </c>
      <c r="C39" s="1">
        <v>311261010</v>
      </c>
      <c r="D39" s="3" t="s">
        <v>5316</v>
      </c>
      <c r="E39" s="1" t="s">
        <v>55</v>
      </c>
      <c r="F39" s="10" t="s">
        <v>342</v>
      </c>
      <c r="G39" s="1">
        <v>38</v>
      </c>
      <c r="H39" s="18">
        <v>53</v>
      </c>
      <c r="I39" s="18"/>
      <c r="J39" s="18">
        <v>73</v>
      </c>
      <c r="K39" s="18">
        <v>85</v>
      </c>
      <c r="L39" s="18"/>
      <c r="M39" s="14">
        <v>100</v>
      </c>
      <c r="N39" s="14">
        <f t="shared" si="0"/>
        <v>311</v>
      </c>
      <c r="O39" s="14">
        <f t="shared" si="1"/>
        <v>44.428571428571431</v>
      </c>
      <c r="P39" s="20">
        <f t="shared" si="2"/>
        <v>33</v>
      </c>
    </row>
    <row r="40" spans="1:16" ht="18" customHeight="1">
      <c r="A40" s="19">
        <v>34</v>
      </c>
      <c r="B40" s="2" t="s">
        <v>345</v>
      </c>
      <c r="C40" s="1">
        <v>311260327</v>
      </c>
      <c r="D40" s="3" t="s">
        <v>346</v>
      </c>
      <c r="E40" s="1" t="s">
        <v>81</v>
      </c>
      <c r="F40" s="10" t="s">
        <v>342</v>
      </c>
      <c r="G40" s="1">
        <v>38</v>
      </c>
      <c r="H40" s="18">
        <v>53</v>
      </c>
      <c r="I40" s="18">
        <v>13</v>
      </c>
      <c r="J40" s="18">
        <v>13</v>
      </c>
      <c r="K40" s="18">
        <v>35</v>
      </c>
      <c r="L40" s="18">
        <v>88</v>
      </c>
      <c r="M40" s="14">
        <v>100</v>
      </c>
      <c r="N40" s="14">
        <f t="shared" si="0"/>
        <v>302</v>
      </c>
      <c r="O40" s="14">
        <f t="shared" si="1"/>
        <v>43.142857142857146</v>
      </c>
      <c r="P40" s="20">
        <f t="shared" si="2"/>
        <v>34</v>
      </c>
    </row>
    <row r="41" spans="1:16" ht="18" customHeight="1">
      <c r="A41" s="19">
        <v>35</v>
      </c>
      <c r="B41" s="2" t="s">
        <v>343</v>
      </c>
      <c r="C41" s="1">
        <v>311260326</v>
      </c>
      <c r="D41" s="3" t="s">
        <v>344</v>
      </c>
      <c r="E41" s="1" t="s">
        <v>59</v>
      </c>
      <c r="F41" s="10" t="s">
        <v>342</v>
      </c>
      <c r="G41" s="1">
        <v>38</v>
      </c>
      <c r="H41" s="18">
        <v>33</v>
      </c>
      <c r="I41" s="18">
        <v>33</v>
      </c>
      <c r="J41" s="18">
        <v>33</v>
      </c>
      <c r="K41" s="18">
        <v>30</v>
      </c>
      <c r="L41" s="18">
        <v>66</v>
      </c>
      <c r="M41" s="14">
        <v>83.333333333333329</v>
      </c>
      <c r="N41" s="14">
        <f t="shared" si="0"/>
        <v>278.33333333333331</v>
      </c>
      <c r="O41" s="14">
        <f t="shared" si="1"/>
        <v>39.761904761904759</v>
      </c>
      <c r="P41" s="20">
        <f t="shared" si="2"/>
        <v>35</v>
      </c>
    </row>
    <row r="42" spans="1:16" ht="18" customHeight="1">
      <c r="A42" s="19">
        <v>36</v>
      </c>
      <c r="B42" s="2" t="s">
        <v>370</v>
      </c>
      <c r="C42" s="1">
        <v>311260458</v>
      </c>
      <c r="D42" s="3" t="s">
        <v>371</v>
      </c>
      <c r="E42" s="1" t="s">
        <v>55</v>
      </c>
      <c r="F42" s="10" t="s">
        <v>342</v>
      </c>
      <c r="G42" s="1">
        <v>38</v>
      </c>
      <c r="H42" s="18">
        <v>53</v>
      </c>
      <c r="I42" s="18">
        <v>26</v>
      </c>
      <c r="J42" s="18">
        <v>20</v>
      </c>
      <c r="K42" s="18">
        <v>45</v>
      </c>
      <c r="L42" s="18">
        <v>61</v>
      </c>
      <c r="M42" s="14">
        <v>66.666666666666671</v>
      </c>
      <c r="N42" s="14">
        <f t="shared" si="0"/>
        <v>271.66666666666669</v>
      </c>
      <c r="O42" s="14">
        <f t="shared" si="1"/>
        <v>38.80952380952381</v>
      </c>
      <c r="P42" s="20">
        <f t="shared" si="2"/>
        <v>36</v>
      </c>
    </row>
    <row r="43" spans="1:16" ht="18" customHeight="1">
      <c r="A43" s="19">
        <v>37</v>
      </c>
      <c r="B43" s="2" t="s">
        <v>404</v>
      </c>
      <c r="C43" s="1">
        <v>311260766</v>
      </c>
      <c r="D43" s="3" t="s">
        <v>405</v>
      </c>
      <c r="E43" s="1" t="s">
        <v>55</v>
      </c>
      <c r="F43" s="10" t="s">
        <v>342</v>
      </c>
      <c r="G43" s="1">
        <v>38</v>
      </c>
      <c r="H43" s="18">
        <v>26</v>
      </c>
      <c r="I43" s="18">
        <v>53</v>
      </c>
      <c r="J43" s="18">
        <v>40</v>
      </c>
      <c r="K43" s="18">
        <v>15</v>
      </c>
      <c r="L43" s="18">
        <v>44</v>
      </c>
      <c r="M43" s="14">
        <v>66.666666666666671</v>
      </c>
      <c r="N43" s="14">
        <f t="shared" si="0"/>
        <v>244.66666666666669</v>
      </c>
      <c r="O43" s="14">
        <f t="shared" si="1"/>
        <v>34.952380952380956</v>
      </c>
      <c r="P43" s="20">
        <f t="shared" si="2"/>
        <v>37</v>
      </c>
    </row>
    <row r="44" spans="1:16" ht="18" customHeight="1">
      <c r="A44" s="19">
        <v>38</v>
      </c>
      <c r="B44" s="2" t="s">
        <v>378</v>
      </c>
      <c r="C44" s="1">
        <v>311260462</v>
      </c>
      <c r="D44" s="3" t="s">
        <v>379</v>
      </c>
      <c r="E44" s="1" t="s">
        <v>57</v>
      </c>
      <c r="F44" s="10" t="s">
        <v>342</v>
      </c>
      <c r="G44" s="1">
        <v>38</v>
      </c>
      <c r="H44" s="18"/>
      <c r="I44" s="18"/>
      <c r="J44" s="18">
        <v>73</v>
      </c>
      <c r="K44" s="18"/>
      <c r="L44" s="18"/>
      <c r="M44" s="14">
        <v>100</v>
      </c>
      <c r="N44" s="14">
        <f t="shared" si="0"/>
        <v>173</v>
      </c>
      <c r="O44" s="14">
        <f t="shared" si="1"/>
        <v>24.714285714285715</v>
      </c>
      <c r="P44" s="20">
        <f t="shared" si="2"/>
        <v>38</v>
      </c>
    </row>
    <row r="45" spans="1:16" ht="18" customHeight="1">
      <c r="A45" s="19">
        <v>39</v>
      </c>
      <c r="B45" s="2" t="s">
        <v>354</v>
      </c>
      <c r="C45" s="1">
        <v>311260331</v>
      </c>
      <c r="D45" s="3" t="s">
        <v>355</v>
      </c>
      <c r="E45" s="1" t="s">
        <v>69</v>
      </c>
      <c r="F45" s="10" t="s">
        <v>342</v>
      </c>
      <c r="G45" s="1">
        <v>38</v>
      </c>
      <c r="H45" s="18"/>
      <c r="I45" s="18"/>
      <c r="J45" s="18"/>
      <c r="K45" s="18"/>
      <c r="L45" s="18"/>
      <c r="M45" s="14"/>
      <c r="N45" s="14">
        <f t="shared" si="0"/>
        <v>0</v>
      </c>
      <c r="O45" s="14">
        <f t="shared" si="1"/>
        <v>0</v>
      </c>
      <c r="P45" s="20">
        <f t="shared" si="2"/>
        <v>39</v>
      </c>
    </row>
    <row r="46" spans="1:16" ht="18" customHeight="1">
      <c r="A46" s="19">
        <v>40</v>
      </c>
      <c r="B46" s="2" t="s">
        <v>360</v>
      </c>
      <c r="C46" s="1">
        <v>311260334</v>
      </c>
      <c r="D46" s="3" t="s">
        <v>361</v>
      </c>
      <c r="E46" s="1" t="s">
        <v>84</v>
      </c>
      <c r="F46" s="10" t="s">
        <v>342</v>
      </c>
      <c r="G46" s="1">
        <v>38</v>
      </c>
      <c r="H46" s="18"/>
      <c r="I46" s="18"/>
      <c r="J46" s="18"/>
      <c r="K46" s="18"/>
      <c r="L46" s="18"/>
      <c r="M46" s="18"/>
      <c r="N46" s="14">
        <f t="shared" si="0"/>
        <v>0</v>
      </c>
      <c r="O46" s="14">
        <f t="shared" si="1"/>
        <v>0</v>
      </c>
      <c r="P46" s="20">
        <f t="shared" si="2"/>
        <v>39</v>
      </c>
    </row>
    <row r="47" spans="1:16" ht="18" customHeight="1">
      <c r="A47" s="19">
        <v>41</v>
      </c>
      <c r="B47" s="2" t="s">
        <v>374</v>
      </c>
      <c r="C47" s="1">
        <v>311260460</v>
      </c>
      <c r="D47" s="3" t="s">
        <v>375</v>
      </c>
      <c r="E47" s="1" t="s">
        <v>56</v>
      </c>
      <c r="F47" s="10" t="s">
        <v>342</v>
      </c>
      <c r="G47" s="1">
        <v>38</v>
      </c>
      <c r="H47" s="18"/>
      <c r="I47" s="18"/>
      <c r="J47" s="18"/>
      <c r="K47" s="18"/>
      <c r="L47" s="18"/>
      <c r="M47" s="14"/>
      <c r="N47" s="14">
        <f t="shared" si="0"/>
        <v>0</v>
      </c>
      <c r="O47" s="14">
        <f t="shared" si="1"/>
        <v>0</v>
      </c>
      <c r="P47" s="20">
        <f t="shared" si="2"/>
        <v>39</v>
      </c>
    </row>
    <row r="48" spans="1:16" ht="18" customHeight="1">
      <c r="A48" s="19">
        <v>42</v>
      </c>
      <c r="B48" s="2" t="s">
        <v>416</v>
      </c>
      <c r="C48" s="1">
        <v>311260954</v>
      </c>
      <c r="D48" s="3" t="s">
        <v>417</v>
      </c>
      <c r="E48" s="1" t="s">
        <v>63</v>
      </c>
      <c r="F48" s="10" t="s">
        <v>342</v>
      </c>
      <c r="G48" s="1">
        <v>38</v>
      </c>
      <c r="H48" s="18"/>
      <c r="I48" s="18"/>
      <c r="J48" s="18"/>
      <c r="K48" s="18"/>
      <c r="L48" s="18"/>
      <c r="M48" s="14"/>
      <c r="N48" s="14">
        <f t="shared" si="0"/>
        <v>0</v>
      </c>
      <c r="O48" s="14">
        <f t="shared" si="1"/>
        <v>0</v>
      </c>
      <c r="P48" s="20">
        <f t="shared" si="2"/>
        <v>39</v>
      </c>
    </row>
    <row r="49" spans="1:16" ht="18" customHeight="1">
      <c r="A49" s="19">
        <v>43</v>
      </c>
      <c r="B49" s="28" t="s">
        <v>418</v>
      </c>
      <c r="C49" s="29">
        <v>311260964</v>
      </c>
      <c r="D49" s="30" t="s">
        <v>419</v>
      </c>
      <c r="E49" s="29" t="s">
        <v>84</v>
      </c>
      <c r="F49" s="31" t="s">
        <v>342</v>
      </c>
      <c r="G49" s="29">
        <v>38</v>
      </c>
      <c r="H49" s="32"/>
      <c r="I49" s="32"/>
      <c r="J49" s="32"/>
      <c r="K49" s="32"/>
      <c r="L49" s="32"/>
      <c r="M49" s="41"/>
      <c r="N49" s="41">
        <f t="shared" si="0"/>
        <v>0</v>
      </c>
      <c r="O49" s="41">
        <f t="shared" si="1"/>
        <v>0</v>
      </c>
      <c r="P49" s="33">
        <f t="shared" si="2"/>
        <v>39</v>
      </c>
    </row>
  </sheetData>
  <mergeCells count="4">
    <mergeCell ref="A1:P1"/>
    <mergeCell ref="A2:P2"/>
    <mergeCell ref="A3:P3"/>
    <mergeCell ref="A5:B5"/>
  </mergeCells>
  <conditionalFormatting sqref="H7:L7">
    <cfRule type="cellIs" dxfId="9528" priority="129" operator="lessThan">
      <formula>5</formula>
    </cfRule>
  </conditionalFormatting>
  <conditionalFormatting sqref="H7:M7">
    <cfRule type="cellIs" dxfId="9527" priority="128" operator="lessThan">
      <formula>50</formula>
    </cfRule>
  </conditionalFormatting>
  <conditionalFormatting sqref="O7">
    <cfRule type="cellIs" dxfId="9526" priority="127" operator="lessThan">
      <formula>50</formula>
    </cfRule>
  </conditionalFormatting>
  <conditionalFormatting sqref="H8:L8">
    <cfRule type="cellIs" dxfId="9525" priority="126" operator="lessThan">
      <formula>5</formula>
    </cfRule>
  </conditionalFormatting>
  <conditionalFormatting sqref="H8:M8">
    <cfRule type="cellIs" dxfId="9524" priority="125" operator="lessThan">
      <formula>50</formula>
    </cfRule>
  </conditionalFormatting>
  <conditionalFormatting sqref="O8">
    <cfRule type="cellIs" dxfId="9523" priority="124" operator="lessThan">
      <formula>50</formula>
    </cfRule>
  </conditionalFormatting>
  <conditionalFormatting sqref="H9:L9">
    <cfRule type="cellIs" dxfId="9522" priority="123" operator="lessThan">
      <formula>5</formula>
    </cfRule>
  </conditionalFormatting>
  <conditionalFormatting sqref="H9:M9">
    <cfRule type="cellIs" dxfId="9521" priority="122" operator="lessThan">
      <formula>50</formula>
    </cfRule>
  </conditionalFormatting>
  <conditionalFormatting sqref="O9">
    <cfRule type="cellIs" dxfId="9520" priority="121" operator="lessThan">
      <formula>50</formula>
    </cfRule>
  </conditionalFormatting>
  <conditionalFormatting sqref="H10:L10">
    <cfRule type="cellIs" dxfId="9519" priority="120" operator="lessThan">
      <formula>5</formula>
    </cfRule>
  </conditionalFormatting>
  <conditionalFormatting sqref="H10:M10">
    <cfRule type="cellIs" dxfId="9518" priority="119" operator="lessThan">
      <formula>50</formula>
    </cfRule>
  </conditionalFormatting>
  <conditionalFormatting sqref="O10">
    <cfRule type="cellIs" dxfId="9517" priority="118" operator="lessThan">
      <formula>50</formula>
    </cfRule>
  </conditionalFormatting>
  <conditionalFormatting sqref="H11:L11">
    <cfRule type="cellIs" dxfId="9516" priority="117" operator="lessThan">
      <formula>5</formula>
    </cfRule>
  </conditionalFormatting>
  <conditionalFormatting sqref="H11:M11">
    <cfRule type="cellIs" dxfId="9515" priority="116" operator="lessThan">
      <formula>50</formula>
    </cfRule>
  </conditionalFormatting>
  <conditionalFormatting sqref="O11">
    <cfRule type="cellIs" dxfId="9514" priority="115" operator="lessThan">
      <formula>50</formula>
    </cfRule>
  </conditionalFormatting>
  <conditionalFormatting sqref="H12:L12">
    <cfRule type="cellIs" dxfId="9513" priority="114" operator="lessThan">
      <formula>5</formula>
    </cfRule>
  </conditionalFormatting>
  <conditionalFormatting sqref="H12:M12">
    <cfRule type="cellIs" dxfId="9512" priority="113" operator="lessThan">
      <formula>50</formula>
    </cfRule>
  </conditionalFormatting>
  <conditionalFormatting sqref="O12">
    <cfRule type="cellIs" dxfId="9511" priority="112" operator="lessThan">
      <formula>50</formula>
    </cfRule>
  </conditionalFormatting>
  <conditionalFormatting sqref="H13:L13">
    <cfRule type="cellIs" dxfId="9510" priority="111" operator="lessThan">
      <formula>5</formula>
    </cfRule>
  </conditionalFormatting>
  <conditionalFormatting sqref="H13:M13">
    <cfRule type="cellIs" dxfId="9509" priority="110" operator="lessThan">
      <formula>50</formula>
    </cfRule>
  </conditionalFormatting>
  <conditionalFormatting sqref="O13">
    <cfRule type="cellIs" dxfId="9508" priority="109" operator="lessThan">
      <formula>50</formula>
    </cfRule>
  </conditionalFormatting>
  <conditionalFormatting sqref="H14:L14">
    <cfRule type="cellIs" dxfId="9507" priority="108" operator="lessThan">
      <formula>5</formula>
    </cfRule>
  </conditionalFormatting>
  <conditionalFormatting sqref="H14:M14">
    <cfRule type="cellIs" dxfId="9506" priority="107" operator="lessThan">
      <formula>50</formula>
    </cfRule>
  </conditionalFormatting>
  <conditionalFormatting sqref="O14">
    <cfRule type="cellIs" dxfId="9505" priority="106" operator="lessThan">
      <formula>50</formula>
    </cfRule>
  </conditionalFormatting>
  <conditionalFormatting sqref="H15:L15">
    <cfRule type="cellIs" dxfId="9504" priority="105" operator="lessThan">
      <formula>5</formula>
    </cfRule>
  </conditionalFormatting>
  <conditionalFormatting sqref="H15:M15">
    <cfRule type="cellIs" dxfId="9503" priority="104" operator="lessThan">
      <formula>50</formula>
    </cfRule>
  </conditionalFormatting>
  <conditionalFormatting sqref="O15">
    <cfRule type="cellIs" dxfId="9502" priority="103" operator="lessThan">
      <formula>50</formula>
    </cfRule>
  </conditionalFormatting>
  <conditionalFormatting sqref="H16:L16">
    <cfRule type="cellIs" dxfId="9501" priority="102" operator="lessThan">
      <formula>5</formula>
    </cfRule>
  </conditionalFormatting>
  <conditionalFormatting sqref="H16:M16">
    <cfRule type="cellIs" dxfId="9500" priority="101" operator="lessThan">
      <formula>50</formula>
    </cfRule>
  </conditionalFormatting>
  <conditionalFormatting sqref="O16">
    <cfRule type="cellIs" dxfId="9499" priority="100" operator="lessThan">
      <formula>50</formula>
    </cfRule>
  </conditionalFormatting>
  <conditionalFormatting sqref="H17:L17">
    <cfRule type="cellIs" dxfId="9498" priority="99" operator="lessThan">
      <formula>5</formula>
    </cfRule>
  </conditionalFormatting>
  <conditionalFormatting sqref="H17:M17">
    <cfRule type="cellIs" dxfId="9497" priority="98" operator="lessThan">
      <formula>50</formula>
    </cfRule>
  </conditionalFormatting>
  <conditionalFormatting sqref="O17">
    <cfRule type="cellIs" dxfId="9496" priority="97" operator="lessThan">
      <formula>50</formula>
    </cfRule>
  </conditionalFormatting>
  <conditionalFormatting sqref="H18:L18">
    <cfRule type="cellIs" dxfId="9495" priority="96" operator="lessThan">
      <formula>5</formula>
    </cfRule>
  </conditionalFormatting>
  <conditionalFormatting sqref="H18:M18">
    <cfRule type="cellIs" dxfId="9494" priority="95" operator="lessThan">
      <formula>50</formula>
    </cfRule>
  </conditionalFormatting>
  <conditionalFormatting sqref="O18">
    <cfRule type="cellIs" dxfId="9493" priority="94" operator="lessThan">
      <formula>50</formula>
    </cfRule>
  </conditionalFormatting>
  <conditionalFormatting sqref="H19:L19">
    <cfRule type="cellIs" dxfId="9492" priority="93" operator="lessThan">
      <formula>5</formula>
    </cfRule>
  </conditionalFormatting>
  <conditionalFormatting sqref="H19:M19">
    <cfRule type="cellIs" dxfId="9491" priority="92" operator="lessThan">
      <formula>50</formula>
    </cfRule>
  </conditionalFormatting>
  <conditionalFormatting sqref="O19">
    <cfRule type="cellIs" dxfId="9490" priority="91" operator="lessThan">
      <formula>50</formula>
    </cfRule>
  </conditionalFormatting>
  <conditionalFormatting sqref="H20:L20">
    <cfRule type="cellIs" dxfId="9489" priority="90" operator="lessThan">
      <formula>5</formula>
    </cfRule>
  </conditionalFormatting>
  <conditionalFormatting sqref="H20:M20">
    <cfRule type="cellIs" dxfId="9488" priority="89" operator="lessThan">
      <formula>50</formula>
    </cfRule>
  </conditionalFormatting>
  <conditionalFormatting sqref="O20">
    <cfRule type="cellIs" dxfId="9487" priority="88" operator="lessThan">
      <formula>50</formula>
    </cfRule>
  </conditionalFormatting>
  <conditionalFormatting sqref="H21:L21">
    <cfRule type="cellIs" dxfId="9486" priority="87" operator="lessThan">
      <formula>5</formula>
    </cfRule>
  </conditionalFormatting>
  <conditionalFormatting sqref="H21:M21">
    <cfRule type="cellIs" dxfId="9485" priority="86" operator="lessThan">
      <formula>50</formula>
    </cfRule>
  </conditionalFormatting>
  <conditionalFormatting sqref="O21">
    <cfRule type="cellIs" dxfId="9484" priority="85" operator="lessThan">
      <formula>50</formula>
    </cfRule>
  </conditionalFormatting>
  <conditionalFormatting sqref="H22:L22">
    <cfRule type="cellIs" dxfId="9483" priority="84" operator="lessThan">
      <formula>5</formula>
    </cfRule>
  </conditionalFormatting>
  <conditionalFormatting sqref="H22:M22">
    <cfRule type="cellIs" dxfId="9482" priority="83" operator="lessThan">
      <formula>50</formula>
    </cfRule>
  </conditionalFormatting>
  <conditionalFormatting sqref="O22">
    <cfRule type="cellIs" dxfId="9481" priority="82" operator="lessThan">
      <formula>50</formula>
    </cfRule>
  </conditionalFormatting>
  <conditionalFormatting sqref="H23:L23">
    <cfRule type="cellIs" dxfId="9480" priority="81" operator="lessThan">
      <formula>5</formula>
    </cfRule>
  </conditionalFormatting>
  <conditionalFormatting sqref="H23:M23">
    <cfRule type="cellIs" dxfId="9479" priority="80" operator="lessThan">
      <formula>50</formula>
    </cfRule>
  </conditionalFormatting>
  <conditionalFormatting sqref="O23">
    <cfRule type="cellIs" dxfId="9478" priority="79" operator="lessThan">
      <formula>50</formula>
    </cfRule>
  </conditionalFormatting>
  <conditionalFormatting sqref="H24:L24">
    <cfRule type="cellIs" dxfId="9477" priority="78" operator="lessThan">
      <formula>5</formula>
    </cfRule>
  </conditionalFormatting>
  <conditionalFormatting sqref="H24:M24">
    <cfRule type="cellIs" dxfId="9476" priority="77" operator="lessThan">
      <formula>50</formula>
    </cfRule>
  </conditionalFormatting>
  <conditionalFormatting sqref="O24">
    <cfRule type="cellIs" dxfId="9475" priority="76" operator="lessThan">
      <formula>50</formula>
    </cfRule>
  </conditionalFormatting>
  <conditionalFormatting sqref="H25:L25">
    <cfRule type="cellIs" dxfId="9474" priority="75" operator="lessThan">
      <formula>5</formula>
    </cfRule>
  </conditionalFormatting>
  <conditionalFormatting sqref="H25:M25">
    <cfRule type="cellIs" dxfId="9473" priority="74" operator="lessThan">
      <formula>50</formula>
    </cfRule>
  </conditionalFormatting>
  <conditionalFormatting sqref="O25">
    <cfRule type="cellIs" dxfId="9472" priority="73" operator="lessThan">
      <formula>50</formula>
    </cfRule>
  </conditionalFormatting>
  <conditionalFormatting sqref="H26:L26">
    <cfRule type="cellIs" dxfId="9471" priority="72" operator="lessThan">
      <formula>5</formula>
    </cfRule>
  </conditionalFormatting>
  <conditionalFormatting sqref="H26:M26">
    <cfRule type="cellIs" dxfId="9470" priority="71" operator="lessThan">
      <formula>50</formula>
    </cfRule>
  </conditionalFormatting>
  <conditionalFormatting sqref="O26">
    <cfRule type="cellIs" dxfId="9469" priority="70" operator="lessThan">
      <formula>50</formula>
    </cfRule>
  </conditionalFormatting>
  <conditionalFormatting sqref="H27:L27">
    <cfRule type="cellIs" dxfId="9468" priority="69" operator="lessThan">
      <formula>5</formula>
    </cfRule>
  </conditionalFormatting>
  <conditionalFormatting sqref="H27:M27">
    <cfRule type="cellIs" dxfId="9467" priority="68" operator="lessThan">
      <formula>50</formula>
    </cfRule>
  </conditionalFormatting>
  <conditionalFormatting sqref="O27">
    <cfRule type="cellIs" dxfId="9466" priority="67" operator="lessThan">
      <formula>50</formula>
    </cfRule>
  </conditionalFormatting>
  <conditionalFormatting sqref="H28:L28">
    <cfRule type="cellIs" dxfId="9465" priority="66" operator="lessThan">
      <formula>5</formula>
    </cfRule>
  </conditionalFormatting>
  <conditionalFormatting sqref="H28:M28">
    <cfRule type="cellIs" dxfId="9464" priority="65" operator="lessThan">
      <formula>50</formula>
    </cfRule>
  </conditionalFormatting>
  <conditionalFormatting sqref="O28">
    <cfRule type="cellIs" dxfId="9463" priority="64" operator="lessThan">
      <formula>50</formula>
    </cfRule>
  </conditionalFormatting>
  <conditionalFormatting sqref="H29:L29">
    <cfRule type="cellIs" dxfId="9462" priority="63" operator="lessThan">
      <formula>5</formula>
    </cfRule>
  </conditionalFormatting>
  <conditionalFormatting sqref="H29:M29">
    <cfRule type="cellIs" dxfId="9461" priority="62" operator="lessThan">
      <formula>50</formula>
    </cfRule>
  </conditionalFormatting>
  <conditionalFormatting sqref="O29">
    <cfRule type="cellIs" dxfId="9460" priority="61" operator="lessThan">
      <formula>50</formula>
    </cfRule>
  </conditionalFormatting>
  <conditionalFormatting sqref="H30:L30">
    <cfRule type="cellIs" dxfId="9459" priority="60" operator="lessThan">
      <formula>5</formula>
    </cfRule>
  </conditionalFormatting>
  <conditionalFormatting sqref="H30:M30">
    <cfRule type="cellIs" dxfId="9458" priority="59" operator="lessThan">
      <formula>50</formula>
    </cfRule>
  </conditionalFormatting>
  <conditionalFormatting sqref="O30">
    <cfRule type="cellIs" dxfId="9457" priority="58" operator="lessThan">
      <formula>50</formula>
    </cfRule>
  </conditionalFormatting>
  <conditionalFormatting sqref="H31:L31">
    <cfRule type="cellIs" dxfId="9456" priority="57" operator="lessThan">
      <formula>5</formula>
    </cfRule>
  </conditionalFormatting>
  <conditionalFormatting sqref="H31:M31">
    <cfRule type="cellIs" dxfId="9455" priority="56" operator="lessThan">
      <formula>50</formula>
    </cfRule>
  </conditionalFormatting>
  <conditionalFormatting sqref="O31">
    <cfRule type="cellIs" dxfId="9454" priority="55" operator="lessThan">
      <formula>50</formula>
    </cfRule>
  </conditionalFormatting>
  <conditionalFormatting sqref="H32:L32">
    <cfRule type="cellIs" dxfId="9453" priority="54" operator="lessThan">
      <formula>5</formula>
    </cfRule>
  </conditionalFormatting>
  <conditionalFormatting sqref="H32:M32">
    <cfRule type="cellIs" dxfId="9452" priority="53" operator="lessThan">
      <formula>50</formula>
    </cfRule>
  </conditionalFormatting>
  <conditionalFormatting sqref="O32">
    <cfRule type="cellIs" dxfId="9451" priority="52" operator="lessThan">
      <formula>50</formula>
    </cfRule>
  </conditionalFormatting>
  <conditionalFormatting sqref="H33:L33">
    <cfRule type="cellIs" dxfId="9450" priority="51" operator="lessThan">
      <formula>5</formula>
    </cfRule>
  </conditionalFormatting>
  <conditionalFormatting sqref="H33:M33">
    <cfRule type="cellIs" dxfId="9449" priority="50" operator="lessThan">
      <formula>50</formula>
    </cfRule>
  </conditionalFormatting>
  <conditionalFormatting sqref="O33">
    <cfRule type="cellIs" dxfId="9448" priority="49" operator="lessThan">
      <formula>50</formula>
    </cfRule>
  </conditionalFormatting>
  <conditionalFormatting sqref="H34:L34">
    <cfRule type="cellIs" dxfId="9447" priority="48" operator="lessThan">
      <formula>5</formula>
    </cfRule>
  </conditionalFormatting>
  <conditionalFormatting sqref="H34:M34">
    <cfRule type="cellIs" dxfId="9446" priority="47" operator="lessThan">
      <formula>50</formula>
    </cfRule>
  </conditionalFormatting>
  <conditionalFormatting sqref="O34">
    <cfRule type="cellIs" dxfId="9445" priority="46" operator="lessThan">
      <formula>50</formula>
    </cfRule>
  </conditionalFormatting>
  <conditionalFormatting sqref="H35:L35">
    <cfRule type="cellIs" dxfId="9444" priority="45" operator="lessThan">
      <formula>5</formula>
    </cfRule>
  </conditionalFormatting>
  <conditionalFormatting sqref="H35:M35">
    <cfRule type="cellIs" dxfId="9443" priority="44" operator="lessThan">
      <formula>50</formula>
    </cfRule>
  </conditionalFormatting>
  <conditionalFormatting sqref="O35">
    <cfRule type="cellIs" dxfId="9442" priority="43" operator="lessThan">
      <formula>50</formula>
    </cfRule>
  </conditionalFormatting>
  <conditionalFormatting sqref="H36:L36">
    <cfRule type="cellIs" dxfId="9441" priority="42" operator="lessThan">
      <formula>5</formula>
    </cfRule>
  </conditionalFormatting>
  <conditionalFormatting sqref="H36:M36">
    <cfRule type="cellIs" dxfId="9440" priority="41" operator="lessThan">
      <formula>50</formula>
    </cfRule>
  </conditionalFormatting>
  <conditionalFormatting sqref="O36">
    <cfRule type="cellIs" dxfId="9439" priority="40" operator="lessThan">
      <formula>50</formula>
    </cfRule>
  </conditionalFormatting>
  <conditionalFormatting sqref="H37:L37">
    <cfRule type="cellIs" dxfId="9438" priority="39" operator="lessThan">
      <formula>5</formula>
    </cfRule>
  </conditionalFormatting>
  <conditionalFormatting sqref="H37:M37">
    <cfRule type="cellIs" dxfId="9437" priority="38" operator="lessThan">
      <formula>50</formula>
    </cfRule>
  </conditionalFormatting>
  <conditionalFormatting sqref="O37">
    <cfRule type="cellIs" dxfId="9436" priority="37" operator="lessThan">
      <formula>50</formula>
    </cfRule>
  </conditionalFormatting>
  <conditionalFormatting sqref="H38:L38">
    <cfRule type="cellIs" dxfId="9435" priority="36" operator="lessThan">
      <formula>5</formula>
    </cfRule>
  </conditionalFormatting>
  <conditionalFormatting sqref="H38:M38">
    <cfRule type="cellIs" dxfId="9434" priority="35" operator="lessThan">
      <formula>50</formula>
    </cfRule>
  </conditionalFormatting>
  <conditionalFormatting sqref="O38">
    <cfRule type="cellIs" dxfId="9433" priority="34" operator="lessThan">
      <formula>50</formula>
    </cfRule>
  </conditionalFormatting>
  <conditionalFormatting sqref="H39:L39">
    <cfRule type="cellIs" dxfId="9432" priority="33" operator="lessThan">
      <formula>5</formula>
    </cfRule>
  </conditionalFormatting>
  <conditionalFormatting sqref="H39:M39">
    <cfRule type="cellIs" dxfId="9431" priority="32" operator="lessThan">
      <formula>50</formula>
    </cfRule>
  </conditionalFormatting>
  <conditionalFormatting sqref="O39">
    <cfRule type="cellIs" dxfId="9430" priority="31" operator="lessThan">
      <formula>50</formula>
    </cfRule>
  </conditionalFormatting>
  <conditionalFormatting sqref="H40:L40">
    <cfRule type="cellIs" dxfId="9429" priority="30" operator="lessThan">
      <formula>5</formula>
    </cfRule>
  </conditionalFormatting>
  <conditionalFormatting sqref="H40:M40">
    <cfRule type="cellIs" dxfId="9428" priority="29" operator="lessThan">
      <formula>50</formula>
    </cfRule>
  </conditionalFormatting>
  <conditionalFormatting sqref="O40">
    <cfRule type="cellIs" dxfId="9427" priority="28" operator="lessThan">
      <formula>50</formula>
    </cfRule>
  </conditionalFormatting>
  <conditionalFormatting sqref="H41:L41">
    <cfRule type="cellIs" dxfId="9426" priority="27" operator="lessThan">
      <formula>5</formula>
    </cfRule>
  </conditionalFormatting>
  <conditionalFormatting sqref="H41:M41">
    <cfRule type="cellIs" dxfId="9425" priority="26" operator="lessThan">
      <formula>50</formula>
    </cfRule>
  </conditionalFormatting>
  <conditionalFormatting sqref="O41">
    <cfRule type="cellIs" dxfId="9424" priority="25" operator="lessThan">
      <formula>50</formula>
    </cfRule>
  </conditionalFormatting>
  <conditionalFormatting sqref="H42:L42">
    <cfRule type="cellIs" dxfId="9423" priority="24" operator="lessThan">
      <formula>5</formula>
    </cfRule>
  </conditionalFormatting>
  <conditionalFormatting sqref="H42:M42">
    <cfRule type="cellIs" dxfId="9422" priority="23" operator="lessThan">
      <formula>50</formula>
    </cfRule>
  </conditionalFormatting>
  <conditionalFormatting sqref="O42">
    <cfRule type="cellIs" dxfId="9421" priority="22" operator="lessThan">
      <formula>50</formula>
    </cfRule>
  </conditionalFormatting>
  <conditionalFormatting sqref="H43:L43">
    <cfRule type="cellIs" dxfId="9420" priority="21" operator="lessThan">
      <formula>5</formula>
    </cfRule>
  </conditionalFormatting>
  <conditionalFormatting sqref="H43:M43">
    <cfRule type="cellIs" dxfId="9419" priority="20" operator="lessThan">
      <formula>50</formula>
    </cfRule>
  </conditionalFormatting>
  <conditionalFormatting sqref="O43">
    <cfRule type="cellIs" dxfId="9418" priority="19" operator="lessThan">
      <formula>50</formula>
    </cfRule>
  </conditionalFormatting>
  <conditionalFormatting sqref="H44:L44">
    <cfRule type="cellIs" dxfId="9417" priority="18" operator="lessThan">
      <formula>5</formula>
    </cfRule>
  </conditionalFormatting>
  <conditionalFormatting sqref="H44:M44">
    <cfRule type="cellIs" dxfId="9416" priority="17" operator="lessThan">
      <formula>50</formula>
    </cfRule>
  </conditionalFormatting>
  <conditionalFormatting sqref="O44">
    <cfRule type="cellIs" dxfId="9415" priority="16" operator="lessThan">
      <formula>50</formula>
    </cfRule>
  </conditionalFormatting>
  <conditionalFormatting sqref="H45:L45">
    <cfRule type="cellIs" dxfId="9414" priority="15" operator="lessThan">
      <formula>5</formula>
    </cfRule>
  </conditionalFormatting>
  <conditionalFormatting sqref="H45:M45">
    <cfRule type="cellIs" dxfId="9413" priority="14" operator="lessThan">
      <formula>50</formula>
    </cfRule>
  </conditionalFormatting>
  <conditionalFormatting sqref="O45">
    <cfRule type="cellIs" dxfId="9412" priority="13" operator="lessThan">
      <formula>50</formula>
    </cfRule>
  </conditionalFormatting>
  <conditionalFormatting sqref="H46:L46">
    <cfRule type="cellIs" dxfId="9411" priority="12" operator="lessThan">
      <formula>5</formula>
    </cfRule>
  </conditionalFormatting>
  <conditionalFormatting sqref="H46:M46">
    <cfRule type="cellIs" dxfId="9410" priority="11" operator="lessThan">
      <formula>50</formula>
    </cfRule>
  </conditionalFormatting>
  <conditionalFormatting sqref="O46">
    <cfRule type="cellIs" dxfId="9409" priority="10" operator="lessThan">
      <formula>50</formula>
    </cfRule>
  </conditionalFormatting>
  <conditionalFormatting sqref="H47:L47">
    <cfRule type="cellIs" dxfId="9408" priority="9" operator="lessThan">
      <formula>5</formula>
    </cfRule>
  </conditionalFormatting>
  <conditionalFormatting sqref="H47:M47">
    <cfRule type="cellIs" dxfId="9407" priority="8" operator="lessThan">
      <formula>50</formula>
    </cfRule>
  </conditionalFormatting>
  <conditionalFormatting sqref="O47">
    <cfRule type="cellIs" dxfId="9406" priority="7" operator="lessThan">
      <formula>50</formula>
    </cfRule>
  </conditionalFormatting>
  <conditionalFormatting sqref="H48:L48">
    <cfRule type="cellIs" dxfId="9405" priority="6" operator="lessThan">
      <formula>5</formula>
    </cfRule>
  </conditionalFormatting>
  <conditionalFormatting sqref="H48:M48">
    <cfRule type="cellIs" dxfId="9404" priority="5" operator="lessThan">
      <formula>50</formula>
    </cfRule>
  </conditionalFormatting>
  <conditionalFormatting sqref="O48">
    <cfRule type="cellIs" dxfId="9403" priority="4" operator="lessThan">
      <formula>50</formula>
    </cfRule>
  </conditionalFormatting>
  <conditionalFormatting sqref="H49:L49">
    <cfRule type="cellIs" dxfId="9402" priority="3" operator="lessThan">
      <formula>5</formula>
    </cfRule>
  </conditionalFormatting>
  <conditionalFormatting sqref="H49:M49">
    <cfRule type="cellIs" dxfId="9401" priority="2" operator="lessThan">
      <formula>50</formula>
    </cfRule>
  </conditionalFormatting>
  <conditionalFormatting sqref="O49">
    <cfRule type="cellIs" dxfId="9400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5:E16 D20:E21 D24:E25 D28:E34 D36:E36 D38:E38 D40:E43 D45:E46" xr:uid="{D4D296DC-0563-4EB9-BC65-6B4CA46436A2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9B66-3029-449B-98FA-2124CC366581}">
  <sheetPr codeName="Sheet84"/>
  <dimension ref="A1:P45"/>
  <sheetViews>
    <sheetView showGridLines="0" workbookViewId="0">
      <selection sqref="A1:P1"/>
    </sheetView>
  </sheetViews>
  <sheetFormatPr defaultRowHeight="15"/>
  <cols>
    <col min="1" max="1" width="4.7109375" customWidth="1"/>
    <col min="2" max="2" width="10.7109375" customWidth="1"/>
    <col min="3" max="3" width="11.28515625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2" width="4.7109375" customWidth="1"/>
    <col min="13" max="13" width="4.7109375" style="44" customWidth="1"/>
    <col min="14" max="14" width="6.7109375" style="44" customWidth="1"/>
    <col min="15" max="15" width="4.7109375" style="44" customWidth="1"/>
    <col min="16" max="16" width="4.7109375" customWidth="1"/>
  </cols>
  <sheetData>
    <row r="1" spans="1:16" ht="18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8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18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1:16" ht="18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42"/>
      <c r="N4" s="42"/>
      <c r="O4" s="42"/>
      <c r="P4" s="15"/>
    </row>
    <row r="5" spans="1:16" ht="18" customHeight="1">
      <c r="A5" s="57" t="s">
        <v>5326</v>
      </c>
      <c r="B5" s="57"/>
      <c r="C5" s="17" t="s">
        <v>5328</v>
      </c>
      <c r="D5" s="15"/>
      <c r="E5" s="15"/>
      <c r="F5" s="17"/>
      <c r="G5" s="15"/>
      <c r="H5" s="15"/>
      <c r="I5" s="15"/>
      <c r="J5" s="15"/>
      <c r="K5" s="15"/>
      <c r="L5" s="15"/>
      <c r="M5" s="42"/>
      <c r="N5" s="42"/>
      <c r="O5" s="42"/>
      <c r="P5" s="15"/>
    </row>
    <row r="6" spans="1:16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7" t="s">
        <v>48</v>
      </c>
      <c r="I6" s="38" t="s">
        <v>49</v>
      </c>
      <c r="J6" s="37" t="s">
        <v>50</v>
      </c>
      <c r="K6" s="37" t="s">
        <v>3</v>
      </c>
      <c r="L6" s="37" t="s">
        <v>1</v>
      </c>
      <c r="M6" s="45" t="s">
        <v>5318</v>
      </c>
      <c r="N6" s="45" t="s">
        <v>5320</v>
      </c>
      <c r="O6" s="45" t="s">
        <v>5321</v>
      </c>
      <c r="P6" s="39" t="s">
        <v>5324</v>
      </c>
    </row>
    <row r="7" spans="1:16" ht="18" customHeight="1" thickTop="1">
      <c r="A7" s="19">
        <v>1</v>
      </c>
      <c r="B7" s="2" t="s">
        <v>470</v>
      </c>
      <c r="C7" s="1">
        <v>311260795</v>
      </c>
      <c r="D7" s="3" t="s">
        <v>471</v>
      </c>
      <c r="E7" s="1" t="s">
        <v>78</v>
      </c>
      <c r="F7" s="10" t="s">
        <v>424</v>
      </c>
      <c r="G7" s="1">
        <v>39</v>
      </c>
      <c r="H7" s="8">
        <v>86</v>
      </c>
      <c r="I7" s="8">
        <v>86</v>
      </c>
      <c r="J7" s="8">
        <v>86</v>
      </c>
      <c r="K7" s="8">
        <v>90</v>
      </c>
      <c r="L7" s="8">
        <v>100</v>
      </c>
      <c r="M7" s="14">
        <v>100</v>
      </c>
      <c r="N7" s="14">
        <f t="shared" ref="N7:N45" si="0">SUBTOTAL(9,H7:M7)</f>
        <v>548</v>
      </c>
      <c r="O7" s="14">
        <f t="shared" ref="O7:O45" si="1">N7/7</f>
        <v>78.285714285714292</v>
      </c>
      <c r="P7" s="20">
        <f t="shared" ref="P7:P45" si="2">RANK(O7,O$7:O$88,0)</f>
        <v>1</v>
      </c>
    </row>
    <row r="8" spans="1:16" ht="18" customHeight="1">
      <c r="A8" s="19">
        <v>2</v>
      </c>
      <c r="B8" s="2" t="s">
        <v>474</v>
      </c>
      <c r="C8" s="1">
        <v>311260797</v>
      </c>
      <c r="D8" s="3" t="s">
        <v>475</v>
      </c>
      <c r="E8" s="1" t="s">
        <v>88</v>
      </c>
      <c r="F8" s="10" t="s">
        <v>424</v>
      </c>
      <c r="G8" s="1">
        <v>39</v>
      </c>
      <c r="H8" s="8">
        <v>100</v>
      </c>
      <c r="I8" s="8">
        <v>100</v>
      </c>
      <c r="J8" s="8">
        <v>86</v>
      </c>
      <c r="K8" s="8">
        <v>95</v>
      </c>
      <c r="L8" s="8">
        <v>78</v>
      </c>
      <c r="M8" s="14">
        <v>66.666666666666671</v>
      </c>
      <c r="N8" s="14">
        <f t="shared" si="0"/>
        <v>525.66666666666663</v>
      </c>
      <c r="O8" s="14">
        <f t="shared" si="1"/>
        <v>75.095238095238088</v>
      </c>
      <c r="P8" s="20">
        <f t="shared" si="2"/>
        <v>2</v>
      </c>
    </row>
    <row r="9" spans="1:16" ht="18" customHeight="1">
      <c r="A9" s="19">
        <v>3</v>
      </c>
      <c r="B9" s="2" t="s">
        <v>466</v>
      </c>
      <c r="C9" s="1">
        <v>311260793</v>
      </c>
      <c r="D9" s="3" t="s">
        <v>467</v>
      </c>
      <c r="E9" s="1" t="s">
        <v>74</v>
      </c>
      <c r="F9" s="10" t="s">
        <v>424</v>
      </c>
      <c r="G9" s="1">
        <v>39</v>
      </c>
      <c r="H9" s="8">
        <v>86</v>
      </c>
      <c r="I9" s="8">
        <v>66</v>
      </c>
      <c r="J9" s="8">
        <v>73</v>
      </c>
      <c r="K9" s="8">
        <v>80</v>
      </c>
      <c r="L9" s="8">
        <v>100</v>
      </c>
      <c r="M9" s="14">
        <v>100</v>
      </c>
      <c r="N9" s="14">
        <f t="shared" si="0"/>
        <v>505</v>
      </c>
      <c r="O9" s="14">
        <f t="shared" si="1"/>
        <v>72.142857142857139</v>
      </c>
      <c r="P9" s="20">
        <f t="shared" si="2"/>
        <v>3</v>
      </c>
    </row>
    <row r="10" spans="1:16" ht="18" customHeight="1">
      <c r="A10" s="19">
        <v>4</v>
      </c>
      <c r="B10" s="2" t="s">
        <v>452</v>
      </c>
      <c r="C10" s="1">
        <v>311260786</v>
      </c>
      <c r="D10" s="3" t="s">
        <v>453</v>
      </c>
      <c r="E10" s="1" t="s">
        <v>77</v>
      </c>
      <c r="F10" s="10" t="s">
        <v>424</v>
      </c>
      <c r="G10" s="1">
        <v>39</v>
      </c>
      <c r="H10" s="8">
        <v>86</v>
      </c>
      <c r="I10" s="8">
        <v>40</v>
      </c>
      <c r="J10" s="8">
        <v>100</v>
      </c>
      <c r="K10" s="8">
        <v>75</v>
      </c>
      <c r="L10" s="8">
        <v>100</v>
      </c>
      <c r="M10" s="14">
        <v>100</v>
      </c>
      <c r="N10" s="14">
        <f t="shared" si="0"/>
        <v>501</v>
      </c>
      <c r="O10" s="14">
        <f t="shared" si="1"/>
        <v>71.571428571428569</v>
      </c>
      <c r="P10" s="20">
        <f t="shared" si="2"/>
        <v>4</v>
      </c>
    </row>
    <row r="11" spans="1:16" ht="18" customHeight="1">
      <c r="A11" s="19">
        <v>5</v>
      </c>
      <c r="B11" s="2" t="s">
        <v>491</v>
      </c>
      <c r="C11" s="1">
        <v>311260806</v>
      </c>
      <c r="D11" s="3" t="s">
        <v>492</v>
      </c>
      <c r="E11" s="1" t="s">
        <v>76</v>
      </c>
      <c r="F11" s="10" t="s">
        <v>424</v>
      </c>
      <c r="G11" s="1">
        <v>39</v>
      </c>
      <c r="H11" s="8">
        <v>92</v>
      </c>
      <c r="I11" s="8">
        <v>33</v>
      </c>
      <c r="J11" s="8">
        <v>79</v>
      </c>
      <c r="K11" s="8">
        <v>95</v>
      </c>
      <c r="L11" s="8">
        <v>100</v>
      </c>
      <c r="M11" s="14">
        <v>100</v>
      </c>
      <c r="N11" s="14">
        <f t="shared" si="0"/>
        <v>499</v>
      </c>
      <c r="O11" s="14">
        <f t="shared" si="1"/>
        <v>71.285714285714292</v>
      </c>
      <c r="P11" s="20">
        <f t="shared" si="2"/>
        <v>5</v>
      </c>
    </row>
    <row r="12" spans="1:16" ht="18" customHeight="1">
      <c r="A12" s="19">
        <v>6</v>
      </c>
      <c r="B12" s="2" t="s">
        <v>476</v>
      </c>
      <c r="C12" s="1">
        <v>311260798</v>
      </c>
      <c r="D12" s="3" t="s">
        <v>477</v>
      </c>
      <c r="E12" s="1" t="s">
        <v>88</v>
      </c>
      <c r="F12" s="10" t="s">
        <v>424</v>
      </c>
      <c r="G12" s="1">
        <v>39</v>
      </c>
      <c r="H12" s="8">
        <v>92</v>
      </c>
      <c r="I12" s="8">
        <v>66</v>
      </c>
      <c r="J12" s="8">
        <v>86</v>
      </c>
      <c r="K12" s="8">
        <v>75</v>
      </c>
      <c r="L12" s="8">
        <v>78</v>
      </c>
      <c r="M12" s="14">
        <v>100</v>
      </c>
      <c r="N12" s="14">
        <f t="shared" si="0"/>
        <v>497</v>
      </c>
      <c r="O12" s="14">
        <f t="shared" si="1"/>
        <v>71</v>
      </c>
      <c r="P12" s="20">
        <f t="shared" si="2"/>
        <v>6</v>
      </c>
    </row>
    <row r="13" spans="1:16" ht="18" customHeight="1">
      <c r="A13" s="19">
        <v>7</v>
      </c>
      <c r="B13" s="2" t="s">
        <v>493</v>
      </c>
      <c r="C13" s="1">
        <v>311260807</v>
      </c>
      <c r="D13" s="3" t="s">
        <v>494</v>
      </c>
      <c r="E13" s="1" t="s">
        <v>68</v>
      </c>
      <c r="F13" s="10" t="s">
        <v>424</v>
      </c>
      <c r="G13" s="1">
        <v>39</v>
      </c>
      <c r="H13" s="8">
        <v>86</v>
      </c>
      <c r="I13" s="8">
        <v>40</v>
      </c>
      <c r="J13" s="8">
        <v>66</v>
      </c>
      <c r="K13" s="8">
        <v>95</v>
      </c>
      <c r="L13" s="8">
        <v>100</v>
      </c>
      <c r="M13" s="14">
        <v>100</v>
      </c>
      <c r="N13" s="14">
        <f t="shared" si="0"/>
        <v>487</v>
      </c>
      <c r="O13" s="14">
        <f t="shared" si="1"/>
        <v>69.571428571428569</v>
      </c>
      <c r="P13" s="20">
        <f t="shared" si="2"/>
        <v>7</v>
      </c>
    </row>
    <row r="14" spans="1:16" ht="18" customHeight="1">
      <c r="A14" s="19">
        <v>8</v>
      </c>
      <c r="B14" s="2" t="s">
        <v>460</v>
      </c>
      <c r="C14" s="1">
        <v>311260790</v>
      </c>
      <c r="D14" s="3" t="s">
        <v>461</v>
      </c>
      <c r="E14" s="1" t="s">
        <v>84</v>
      </c>
      <c r="F14" s="10" t="s">
        <v>424</v>
      </c>
      <c r="G14" s="1">
        <v>39</v>
      </c>
      <c r="H14" s="8">
        <v>79</v>
      </c>
      <c r="I14" s="8">
        <v>46</v>
      </c>
      <c r="J14" s="8">
        <v>79</v>
      </c>
      <c r="K14" s="8">
        <v>90</v>
      </c>
      <c r="L14" s="8">
        <v>89</v>
      </c>
      <c r="M14" s="14">
        <v>100</v>
      </c>
      <c r="N14" s="14">
        <f t="shared" si="0"/>
        <v>483</v>
      </c>
      <c r="O14" s="14">
        <f t="shared" si="1"/>
        <v>69</v>
      </c>
      <c r="P14" s="20">
        <f t="shared" si="2"/>
        <v>8</v>
      </c>
    </row>
    <row r="15" spans="1:16" ht="18" customHeight="1">
      <c r="A15" s="19">
        <v>9</v>
      </c>
      <c r="B15" s="2" t="s">
        <v>486</v>
      </c>
      <c r="C15" s="1">
        <v>311260803</v>
      </c>
      <c r="D15" s="3" t="s">
        <v>487</v>
      </c>
      <c r="E15" s="1" t="s">
        <v>66</v>
      </c>
      <c r="F15" s="10" t="s">
        <v>424</v>
      </c>
      <c r="G15" s="1">
        <v>39</v>
      </c>
      <c r="H15" s="8">
        <v>86</v>
      </c>
      <c r="I15" s="8">
        <v>40</v>
      </c>
      <c r="J15" s="8">
        <v>92</v>
      </c>
      <c r="K15" s="8">
        <v>70</v>
      </c>
      <c r="L15" s="8">
        <v>90</v>
      </c>
      <c r="M15" s="14">
        <v>100</v>
      </c>
      <c r="N15" s="14">
        <f t="shared" si="0"/>
        <v>478</v>
      </c>
      <c r="O15" s="14">
        <f t="shared" si="1"/>
        <v>68.285714285714292</v>
      </c>
      <c r="P15" s="20">
        <f t="shared" si="2"/>
        <v>9</v>
      </c>
    </row>
    <row r="16" spans="1:16" ht="18" customHeight="1">
      <c r="A16" s="19">
        <v>10</v>
      </c>
      <c r="B16" s="2" t="s">
        <v>434</v>
      </c>
      <c r="C16" s="1">
        <v>311260777</v>
      </c>
      <c r="D16" s="3" t="s">
        <v>435</v>
      </c>
      <c r="E16" s="1" t="s">
        <v>58</v>
      </c>
      <c r="F16" s="10" t="s">
        <v>424</v>
      </c>
      <c r="G16" s="1">
        <v>39</v>
      </c>
      <c r="H16" s="8">
        <v>92</v>
      </c>
      <c r="I16" s="8">
        <v>53</v>
      </c>
      <c r="J16" s="8">
        <v>73</v>
      </c>
      <c r="K16" s="8">
        <v>60</v>
      </c>
      <c r="L16" s="8">
        <v>89</v>
      </c>
      <c r="M16" s="14">
        <v>100</v>
      </c>
      <c r="N16" s="14">
        <f t="shared" si="0"/>
        <v>467</v>
      </c>
      <c r="O16" s="14">
        <f t="shared" si="1"/>
        <v>66.714285714285708</v>
      </c>
      <c r="P16" s="20">
        <f t="shared" si="2"/>
        <v>10</v>
      </c>
    </row>
    <row r="17" spans="1:16" ht="18" customHeight="1">
      <c r="A17" s="19">
        <v>11</v>
      </c>
      <c r="B17" s="2" t="s">
        <v>448</v>
      </c>
      <c r="C17" s="1">
        <v>311260784</v>
      </c>
      <c r="D17" s="3" t="s">
        <v>449</v>
      </c>
      <c r="E17" s="1" t="s">
        <v>77</v>
      </c>
      <c r="F17" s="10" t="s">
        <v>424</v>
      </c>
      <c r="G17" s="1">
        <v>39</v>
      </c>
      <c r="H17" s="8">
        <v>79</v>
      </c>
      <c r="I17" s="8">
        <v>53</v>
      </c>
      <c r="J17" s="8">
        <v>86</v>
      </c>
      <c r="K17" s="8">
        <v>75</v>
      </c>
      <c r="L17" s="8">
        <v>72</v>
      </c>
      <c r="M17" s="14">
        <v>100</v>
      </c>
      <c r="N17" s="14">
        <f t="shared" si="0"/>
        <v>465</v>
      </c>
      <c r="O17" s="14">
        <f t="shared" si="1"/>
        <v>66.428571428571431</v>
      </c>
      <c r="P17" s="20">
        <f t="shared" si="2"/>
        <v>11</v>
      </c>
    </row>
    <row r="18" spans="1:16" ht="18" customHeight="1">
      <c r="A18" s="19">
        <v>12</v>
      </c>
      <c r="B18" s="2" t="s">
        <v>425</v>
      </c>
      <c r="C18" s="1">
        <v>311260772</v>
      </c>
      <c r="D18" s="3" t="s">
        <v>426</v>
      </c>
      <c r="E18" s="1" t="s">
        <v>70</v>
      </c>
      <c r="F18" s="10" t="s">
        <v>424</v>
      </c>
      <c r="G18" s="1">
        <v>39</v>
      </c>
      <c r="H18" s="8">
        <v>100</v>
      </c>
      <c r="I18" s="8">
        <v>46</v>
      </c>
      <c r="J18" s="8">
        <v>92</v>
      </c>
      <c r="K18" s="8">
        <v>35</v>
      </c>
      <c r="L18" s="8">
        <v>78</v>
      </c>
      <c r="M18" s="14">
        <v>100</v>
      </c>
      <c r="N18" s="14">
        <f t="shared" si="0"/>
        <v>451</v>
      </c>
      <c r="O18" s="14">
        <f t="shared" si="1"/>
        <v>64.428571428571431</v>
      </c>
      <c r="P18" s="20">
        <f t="shared" si="2"/>
        <v>12</v>
      </c>
    </row>
    <row r="19" spans="1:16" ht="18" customHeight="1">
      <c r="A19" s="19">
        <v>13</v>
      </c>
      <c r="B19" s="2" t="s">
        <v>431</v>
      </c>
      <c r="C19" s="1">
        <v>311260775</v>
      </c>
      <c r="D19" s="3" t="s">
        <v>432</v>
      </c>
      <c r="E19" s="1" t="s">
        <v>72</v>
      </c>
      <c r="F19" s="10" t="s">
        <v>424</v>
      </c>
      <c r="G19" s="1">
        <v>39</v>
      </c>
      <c r="H19" s="8">
        <v>59</v>
      </c>
      <c r="I19" s="8">
        <v>40</v>
      </c>
      <c r="J19" s="8">
        <v>79</v>
      </c>
      <c r="K19" s="8">
        <v>85</v>
      </c>
      <c r="L19" s="8">
        <v>83</v>
      </c>
      <c r="M19" s="14">
        <v>100</v>
      </c>
      <c r="N19" s="14">
        <f t="shared" si="0"/>
        <v>446</v>
      </c>
      <c r="O19" s="14">
        <f t="shared" si="1"/>
        <v>63.714285714285715</v>
      </c>
      <c r="P19" s="20">
        <f t="shared" si="2"/>
        <v>13</v>
      </c>
    </row>
    <row r="20" spans="1:16" ht="18" customHeight="1">
      <c r="A20" s="19">
        <v>14</v>
      </c>
      <c r="B20" s="2" t="s">
        <v>482</v>
      </c>
      <c r="C20" s="1">
        <v>311260801</v>
      </c>
      <c r="D20" s="3" t="s">
        <v>483</v>
      </c>
      <c r="E20" s="1" t="s">
        <v>82</v>
      </c>
      <c r="F20" s="10" t="s">
        <v>424</v>
      </c>
      <c r="G20" s="1">
        <v>39</v>
      </c>
      <c r="H20" s="8">
        <v>53</v>
      </c>
      <c r="I20" s="8">
        <v>53</v>
      </c>
      <c r="J20" s="8">
        <v>86</v>
      </c>
      <c r="K20" s="8">
        <v>55</v>
      </c>
      <c r="L20" s="8">
        <v>98</v>
      </c>
      <c r="M20" s="14">
        <v>100</v>
      </c>
      <c r="N20" s="14">
        <f t="shared" si="0"/>
        <v>445</v>
      </c>
      <c r="O20" s="14">
        <f t="shared" si="1"/>
        <v>63.571428571428569</v>
      </c>
      <c r="P20" s="20">
        <f t="shared" si="2"/>
        <v>14</v>
      </c>
    </row>
    <row r="21" spans="1:16" ht="18" customHeight="1">
      <c r="A21" s="19">
        <v>15</v>
      </c>
      <c r="B21" s="2" t="s">
        <v>497</v>
      </c>
      <c r="C21" s="1">
        <v>311260965</v>
      </c>
      <c r="D21" s="3" t="s">
        <v>498</v>
      </c>
      <c r="E21" s="1" t="s">
        <v>84</v>
      </c>
      <c r="F21" s="10" t="s">
        <v>424</v>
      </c>
      <c r="G21" s="1">
        <v>39</v>
      </c>
      <c r="H21" s="8">
        <v>86</v>
      </c>
      <c r="I21" s="8">
        <v>53</v>
      </c>
      <c r="J21" s="8">
        <v>66</v>
      </c>
      <c r="K21" s="8">
        <v>65</v>
      </c>
      <c r="L21" s="8">
        <v>75</v>
      </c>
      <c r="M21" s="14">
        <v>100</v>
      </c>
      <c r="N21" s="14">
        <f t="shared" si="0"/>
        <v>445</v>
      </c>
      <c r="O21" s="14">
        <f t="shared" si="1"/>
        <v>63.571428571428569</v>
      </c>
      <c r="P21" s="20">
        <f t="shared" si="2"/>
        <v>14</v>
      </c>
    </row>
    <row r="22" spans="1:16" ht="18" customHeight="1">
      <c r="A22" s="19">
        <v>16</v>
      </c>
      <c r="B22" s="2" t="s">
        <v>484</v>
      </c>
      <c r="C22" s="1">
        <v>311260802</v>
      </c>
      <c r="D22" s="3" t="s">
        <v>485</v>
      </c>
      <c r="E22" s="1" t="s">
        <v>82</v>
      </c>
      <c r="F22" s="10" t="s">
        <v>424</v>
      </c>
      <c r="G22" s="1">
        <v>39</v>
      </c>
      <c r="H22" s="8">
        <v>79</v>
      </c>
      <c r="I22" s="8">
        <v>53</v>
      </c>
      <c r="J22" s="8">
        <v>66</v>
      </c>
      <c r="K22" s="8">
        <v>50</v>
      </c>
      <c r="L22" s="8">
        <v>95</v>
      </c>
      <c r="M22" s="14">
        <v>100</v>
      </c>
      <c r="N22" s="14">
        <f t="shared" si="0"/>
        <v>443</v>
      </c>
      <c r="O22" s="14">
        <f t="shared" si="1"/>
        <v>63.285714285714285</v>
      </c>
      <c r="P22" s="20">
        <f t="shared" si="2"/>
        <v>16</v>
      </c>
    </row>
    <row r="23" spans="1:16" ht="18" customHeight="1">
      <c r="A23" s="19">
        <v>17</v>
      </c>
      <c r="B23" s="2" t="s">
        <v>480</v>
      </c>
      <c r="C23" s="1">
        <v>311260800</v>
      </c>
      <c r="D23" s="3" t="s">
        <v>481</v>
      </c>
      <c r="E23" s="1" t="s">
        <v>82</v>
      </c>
      <c r="F23" s="10" t="s">
        <v>424</v>
      </c>
      <c r="G23" s="1">
        <v>39</v>
      </c>
      <c r="H23" s="8">
        <v>73</v>
      </c>
      <c r="I23" s="8">
        <v>33</v>
      </c>
      <c r="J23" s="8">
        <v>79</v>
      </c>
      <c r="K23" s="8">
        <v>95</v>
      </c>
      <c r="L23" s="8">
        <v>66</v>
      </c>
      <c r="M23" s="14">
        <v>96.666666666666671</v>
      </c>
      <c r="N23" s="14">
        <f t="shared" si="0"/>
        <v>442.66666666666669</v>
      </c>
      <c r="O23" s="14">
        <f t="shared" si="1"/>
        <v>63.238095238095241</v>
      </c>
      <c r="P23" s="20">
        <f t="shared" si="2"/>
        <v>17</v>
      </c>
    </row>
    <row r="24" spans="1:16" ht="18" customHeight="1">
      <c r="A24" s="19">
        <v>18</v>
      </c>
      <c r="B24" s="2" t="s">
        <v>454</v>
      </c>
      <c r="C24" s="1">
        <v>311260787</v>
      </c>
      <c r="D24" s="3" t="s">
        <v>455</v>
      </c>
      <c r="E24" s="1" t="s">
        <v>77</v>
      </c>
      <c r="F24" s="10" t="s">
        <v>424</v>
      </c>
      <c r="G24" s="1">
        <v>39</v>
      </c>
      <c r="H24" s="8">
        <v>79</v>
      </c>
      <c r="I24" s="8">
        <v>33</v>
      </c>
      <c r="J24" s="8">
        <v>79</v>
      </c>
      <c r="K24" s="8">
        <v>85</v>
      </c>
      <c r="L24" s="8">
        <v>50</v>
      </c>
      <c r="M24" s="14">
        <v>100</v>
      </c>
      <c r="N24" s="14">
        <f t="shared" si="0"/>
        <v>426</v>
      </c>
      <c r="O24" s="14">
        <f t="shared" si="1"/>
        <v>60.857142857142854</v>
      </c>
      <c r="P24" s="20">
        <f t="shared" si="2"/>
        <v>18</v>
      </c>
    </row>
    <row r="25" spans="1:16" ht="18" customHeight="1">
      <c r="A25" s="19">
        <v>19</v>
      </c>
      <c r="B25" s="2" t="s">
        <v>427</v>
      </c>
      <c r="C25" s="1">
        <v>311260773</v>
      </c>
      <c r="D25" s="3" t="s">
        <v>428</v>
      </c>
      <c r="E25" s="1" t="s">
        <v>56</v>
      </c>
      <c r="F25" s="10" t="s">
        <v>424</v>
      </c>
      <c r="G25" s="1">
        <v>39</v>
      </c>
      <c r="H25" s="8">
        <v>79</v>
      </c>
      <c r="I25" s="8">
        <v>40</v>
      </c>
      <c r="J25" s="8">
        <v>92</v>
      </c>
      <c r="K25" s="8">
        <v>70</v>
      </c>
      <c r="L25" s="8">
        <v>38</v>
      </c>
      <c r="M25" s="14">
        <v>100</v>
      </c>
      <c r="N25" s="14">
        <f t="shared" si="0"/>
        <v>419</v>
      </c>
      <c r="O25" s="14">
        <f t="shared" si="1"/>
        <v>59.857142857142854</v>
      </c>
      <c r="P25" s="20">
        <f t="shared" si="2"/>
        <v>19</v>
      </c>
    </row>
    <row r="26" spans="1:16" ht="18" customHeight="1">
      <c r="A26" s="19">
        <v>20</v>
      </c>
      <c r="B26" s="2" t="s">
        <v>464</v>
      </c>
      <c r="C26" s="1">
        <v>311260792</v>
      </c>
      <c r="D26" s="3" t="s">
        <v>465</v>
      </c>
      <c r="E26" s="1" t="s">
        <v>63</v>
      </c>
      <c r="F26" s="10" t="s">
        <v>424</v>
      </c>
      <c r="G26" s="1">
        <v>39</v>
      </c>
      <c r="H26" s="8">
        <v>79</v>
      </c>
      <c r="I26" s="8">
        <v>46</v>
      </c>
      <c r="J26" s="8">
        <v>86</v>
      </c>
      <c r="K26" s="8">
        <v>30</v>
      </c>
      <c r="L26" s="8">
        <v>78</v>
      </c>
      <c r="M26" s="14">
        <v>100</v>
      </c>
      <c r="N26" s="14">
        <f t="shared" si="0"/>
        <v>419</v>
      </c>
      <c r="O26" s="14">
        <f t="shared" si="1"/>
        <v>59.857142857142854</v>
      </c>
      <c r="P26" s="20">
        <f t="shared" si="2"/>
        <v>19</v>
      </c>
    </row>
    <row r="27" spans="1:16" ht="18" customHeight="1">
      <c r="A27" s="19">
        <v>21</v>
      </c>
      <c r="B27" s="2" t="s">
        <v>456</v>
      </c>
      <c r="C27" s="1">
        <v>311260788</v>
      </c>
      <c r="D27" s="3" t="s">
        <v>457</v>
      </c>
      <c r="E27" s="1" t="s">
        <v>84</v>
      </c>
      <c r="F27" s="10" t="s">
        <v>424</v>
      </c>
      <c r="G27" s="1">
        <v>39</v>
      </c>
      <c r="H27" s="8">
        <v>79</v>
      </c>
      <c r="I27" s="8">
        <v>33</v>
      </c>
      <c r="J27" s="8">
        <v>53</v>
      </c>
      <c r="K27" s="8">
        <v>80</v>
      </c>
      <c r="L27" s="8">
        <v>64</v>
      </c>
      <c r="M27" s="14">
        <v>100</v>
      </c>
      <c r="N27" s="14">
        <f t="shared" si="0"/>
        <v>409</v>
      </c>
      <c r="O27" s="14">
        <f t="shared" si="1"/>
        <v>58.428571428571431</v>
      </c>
      <c r="P27" s="20">
        <f t="shared" si="2"/>
        <v>21</v>
      </c>
    </row>
    <row r="28" spans="1:16" ht="18" customHeight="1">
      <c r="A28" s="19">
        <v>22</v>
      </c>
      <c r="B28" s="2" t="s">
        <v>442</v>
      </c>
      <c r="C28" s="1">
        <v>311260781</v>
      </c>
      <c r="D28" s="3" t="s">
        <v>443</v>
      </c>
      <c r="E28" s="1" t="s">
        <v>61</v>
      </c>
      <c r="F28" s="10" t="s">
        <v>424</v>
      </c>
      <c r="G28" s="1">
        <v>39</v>
      </c>
      <c r="H28" s="8">
        <v>79</v>
      </c>
      <c r="I28" s="8">
        <v>26</v>
      </c>
      <c r="J28" s="8">
        <v>79</v>
      </c>
      <c r="K28" s="8">
        <v>40</v>
      </c>
      <c r="L28" s="8">
        <v>78</v>
      </c>
      <c r="M28" s="14">
        <v>100</v>
      </c>
      <c r="N28" s="14">
        <f t="shared" si="0"/>
        <v>402</v>
      </c>
      <c r="O28" s="14">
        <f t="shared" si="1"/>
        <v>57.428571428571431</v>
      </c>
      <c r="P28" s="20">
        <f t="shared" si="2"/>
        <v>22</v>
      </c>
    </row>
    <row r="29" spans="1:16" ht="18" customHeight="1">
      <c r="A29" s="19">
        <v>23</v>
      </c>
      <c r="B29" s="2" t="s">
        <v>489</v>
      </c>
      <c r="C29" s="1">
        <v>311260805</v>
      </c>
      <c r="D29" s="3" t="s">
        <v>490</v>
      </c>
      <c r="E29" s="1" t="s">
        <v>353</v>
      </c>
      <c r="F29" s="10" t="s">
        <v>424</v>
      </c>
      <c r="G29" s="1">
        <v>39</v>
      </c>
      <c r="H29" s="8">
        <v>59</v>
      </c>
      <c r="I29" s="8">
        <v>59</v>
      </c>
      <c r="J29" s="8">
        <v>73</v>
      </c>
      <c r="K29" s="8">
        <v>20</v>
      </c>
      <c r="L29" s="8">
        <v>88</v>
      </c>
      <c r="M29" s="14">
        <v>100</v>
      </c>
      <c r="N29" s="14">
        <f t="shared" si="0"/>
        <v>399</v>
      </c>
      <c r="O29" s="14">
        <f t="shared" si="1"/>
        <v>57</v>
      </c>
      <c r="P29" s="20">
        <f t="shared" si="2"/>
        <v>23</v>
      </c>
    </row>
    <row r="30" spans="1:16" ht="18" customHeight="1">
      <c r="A30" s="19">
        <v>24</v>
      </c>
      <c r="B30" s="2" t="s">
        <v>472</v>
      </c>
      <c r="C30" s="1">
        <v>311260796</v>
      </c>
      <c r="D30" s="3" t="s">
        <v>473</v>
      </c>
      <c r="E30" s="1" t="s">
        <v>90</v>
      </c>
      <c r="F30" s="10" t="s">
        <v>424</v>
      </c>
      <c r="G30" s="1">
        <v>39</v>
      </c>
      <c r="H30" s="8">
        <v>86</v>
      </c>
      <c r="I30" s="8">
        <v>33</v>
      </c>
      <c r="J30" s="8">
        <v>79</v>
      </c>
      <c r="K30" s="8">
        <v>30</v>
      </c>
      <c r="L30" s="8">
        <v>61</v>
      </c>
      <c r="M30" s="14">
        <v>100</v>
      </c>
      <c r="N30" s="14">
        <f t="shared" si="0"/>
        <v>389</v>
      </c>
      <c r="O30" s="14">
        <f t="shared" si="1"/>
        <v>55.571428571428569</v>
      </c>
      <c r="P30" s="20">
        <f t="shared" si="2"/>
        <v>24</v>
      </c>
    </row>
    <row r="31" spans="1:16" ht="18" customHeight="1">
      <c r="A31" s="19">
        <v>25</v>
      </c>
      <c r="B31" s="2" t="s">
        <v>433</v>
      </c>
      <c r="C31" s="1">
        <v>311260776</v>
      </c>
      <c r="D31" s="3" t="s">
        <v>89</v>
      </c>
      <c r="E31" s="1" t="s">
        <v>58</v>
      </c>
      <c r="F31" s="10" t="s">
        <v>424</v>
      </c>
      <c r="G31" s="1">
        <v>39</v>
      </c>
      <c r="H31" s="8">
        <v>66</v>
      </c>
      <c r="I31" s="8">
        <v>33</v>
      </c>
      <c r="J31" s="8">
        <v>92</v>
      </c>
      <c r="K31" s="8">
        <v>25</v>
      </c>
      <c r="L31" s="8">
        <v>72</v>
      </c>
      <c r="M31" s="14">
        <v>100</v>
      </c>
      <c r="N31" s="14">
        <f t="shared" si="0"/>
        <v>388</v>
      </c>
      <c r="O31" s="14">
        <f t="shared" si="1"/>
        <v>55.428571428571431</v>
      </c>
      <c r="P31" s="20">
        <f t="shared" si="2"/>
        <v>25</v>
      </c>
    </row>
    <row r="32" spans="1:16" ht="18" customHeight="1">
      <c r="A32" s="19">
        <v>26</v>
      </c>
      <c r="B32" s="2" t="s">
        <v>462</v>
      </c>
      <c r="C32" s="1">
        <v>311260791</v>
      </c>
      <c r="D32" s="3" t="s">
        <v>463</v>
      </c>
      <c r="E32" s="1" t="s">
        <v>63</v>
      </c>
      <c r="F32" s="10" t="s">
        <v>424</v>
      </c>
      <c r="G32" s="1">
        <v>39</v>
      </c>
      <c r="H32" s="8">
        <v>53</v>
      </c>
      <c r="I32" s="8">
        <v>59</v>
      </c>
      <c r="J32" s="8">
        <v>53</v>
      </c>
      <c r="K32" s="8">
        <v>25</v>
      </c>
      <c r="L32" s="8">
        <v>94</v>
      </c>
      <c r="M32" s="14">
        <v>100</v>
      </c>
      <c r="N32" s="14">
        <f t="shared" si="0"/>
        <v>384</v>
      </c>
      <c r="O32" s="14">
        <f t="shared" si="1"/>
        <v>54.857142857142854</v>
      </c>
      <c r="P32" s="20">
        <f t="shared" si="2"/>
        <v>26</v>
      </c>
    </row>
    <row r="33" spans="1:16" ht="18" customHeight="1">
      <c r="A33" s="19">
        <v>27</v>
      </c>
      <c r="B33" s="2" t="s">
        <v>429</v>
      </c>
      <c r="C33" s="1">
        <v>311260774</v>
      </c>
      <c r="D33" s="3" t="s">
        <v>430</v>
      </c>
      <c r="E33" s="1" t="s">
        <v>56</v>
      </c>
      <c r="F33" s="10" t="s">
        <v>424</v>
      </c>
      <c r="G33" s="1">
        <v>39</v>
      </c>
      <c r="H33" s="8">
        <v>53</v>
      </c>
      <c r="I33" s="8">
        <v>46</v>
      </c>
      <c r="J33" s="8">
        <v>66</v>
      </c>
      <c r="K33" s="8">
        <v>35</v>
      </c>
      <c r="L33" s="8">
        <v>78</v>
      </c>
      <c r="M33" s="14">
        <v>100</v>
      </c>
      <c r="N33" s="14">
        <f t="shared" si="0"/>
        <v>378</v>
      </c>
      <c r="O33" s="14">
        <f t="shared" si="1"/>
        <v>54</v>
      </c>
      <c r="P33" s="20">
        <f t="shared" si="2"/>
        <v>27</v>
      </c>
    </row>
    <row r="34" spans="1:16" ht="18" customHeight="1">
      <c r="A34" s="19">
        <v>28</v>
      </c>
      <c r="B34" s="2" t="s">
        <v>488</v>
      </c>
      <c r="C34" s="1">
        <v>311260804</v>
      </c>
      <c r="D34" s="3" t="s">
        <v>319</v>
      </c>
      <c r="E34" s="1" t="s">
        <v>66</v>
      </c>
      <c r="F34" s="10" t="s">
        <v>424</v>
      </c>
      <c r="G34" s="1">
        <v>39</v>
      </c>
      <c r="H34" s="8">
        <v>59</v>
      </c>
      <c r="I34" s="8">
        <v>40</v>
      </c>
      <c r="J34" s="8">
        <v>66</v>
      </c>
      <c r="K34" s="8">
        <v>45</v>
      </c>
      <c r="L34" s="8">
        <v>70</v>
      </c>
      <c r="M34" s="14">
        <v>93.333333333333329</v>
      </c>
      <c r="N34" s="14">
        <f t="shared" si="0"/>
        <v>373.33333333333331</v>
      </c>
      <c r="O34" s="14">
        <f t="shared" si="1"/>
        <v>53.333333333333329</v>
      </c>
      <c r="P34" s="20">
        <f t="shared" si="2"/>
        <v>28</v>
      </c>
    </row>
    <row r="35" spans="1:16" ht="18" customHeight="1">
      <c r="A35" s="19">
        <v>29</v>
      </c>
      <c r="B35" s="2" t="s">
        <v>450</v>
      </c>
      <c r="C35" s="1">
        <v>311260785</v>
      </c>
      <c r="D35" s="3" t="s">
        <v>451</v>
      </c>
      <c r="E35" s="1" t="s">
        <v>77</v>
      </c>
      <c r="F35" s="10" t="s">
        <v>424</v>
      </c>
      <c r="G35" s="1">
        <v>39</v>
      </c>
      <c r="H35" s="8">
        <v>53</v>
      </c>
      <c r="I35" s="8">
        <v>33</v>
      </c>
      <c r="J35" s="8">
        <v>66</v>
      </c>
      <c r="K35" s="8">
        <v>35</v>
      </c>
      <c r="L35" s="8">
        <v>72</v>
      </c>
      <c r="M35" s="14">
        <v>96.666666666666671</v>
      </c>
      <c r="N35" s="14">
        <f t="shared" si="0"/>
        <v>355.66666666666669</v>
      </c>
      <c r="O35" s="14">
        <f t="shared" si="1"/>
        <v>50.80952380952381</v>
      </c>
      <c r="P35" s="20">
        <f t="shared" si="2"/>
        <v>29</v>
      </c>
    </row>
    <row r="36" spans="1:16" ht="18" customHeight="1">
      <c r="A36" s="19">
        <v>30</v>
      </c>
      <c r="B36" s="2" t="s">
        <v>440</v>
      </c>
      <c r="C36" s="1">
        <v>311260780</v>
      </c>
      <c r="D36" s="3" t="s">
        <v>441</v>
      </c>
      <c r="E36" s="1" t="s">
        <v>60</v>
      </c>
      <c r="F36" s="10" t="s">
        <v>424</v>
      </c>
      <c r="G36" s="1">
        <v>39</v>
      </c>
      <c r="H36" s="8">
        <v>66</v>
      </c>
      <c r="I36" s="8">
        <v>33</v>
      </c>
      <c r="J36" s="8">
        <v>73</v>
      </c>
      <c r="K36" s="8">
        <v>60</v>
      </c>
      <c r="L36" s="8">
        <v>83</v>
      </c>
      <c r="M36" s="14">
        <v>33.333333333333336</v>
      </c>
      <c r="N36" s="14">
        <f t="shared" si="0"/>
        <v>348.33333333333331</v>
      </c>
      <c r="O36" s="14">
        <f t="shared" si="1"/>
        <v>49.761904761904759</v>
      </c>
      <c r="P36" s="20">
        <f t="shared" si="2"/>
        <v>30</v>
      </c>
    </row>
    <row r="37" spans="1:16" ht="18" customHeight="1">
      <c r="A37" s="19">
        <v>31</v>
      </c>
      <c r="B37" s="2" t="s">
        <v>438</v>
      </c>
      <c r="C37" s="1">
        <v>311260779</v>
      </c>
      <c r="D37" s="3" t="s">
        <v>439</v>
      </c>
      <c r="E37" s="1" t="s">
        <v>60</v>
      </c>
      <c r="F37" s="10" t="s">
        <v>424</v>
      </c>
      <c r="G37" s="1">
        <v>39</v>
      </c>
      <c r="H37" s="8">
        <v>66</v>
      </c>
      <c r="I37" s="8">
        <v>59</v>
      </c>
      <c r="J37" s="8">
        <v>73</v>
      </c>
      <c r="K37" s="8">
        <v>15</v>
      </c>
      <c r="L37" s="8">
        <v>66</v>
      </c>
      <c r="M37" s="14">
        <v>66.666666666666671</v>
      </c>
      <c r="N37" s="14">
        <f t="shared" si="0"/>
        <v>345.66666666666669</v>
      </c>
      <c r="O37" s="14">
        <f t="shared" si="1"/>
        <v>49.380952380952387</v>
      </c>
      <c r="P37" s="20">
        <f t="shared" si="2"/>
        <v>31</v>
      </c>
    </row>
    <row r="38" spans="1:16" ht="18" customHeight="1">
      <c r="A38" s="19">
        <v>32</v>
      </c>
      <c r="B38" s="2" t="s">
        <v>446</v>
      </c>
      <c r="C38" s="1">
        <v>311260783</v>
      </c>
      <c r="D38" s="3" t="s">
        <v>447</v>
      </c>
      <c r="E38" s="1" t="s">
        <v>73</v>
      </c>
      <c r="F38" s="10" t="s">
        <v>424</v>
      </c>
      <c r="G38" s="1">
        <v>39</v>
      </c>
      <c r="H38" s="8">
        <v>33</v>
      </c>
      <c r="I38" s="8">
        <v>53</v>
      </c>
      <c r="J38" s="8">
        <v>59</v>
      </c>
      <c r="K38" s="8">
        <v>25</v>
      </c>
      <c r="L38" s="8">
        <v>44</v>
      </c>
      <c r="M38" s="14">
        <v>100</v>
      </c>
      <c r="N38" s="14">
        <f t="shared" si="0"/>
        <v>314</v>
      </c>
      <c r="O38" s="14">
        <f t="shared" si="1"/>
        <v>44.857142857142854</v>
      </c>
      <c r="P38" s="20">
        <f t="shared" si="2"/>
        <v>32</v>
      </c>
    </row>
    <row r="39" spans="1:16" ht="18" customHeight="1">
      <c r="A39" s="19">
        <v>33</v>
      </c>
      <c r="B39" s="2" t="s">
        <v>478</v>
      </c>
      <c r="C39" s="1">
        <v>311260799</v>
      </c>
      <c r="D39" s="3" t="s">
        <v>479</v>
      </c>
      <c r="E39" s="1" t="s">
        <v>65</v>
      </c>
      <c r="F39" s="10" t="s">
        <v>424</v>
      </c>
      <c r="G39" s="1">
        <v>39</v>
      </c>
      <c r="H39" s="8">
        <v>52</v>
      </c>
      <c r="I39" s="8">
        <v>33</v>
      </c>
      <c r="J39" s="8">
        <v>86</v>
      </c>
      <c r="K39" s="8">
        <v>40</v>
      </c>
      <c r="L39" s="8">
        <v>33</v>
      </c>
      <c r="M39" s="14">
        <v>66.666666666666671</v>
      </c>
      <c r="N39" s="14">
        <f t="shared" si="0"/>
        <v>310.66666666666669</v>
      </c>
      <c r="O39" s="14">
        <f t="shared" si="1"/>
        <v>44.380952380952387</v>
      </c>
      <c r="P39" s="20">
        <f t="shared" si="2"/>
        <v>33</v>
      </c>
    </row>
    <row r="40" spans="1:16" ht="18" customHeight="1">
      <c r="A40" s="19">
        <v>34</v>
      </c>
      <c r="B40" s="2" t="s">
        <v>458</v>
      </c>
      <c r="C40" s="1">
        <v>311260789</v>
      </c>
      <c r="D40" s="3" t="s">
        <v>459</v>
      </c>
      <c r="E40" s="1" t="s">
        <v>84</v>
      </c>
      <c r="F40" s="10" t="s">
        <v>424</v>
      </c>
      <c r="G40" s="1">
        <v>39</v>
      </c>
      <c r="H40" s="8">
        <v>40</v>
      </c>
      <c r="I40" s="8">
        <v>33</v>
      </c>
      <c r="J40" s="8">
        <v>59</v>
      </c>
      <c r="K40" s="8">
        <v>75</v>
      </c>
      <c r="L40" s="8">
        <v>100</v>
      </c>
      <c r="M40" s="14">
        <v>0</v>
      </c>
      <c r="N40" s="14">
        <f t="shared" si="0"/>
        <v>307</v>
      </c>
      <c r="O40" s="14">
        <f t="shared" si="1"/>
        <v>43.857142857142854</v>
      </c>
      <c r="P40" s="20">
        <f t="shared" si="2"/>
        <v>34</v>
      </c>
    </row>
    <row r="41" spans="1:16" ht="18" customHeight="1">
      <c r="A41" s="19">
        <v>35</v>
      </c>
      <c r="B41" s="2" t="s">
        <v>422</v>
      </c>
      <c r="C41" s="1">
        <v>311260771</v>
      </c>
      <c r="D41" s="3" t="s">
        <v>423</v>
      </c>
      <c r="E41" s="1" t="s">
        <v>55</v>
      </c>
      <c r="F41" s="10" t="s">
        <v>424</v>
      </c>
      <c r="G41" s="1">
        <v>39</v>
      </c>
      <c r="H41" s="8">
        <v>66</v>
      </c>
      <c r="I41" s="8">
        <v>46</v>
      </c>
      <c r="J41" s="8">
        <v>59</v>
      </c>
      <c r="K41" s="8">
        <v>25</v>
      </c>
      <c r="L41" s="8">
        <v>44</v>
      </c>
      <c r="M41" s="14">
        <v>66.666666666666671</v>
      </c>
      <c r="N41" s="14">
        <f t="shared" si="0"/>
        <v>306.66666666666669</v>
      </c>
      <c r="O41" s="14">
        <f t="shared" si="1"/>
        <v>43.80952380952381</v>
      </c>
      <c r="P41" s="20">
        <f t="shared" si="2"/>
        <v>35</v>
      </c>
    </row>
    <row r="42" spans="1:16" ht="18" customHeight="1">
      <c r="A42" s="19">
        <v>36</v>
      </c>
      <c r="B42" s="2" t="s">
        <v>436</v>
      </c>
      <c r="C42" s="1">
        <v>311260778</v>
      </c>
      <c r="D42" s="3" t="s">
        <v>437</v>
      </c>
      <c r="E42" s="1" t="s">
        <v>59</v>
      </c>
      <c r="F42" s="10" t="s">
        <v>424</v>
      </c>
      <c r="G42" s="1">
        <v>39</v>
      </c>
      <c r="H42" s="8">
        <v>58</v>
      </c>
      <c r="I42" s="8">
        <v>53</v>
      </c>
      <c r="J42" s="8">
        <v>46</v>
      </c>
      <c r="K42" s="8">
        <v>35</v>
      </c>
      <c r="L42" s="8">
        <v>72</v>
      </c>
      <c r="M42" s="14">
        <v>33.333333333333336</v>
      </c>
      <c r="N42" s="14">
        <f t="shared" si="0"/>
        <v>297.33333333333331</v>
      </c>
      <c r="O42" s="14">
        <f t="shared" si="1"/>
        <v>42.476190476190474</v>
      </c>
      <c r="P42" s="20">
        <f t="shared" si="2"/>
        <v>36</v>
      </c>
    </row>
    <row r="43" spans="1:16" ht="18" customHeight="1">
      <c r="A43" s="19">
        <v>37</v>
      </c>
      <c r="B43" s="2" t="s">
        <v>444</v>
      </c>
      <c r="C43" s="1">
        <v>311260782</v>
      </c>
      <c r="D43" s="3" t="s">
        <v>445</v>
      </c>
      <c r="E43" s="1" t="s">
        <v>81</v>
      </c>
      <c r="F43" s="10" t="s">
        <v>424</v>
      </c>
      <c r="G43" s="1">
        <v>39</v>
      </c>
      <c r="H43" s="8">
        <v>40</v>
      </c>
      <c r="I43" s="8">
        <v>40</v>
      </c>
      <c r="J43" s="8">
        <v>26</v>
      </c>
      <c r="K43" s="8">
        <v>25</v>
      </c>
      <c r="L43" s="8">
        <v>44</v>
      </c>
      <c r="M43" s="14">
        <v>93.333333333333329</v>
      </c>
      <c r="N43" s="14">
        <f t="shared" si="0"/>
        <v>268.33333333333331</v>
      </c>
      <c r="O43" s="14">
        <f t="shared" si="1"/>
        <v>38.333333333333329</v>
      </c>
      <c r="P43" s="20">
        <f t="shared" si="2"/>
        <v>37</v>
      </c>
    </row>
    <row r="44" spans="1:16" ht="18" customHeight="1">
      <c r="A44" s="19">
        <v>38</v>
      </c>
      <c r="B44" s="2" t="s">
        <v>468</v>
      </c>
      <c r="C44" s="1">
        <v>311260794</v>
      </c>
      <c r="D44" s="3" t="s">
        <v>469</v>
      </c>
      <c r="E44" s="1" t="s">
        <v>64</v>
      </c>
      <c r="F44" s="10" t="s">
        <v>424</v>
      </c>
      <c r="G44" s="1">
        <v>39</v>
      </c>
      <c r="H44" s="8"/>
      <c r="I44" s="8"/>
      <c r="J44" s="8"/>
      <c r="K44" s="8"/>
      <c r="L44" s="8"/>
      <c r="M44" s="14"/>
      <c r="N44" s="14">
        <f t="shared" si="0"/>
        <v>0</v>
      </c>
      <c r="O44" s="14">
        <f t="shared" si="1"/>
        <v>0</v>
      </c>
      <c r="P44" s="20">
        <f t="shared" si="2"/>
        <v>38</v>
      </c>
    </row>
    <row r="45" spans="1:16" ht="18" customHeight="1">
      <c r="A45" s="19">
        <v>39</v>
      </c>
      <c r="B45" s="28" t="s">
        <v>495</v>
      </c>
      <c r="C45" s="29">
        <v>311260955</v>
      </c>
      <c r="D45" s="30" t="s">
        <v>496</v>
      </c>
      <c r="E45" s="29" t="s">
        <v>74</v>
      </c>
      <c r="F45" s="31" t="s">
        <v>424</v>
      </c>
      <c r="G45" s="29">
        <v>39</v>
      </c>
      <c r="H45" s="40"/>
      <c r="I45" s="40"/>
      <c r="J45" s="40"/>
      <c r="K45" s="40"/>
      <c r="L45" s="40"/>
      <c r="M45" s="41"/>
      <c r="N45" s="41">
        <f t="shared" si="0"/>
        <v>0</v>
      </c>
      <c r="O45" s="41">
        <f t="shared" si="1"/>
        <v>0</v>
      </c>
      <c r="P45" s="33">
        <f t="shared" si="2"/>
        <v>38</v>
      </c>
    </row>
  </sheetData>
  <mergeCells count="4">
    <mergeCell ref="A1:P1"/>
    <mergeCell ref="A2:P2"/>
    <mergeCell ref="A3:P3"/>
    <mergeCell ref="A5:B5"/>
  </mergeCells>
  <conditionalFormatting sqref="H7:L7">
    <cfRule type="cellIs" dxfId="9378" priority="117" operator="lessThan">
      <formula>5</formula>
    </cfRule>
  </conditionalFormatting>
  <conditionalFormatting sqref="H7:M7">
    <cfRule type="cellIs" dxfId="9377" priority="116" operator="lessThan">
      <formula>50</formula>
    </cfRule>
  </conditionalFormatting>
  <conditionalFormatting sqref="O7">
    <cfRule type="cellIs" dxfId="9376" priority="115" operator="lessThan">
      <formula>50</formula>
    </cfRule>
  </conditionalFormatting>
  <conditionalFormatting sqref="H8:L8">
    <cfRule type="cellIs" dxfId="9375" priority="114" operator="lessThan">
      <formula>5</formula>
    </cfRule>
  </conditionalFormatting>
  <conditionalFormatting sqref="H8:M8">
    <cfRule type="cellIs" dxfId="9374" priority="113" operator="lessThan">
      <formula>50</formula>
    </cfRule>
  </conditionalFormatting>
  <conditionalFormatting sqref="O8">
    <cfRule type="cellIs" dxfId="9373" priority="112" operator="lessThan">
      <formula>50</formula>
    </cfRule>
  </conditionalFormatting>
  <conditionalFormatting sqref="H9:L9">
    <cfRule type="cellIs" dxfId="9372" priority="111" operator="lessThan">
      <formula>5</formula>
    </cfRule>
  </conditionalFormatting>
  <conditionalFormatting sqref="H9:M9">
    <cfRule type="cellIs" dxfId="9371" priority="110" operator="lessThan">
      <formula>50</formula>
    </cfRule>
  </conditionalFormatting>
  <conditionalFormatting sqref="O9">
    <cfRule type="cellIs" dxfId="9370" priority="109" operator="lessThan">
      <formula>50</formula>
    </cfRule>
  </conditionalFormatting>
  <conditionalFormatting sqref="H10:L10">
    <cfRule type="cellIs" dxfId="9369" priority="108" operator="lessThan">
      <formula>5</formula>
    </cfRule>
  </conditionalFormatting>
  <conditionalFormatting sqref="H10:M10">
    <cfRule type="cellIs" dxfId="9368" priority="107" operator="lessThan">
      <formula>50</formula>
    </cfRule>
  </conditionalFormatting>
  <conditionalFormatting sqref="O10">
    <cfRule type="cellIs" dxfId="9367" priority="106" operator="lessThan">
      <formula>50</formula>
    </cfRule>
  </conditionalFormatting>
  <conditionalFormatting sqref="H11:L11">
    <cfRule type="cellIs" dxfId="9366" priority="105" operator="lessThan">
      <formula>5</formula>
    </cfRule>
  </conditionalFormatting>
  <conditionalFormatting sqref="H11:M11">
    <cfRule type="cellIs" dxfId="9365" priority="104" operator="lessThan">
      <formula>50</formula>
    </cfRule>
  </conditionalFormatting>
  <conditionalFormatting sqref="O11">
    <cfRule type="cellIs" dxfId="9364" priority="103" operator="lessThan">
      <formula>50</formula>
    </cfRule>
  </conditionalFormatting>
  <conditionalFormatting sqref="H12:L12">
    <cfRule type="cellIs" dxfId="9363" priority="102" operator="lessThan">
      <formula>5</formula>
    </cfRule>
  </conditionalFormatting>
  <conditionalFormatting sqref="H12:M12">
    <cfRule type="cellIs" dxfId="9362" priority="101" operator="lessThan">
      <formula>50</formula>
    </cfRule>
  </conditionalFormatting>
  <conditionalFormatting sqref="O12">
    <cfRule type="cellIs" dxfId="9361" priority="100" operator="lessThan">
      <formula>50</formula>
    </cfRule>
  </conditionalFormatting>
  <conditionalFormatting sqref="H13:L13">
    <cfRule type="cellIs" dxfId="9360" priority="99" operator="lessThan">
      <formula>5</formula>
    </cfRule>
  </conditionalFormatting>
  <conditionalFormatting sqref="H13:M13">
    <cfRule type="cellIs" dxfId="9359" priority="98" operator="lessThan">
      <formula>50</formula>
    </cfRule>
  </conditionalFormatting>
  <conditionalFormatting sqref="O13">
    <cfRule type="cellIs" dxfId="9358" priority="97" operator="lessThan">
      <formula>50</formula>
    </cfRule>
  </conditionalFormatting>
  <conditionalFormatting sqref="H14:L14">
    <cfRule type="cellIs" dxfId="9357" priority="96" operator="lessThan">
      <formula>5</formula>
    </cfRule>
  </conditionalFormatting>
  <conditionalFormatting sqref="H14:M14">
    <cfRule type="cellIs" dxfId="9356" priority="95" operator="lessThan">
      <formula>50</formula>
    </cfRule>
  </conditionalFormatting>
  <conditionalFormatting sqref="O14">
    <cfRule type="cellIs" dxfId="9355" priority="94" operator="lessThan">
      <formula>50</formula>
    </cfRule>
  </conditionalFormatting>
  <conditionalFormatting sqref="H15:L15">
    <cfRule type="cellIs" dxfId="9354" priority="93" operator="lessThan">
      <formula>5</formula>
    </cfRule>
  </conditionalFormatting>
  <conditionalFormatting sqref="H15:M15">
    <cfRule type="cellIs" dxfId="9353" priority="92" operator="lessThan">
      <formula>50</formula>
    </cfRule>
  </conditionalFormatting>
  <conditionalFormatting sqref="O15">
    <cfRule type="cellIs" dxfId="9352" priority="91" operator="lessThan">
      <formula>50</formula>
    </cfRule>
  </conditionalFormatting>
  <conditionalFormatting sqref="H16:L16">
    <cfRule type="cellIs" dxfId="9351" priority="90" operator="lessThan">
      <formula>5</formula>
    </cfRule>
  </conditionalFormatting>
  <conditionalFormatting sqref="H16:M16">
    <cfRule type="cellIs" dxfId="9350" priority="89" operator="lessThan">
      <formula>50</formula>
    </cfRule>
  </conditionalFormatting>
  <conditionalFormatting sqref="O16">
    <cfRule type="cellIs" dxfId="9349" priority="88" operator="lessThan">
      <formula>50</formula>
    </cfRule>
  </conditionalFormatting>
  <conditionalFormatting sqref="H17:L17">
    <cfRule type="cellIs" dxfId="9348" priority="87" operator="lessThan">
      <formula>5</formula>
    </cfRule>
  </conditionalFormatting>
  <conditionalFormatting sqref="H17:M17">
    <cfRule type="cellIs" dxfId="9347" priority="86" operator="lessThan">
      <formula>50</formula>
    </cfRule>
  </conditionalFormatting>
  <conditionalFormatting sqref="O17">
    <cfRule type="cellIs" dxfId="9346" priority="85" operator="lessThan">
      <formula>50</formula>
    </cfRule>
  </conditionalFormatting>
  <conditionalFormatting sqref="H18:L18">
    <cfRule type="cellIs" dxfId="9345" priority="84" operator="lessThan">
      <formula>5</formula>
    </cfRule>
  </conditionalFormatting>
  <conditionalFormatting sqref="H18:M18">
    <cfRule type="cellIs" dxfId="9344" priority="83" operator="lessThan">
      <formula>50</formula>
    </cfRule>
  </conditionalFormatting>
  <conditionalFormatting sqref="O18">
    <cfRule type="cellIs" dxfId="9343" priority="82" operator="lessThan">
      <formula>50</formula>
    </cfRule>
  </conditionalFormatting>
  <conditionalFormatting sqref="H19:L19">
    <cfRule type="cellIs" dxfId="9342" priority="81" operator="lessThan">
      <formula>5</formula>
    </cfRule>
  </conditionalFormatting>
  <conditionalFormatting sqref="H19:M19">
    <cfRule type="cellIs" dxfId="9341" priority="80" operator="lessThan">
      <formula>50</formula>
    </cfRule>
  </conditionalFormatting>
  <conditionalFormatting sqref="O19">
    <cfRule type="cellIs" dxfId="9340" priority="79" operator="lessThan">
      <formula>50</formula>
    </cfRule>
  </conditionalFormatting>
  <conditionalFormatting sqref="H20:L20">
    <cfRule type="cellIs" dxfId="9339" priority="78" operator="lessThan">
      <formula>5</formula>
    </cfRule>
  </conditionalFormatting>
  <conditionalFormatting sqref="H20:M20">
    <cfRule type="cellIs" dxfId="9338" priority="77" operator="lessThan">
      <formula>50</formula>
    </cfRule>
  </conditionalFormatting>
  <conditionalFormatting sqref="O20">
    <cfRule type="cellIs" dxfId="9337" priority="76" operator="lessThan">
      <formula>50</formula>
    </cfRule>
  </conditionalFormatting>
  <conditionalFormatting sqref="H21:L21">
    <cfRule type="cellIs" dxfId="9336" priority="75" operator="lessThan">
      <formula>5</formula>
    </cfRule>
  </conditionalFormatting>
  <conditionalFormatting sqref="H21:M21">
    <cfRule type="cellIs" dxfId="9335" priority="74" operator="lessThan">
      <formula>50</formula>
    </cfRule>
  </conditionalFormatting>
  <conditionalFormatting sqref="O21">
    <cfRule type="cellIs" dxfId="9334" priority="73" operator="lessThan">
      <formula>50</formula>
    </cfRule>
  </conditionalFormatting>
  <conditionalFormatting sqref="H22:L22">
    <cfRule type="cellIs" dxfId="9333" priority="72" operator="lessThan">
      <formula>5</formula>
    </cfRule>
  </conditionalFormatting>
  <conditionalFormatting sqref="H22:M22">
    <cfRule type="cellIs" dxfId="9332" priority="71" operator="lessThan">
      <formula>50</formula>
    </cfRule>
  </conditionalFormatting>
  <conditionalFormatting sqref="O22">
    <cfRule type="cellIs" dxfId="9331" priority="70" operator="lessThan">
      <formula>50</formula>
    </cfRule>
  </conditionalFormatting>
  <conditionalFormatting sqref="H23:L23">
    <cfRule type="cellIs" dxfId="9330" priority="69" operator="lessThan">
      <formula>5</formula>
    </cfRule>
  </conditionalFormatting>
  <conditionalFormatting sqref="H23:M23">
    <cfRule type="cellIs" dxfId="9329" priority="68" operator="lessThan">
      <formula>50</formula>
    </cfRule>
  </conditionalFormatting>
  <conditionalFormatting sqref="O23">
    <cfRule type="cellIs" dxfId="9328" priority="67" operator="lessThan">
      <formula>50</formula>
    </cfRule>
  </conditionalFormatting>
  <conditionalFormatting sqref="H24:L24">
    <cfRule type="cellIs" dxfId="9327" priority="66" operator="lessThan">
      <formula>5</formula>
    </cfRule>
  </conditionalFormatting>
  <conditionalFormatting sqref="H24:M24">
    <cfRule type="cellIs" dxfId="9326" priority="65" operator="lessThan">
      <formula>50</formula>
    </cfRule>
  </conditionalFormatting>
  <conditionalFormatting sqref="O24">
    <cfRule type="cellIs" dxfId="9325" priority="64" operator="lessThan">
      <formula>50</formula>
    </cfRule>
  </conditionalFormatting>
  <conditionalFormatting sqref="H25:L25">
    <cfRule type="cellIs" dxfId="9324" priority="63" operator="lessThan">
      <formula>5</formula>
    </cfRule>
  </conditionalFormatting>
  <conditionalFormatting sqref="H25:M25">
    <cfRule type="cellIs" dxfId="9323" priority="62" operator="lessThan">
      <formula>50</formula>
    </cfRule>
  </conditionalFormatting>
  <conditionalFormatting sqref="O25">
    <cfRule type="cellIs" dxfId="9322" priority="61" operator="lessThan">
      <formula>50</formula>
    </cfRule>
  </conditionalFormatting>
  <conditionalFormatting sqref="H26:L26">
    <cfRule type="cellIs" dxfId="9321" priority="60" operator="lessThan">
      <formula>5</formula>
    </cfRule>
  </conditionalFormatting>
  <conditionalFormatting sqref="H26:M26">
    <cfRule type="cellIs" dxfId="9320" priority="59" operator="lessThan">
      <formula>50</formula>
    </cfRule>
  </conditionalFormatting>
  <conditionalFormatting sqref="O26">
    <cfRule type="cellIs" dxfId="9319" priority="58" operator="lessThan">
      <formula>50</formula>
    </cfRule>
  </conditionalFormatting>
  <conditionalFormatting sqref="H27:L27">
    <cfRule type="cellIs" dxfId="9318" priority="57" operator="lessThan">
      <formula>5</formula>
    </cfRule>
  </conditionalFormatting>
  <conditionalFormatting sqref="H27:M27">
    <cfRule type="cellIs" dxfId="9317" priority="56" operator="lessThan">
      <formula>50</formula>
    </cfRule>
  </conditionalFormatting>
  <conditionalFormatting sqref="O27">
    <cfRule type="cellIs" dxfId="9316" priority="55" operator="lessThan">
      <formula>50</formula>
    </cfRule>
  </conditionalFormatting>
  <conditionalFormatting sqref="H28:L28">
    <cfRule type="cellIs" dxfId="9315" priority="54" operator="lessThan">
      <formula>5</formula>
    </cfRule>
  </conditionalFormatting>
  <conditionalFormatting sqref="H28:M28">
    <cfRule type="cellIs" dxfId="9314" priority="53" operator="lessThan">
      <formula>50</formula>
    </cfRule>
  </conditionalFormatting>
  <conditionalFormatting sqref="O28">
    <cfRule type="cellIs" dxfId="9313" priority="52" operator="lessThan">
      <formula>50</formula>
    </cfRule>
  </conditionalFormatting>
  <conditionalFormatting sqref="H29:L29">
    <cfRule type="cellIs" dxfId="9312" priority="51" operator="lessThan">
      <formula>5</formula>
    </cfRule>
  </conditionalFormatting>
  <conditionalFormatting sqref="H29:M29">
    <cfRule type="cellIs" dxfId="9311" priority="50" operator="lessThan">
      <formula>50</formula>
    </cfRule>
  </conditionalFormatting>
  <conditionalFormatting sqref="O29">
    <cfRule type="cellIs" dxfId="9310" priority="49" operator="lessThan">
      <formula>50</formula>
    </cfRule>
  </conditionalFormatting>
  <conditionalFormatting sqref="H30:L30">
    <cfRule type="cellIs" dxfId="9309" priority="48" operator="lessThan">
      <formula>5</formula>
    </cfRule>
  </conditionalFormatting>
  <conditionalFormatting sqref="H30:M30">
    <cfRule type="cellIs" dxfId="9308" priority="47" operator="lessThan">
      <formula>50</formula>
    </cfRule>
  </conditionalFormatting>
  <conditionalFormatting sqref="O30">
    <cfRule type="cellIs" dxfId="9307" priority="46" operator="lessThan">
      <formula>50</formula>
    </cfRule>
  </conditionalFormatting>
  <conditionalFormatting sqref="H31:L31">
    <cfRule type="cellIs" dxfId="9306" priority="45" operator="lessThan">
      <formula>5</formula>
    </cfRule>
  </conditionalFormatting>
  <conditionalFormatting sqref="H31:M31">
    <cfRule type="cellIs" dxfId="9305" priority="44" operator="lessThan">
      <formula>50</formula>
    </cfRule>
  </conditionalFormatting>
  <conditionalFormatting sqref="O31">
    <cfRule type="cellIs" dxfId="9304" priority="43" operator="lessThan">
      <formula>50</formula>
    </cfRule>
  </conditionalFormatting>
  <conditionalFormatting sqref="H32:L32">
    <cfRule type="cellIs" dxfId="9303" priority="42" operator="lessThan">
      <formula>5</formula>
    </cfRule>
  </conditionalFormatting>
  <conditionalFormatting sqref="H32:M32">
    <cfRule type="cellIs" dxfId="9302" priority="41" operator="lessThan">
      <formula>50</formula>
    </cfRule>
  </conditionalFormatting>
  <conditionalFormatting sqref="O32">
    <cfRule type="cellIs" dxfId="9301" priority="40" operator="lessThan">
      <formula>50</formula>
    </cfRule>
  </conditionalFormatting>
  <conditionalFormatting sqref="H33:L33">
    <cfRule type="cellIs" dxfId="9300" priority="39" operator="lessThan">
      <formula>5</formula>
    </cfRule>
  </conditionalFormatting>
  <conditionalFormatting sqref="H33:M33">
    <cfRule type="cellIs" dxfId="9299" priority="38" operator="lessThan">
      <formula>50</formula>
    </cfRule>
  </conditionalFormatting>
  <conditionalFormatting sqref="O33">
    <cfRule type="cellIs" dxfId="9298" priority="37" operator="lessThan">
      <formula>50</formula>
    </cfRule>
  </conditionalFormatting>
  <conditionalFormatting sqref="H34:L34">
    <cfRule type="cellIs" dxfId="9297" priority="36" operator="lessThan">
      <formula>5</formula>
    </cfRule>
  </conditionalFormatting>
  <conditionalFormatting sqref="H34:M34">
    <cfRule type="cellIs" dxfId="9296" priority="35" operator="lessThan">
      <formula>50</formula>
    </cfRule>
  </conditionalFormatting>
  <conditionalFormatting sqref="O34">
    <cfRule type="cellIs" dxfId="9295" priority="34" operator="lessThan">
      <formula>50</formula>
    </cfRule>
  </conditionalFormatting>
  <conditionalFormatting sqref="H35:L35">
    <cfRule type="cellIs" dxfId="9294" priority="33" operator="lessThan">
      <formula>5</formula>
    </cfRule>
  </conditionalFormatting>
  <conditionalFormatting sqref="H35:M35">
    <cfRule type="cellIs" dxfId="9293" priority="32" operator="lessThan">
      <formula>50</formula>
    </cfRule>
  </conditionalFormatting>
  <conditionalFormatting sqref="O35">
    <cfRule type="cellIs" dxfId="9292" priority="31" operator="lessThan">
      <formula>50</formula>
    </cfRule>
  </conditionalFormatting>
  <conditionalFormatting sqref="H36:L36">
    <cfRule type="cellIs" dxfId="9291" priority="30" operator="lessThan">
      <formula>5</formula>
    </cfRule>
  </conditionalFormatting>
  <conditionalFormatting sqref="H36:M36">
    <cfRule type="cellIs" dxfId="9290" priority="29" operator="lessThan">
      <formula>50</formula>
    </cfRule>
  </conditionalFormatting>
  <conditionalFormatting sqref="O36">
    <cfRule type="cellIs" dxfId="9289" priority="28" operator="lessThan">
      <formula>50</formula>
    </cfRule>
  </conditionalFormatting>
  <conditionalFormatting sqref="H37:L37">
    <cfRule type="cellIs" dxfId="9288" priority="27" operator="lessThan">
      <formula>5</formula>
    </cfRule>
  </conditionalFormatting>
  <conditionalFormatting sqref="H37:M37">
    <cfRule type="cellIs" dxfId="9287" priority="26" operator="lessThan">
      <formula>50</formula>
    </cfRule>
  </conditionalFormatting>
  <conditionalFormatting sqref="O37">
    <cfRule type="cellIs" dxfId="9286" priority="25" operator="lessThan">
      <formula>50</formula>
    </cfRule>
  </conditionalFormatting>
  <conditionalFormatting sqref="H38:L38">
    <cfRule type="cellIs" dxfId="9285" priority="24" operator="lessThan">
      <formula>5</formula>
    </cfRule>
  </conditionalFormatting>
  <conditionalFormatting sqref="H38:M38">
    <cfRule type="cellIs" dxfId="9284" priority="23" operator="lessThan">
      <formula>50</formula>
    </cfRule>
  </conditionalFormatting>
  <conditionalFormatting sqref="O38">
    <cfRule type="cellIs" dxfId="9283" priority="22" operator="lessThan">
      <formula>50</formula>
    </cfRule>
  </conditionalFormatting>
  <conditionalFormatting sqref="H39:L39">
    <cfRule type="cellIs" dxfId="9282" priority="21" operator="lessThan">
      <formula>5</formula>
    </cfRule>
  </conditionalFormatting>
  <conditionalFormatting sqref="H39:M39">
    <cfRule type="cellIs" dxfId="9281" priority="20" operator="lessThan">
      <formula>50</formula>
    </cfRule>
  </conditionalFormatting>
  <conditionalFormatting sqref="O39">
    <cfRule type="cellIs" dxfId="9280" priority="19" operator="lessThan">
      <formula>50</formula>
    </cfRule>
  </conditionalFormatting>
  <conditionalFormatting sqref="H40:L40">
    <cfRule type="cellIs" dxfId="9279" priority="18" operator="lessThan">
      <formula>5</formula>
    </cfRule>
  </conditionalFormatting>
  <conditionalFormatting sqref="H40:M40">
    <cfRule type="cellIs" dxfId="9278" priority="17" operator="lessThan">
      <formula>50</formula>
    </cfRule>
  </conditionalFormatting>
  <conditionalFormatting sqref="O40">
    <cfRule type="cellIs" dxfId="9277" priority="16" operator="lessThan">
      <formula>50</formula>
    </cfRule>
  </conditionalFormatting>
  <conditionalFormatting sqref="H41:L41">
    <cfRule type="cellIs" dxfId="9276" priority="15" operator="lessThan">
      <formula>5</formula>
    </cfRule>
  </conditionalFormatting>
  <conditionalFormatting sqref="H41:M41">
    <cfRule type="cellIs" dxfId="9275" priority="14" operator="lessThan">
      <formula>50</formula>
    </cfRule>
  </conditionalFormatting>
  <conditionalFormatting sqref="O41">
    <cfRule type="cellIs" dxfId="9274" priority="13" operator="lessThan">
      <formula>50</formula>
    </cfRule>
  </conditionalFormatting>
  <conditionalFormatting sqref="H42:L42">
    <cfRule type="cellIs" dxfId="9273" priority="12" operator="lessThan">
      <formula>5</formula>
    </cfRule>
  </conditionalFormatting>
  <conditionalFormatting sqref="H42:M42">
    <cfRule type="cellIs" dxfId="9272" priority="11" operator="lessThan">
      <formula>50</formula>
    </cfRule>
  </conditionalFormatting>
  <conditionalFormatting sqref="O42">
    <cfRule type="cellIs" dxfId="9271" priority="10" operator="lessThan">
      <formula>50</formula>
    </cfRule>
  </conditionalFormatting>
  <conditionalFormatting sqref="H43:L43">
    <cfRule type="cellIs" dxfId="9270" priority="9" operator="lessThan">
      <formula>5</formula>
    </cfRule>
  </conditionalFormatting>
  <conditionalFormatting sqref="H43:M43">
    <cfRule type="cellIs" dxfId="9269" priority="8" operator="lessThan">
      <formula>50</formula>
    </cfRule>
  </conditionalFormatting>
  <conditionalFormatting sqref="O43">
    <cfRule type="cellIs" dxfId="9268" priority="7" operator="lessThan">
      <formula>50</formula>
    </cfRule>
  </conditionalFormatting>
  <conditionalFormatting sqref="H44:L44">
    <cfRule type="cellIs" dxfId="9267" priority="6" operator="lessThan">
      <formula>5</formula>
    </cfRule>
  </conditionalFormatting>
  <conditionalFormatting sqref="H44:M44">
    <cfRule type="cellIs" dxfId="9266" priority="5" operator="lessThan">
      <formula>50</formula>
    </cfRule>
  </conditionalFormatting>
  <conditionalFormatting sqref="O44">
    <cfRule type="cellIs" dxfId="9265" priority="4" operator="lessThan">
      <formula>50</formula>
    </cfRule>
  </conditionalFormatting>
  <conditionalFormatting sqref="H45:L45">
    <cfRule type="cellIs" dxfId="9264" priority="3" operator="lessThan">
      <formula>5</formula>
    </cfRule>
  </conditionalFormatting>
  <conditionalFormatting sqref="H45:M45">
    <cfRule type="cellIs" dxfId="9263" priority="2" operator="lessThan">
      <formula>50</formula>
    </cfRule>
  </conditionalFormatting>
  <conditionalFormatting sqref="O45">
    <cfRule type="cellIs" dxfId="9262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7:E7 D10" xr:uid="{28275F85-E2C4-4AE7-B5F8-2C5D55047FCA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9A80-8893-4087-BA62-C664C38CF593}">
  <sheetPr codeName="Sheet85"/>
  <dimension ref="A1:Q65"/>
  <sheetViews>
    <sheetView showGridLines="0" workbookViewId="0">
      <selection activeCell="J4" sqref="J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7" width="4.7109375" customWidth="1"/>
  </cols>
  <sheetData>
    <row r="1" spans="1:17" ht="18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8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8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8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</row>
    <row r="5" spans="1:17" ht="18" customHeight="1">
      <c r="A5" s="57" t="s">
        <v>5326</v>
      </c>
      <c r="B5" s="57"/>
      <c r="C5" s="17"/>
      <c r="D5" s="17" t="s">
        <v>5330</v>
      </c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7" t="s">
        <v>0</v>
      </c>
      <c r="I6" s="38" t="s">
        <v>1</v>
      </c>
      <c r="J6" s="37" t="s">
        <v>2</v>
      </c>
      <c r="K6" s="37" t="s">
        <v>3</v>
      </c>
      <c r="L6" s="37" t="s">
        <v>4</v>
      </c>
      <c r="M6" s="37" t="s">
        <v>5</v>
      </c>
      <c r="N6" s="37" t="s">
        <v>6</v>
      </c>
      <c r="O6" s="37" t="s">
        <v>5320</v>
      </c>
      <c r="P6" s="37" t="s">
        <v>5321</v>
      </c>
      <c r="Q6" s="39" t="s">
        <v>5324</v>
      </c>
    </row>
    <row r="7" spans="1:17" ht="18" customHeight="1" thickTop="1">
      <c r="A7" s="19">
        <v>1</v>
      </c>
      <c r="B7" s="2" t="s">
        <v>1041</v>
      </c>
      <c r="C7" s="1">
        <v>311260839</v>
      </c>
      <c r="D7" s="3" t="s">
        <v>1042</v>
      </c>
      <c r="E7" s="1" t="s">
        <v>57</v>
      </c>
      <c r="F7" s="10" t="s">
        <v>1024</v>
      </c>
      <c r="G7" s="2">
        <v>35</v>
      </c>
      <c r="H7" s="8">
        <v>84</v>
      </c>
      <c r="I7" s="8">
        <v>96</v>
      </c>
      <c r="J7" s="8">
        <v>92</v>
      </c>
      <c r="K7" s="8">
        <v>85</v>
      </c>
      <c r="L7" s="8">
        <v>52</v>
      </c>
      <c r="M7" s="8">
        <v>84</v>
      </c>
      <c r="N7" s="8">
        <v>60</v>
      </c>
      <c r="O7" s="1">
        <f t="shared" ref="O7:O38" si="0">SUBTOTAL(9,H7:N7)</f>
        <v>553</v>
      </c>
      <c r="P7" s="14">
        <f t="shared" ref="P7:P38" si="1">O7/8</f>
        <v>69.125</v>
      </c>
      <c r="Q7" s="20">
        <f t="shared" ref="Q7:Q38" si="2">RANK(P7,P$7:P$282,0)</f>
        <v>1</v>
      </c>
    </row>
    <row r="8" spans="1:17" ht="18" customHeight="1">
      <c r="A8" s="19">
        <v>2</v>
      </c>
      <c r="B8" s="2" t="s">
        <v>1069</v>
      </c>
      <c r="C8" s="1">
        <v>311260854</v>
      </c>
      <c r="D8" s="3" t="s">
        <v>1070</v>
      </c>
      <c r="E8" s="1" t="s">
        <v>60</v>
      </c>
      <c r="F8" s="10" t="s">
        <v>1024</v>
      </c>
      <c r="G8" s="2">
        <v>35</v>
      </c>
      <c r="H8" s="8">
        <v>68</v>
      </c>
      <c r="I8" s="8">
        <v>89</v>
      </c>
      <c r="J8" s="8">
        <v>92</v>
      </c>
      <c r="K8" s="8">
        <v>75</v>
      </c>
      <c r="L8" s="8">
        <v>76</v>
      </c>
      <c r="M8" s="8">
        <v>84</v>
      </c>
      <c r="N8" s="8">
        <v>68</v>
      </c>
      <c r="O8" s="1">
        <f t="shared" si="0"/>
        <v>552</v>
      </c>
      <c r="P8" s="14">
        <f t="shared" si="1"/>
        <v>69</v>
      </c>
      <c r="Q8" s="20">
        <f t="shared" si="2"/>
        <v>2</v>
      </c>
    </row>
    <row r="9" spans="1:17" ht="18" customHeight="1">
      <c r="A9" s="19">
        <v>3</v>
      </c>
      <c r="B9" s="2" t="s">
        <v>1073</v>
      </c>
      <c r="C9" s="1">
        <v>311260856</v>
      </c>
      <c r="D9" s="3" t="s">
        <v>1074</v>
      </c>
      <c r="E9" s="1" t="s">
        <v>80</v>
      </c>
      <c r="F9" s="10" t="s">
        <v>1024</v>
      </c>
      <c r="G9" s="2">
        <v>36</v>
      </c>
      <c r="H9" s="8">
        <v>92</v>
      </c>
      <c r="I9" s="8">
        <v>81</v>
      </c>
      <c r="J9" s="8">
        <v>76</v>
      </c>
      <c r="K9" s="8">
        <v>75</v>
      </c>
      <c r="L9" s="8">
        <v>52</v>
      </c>
      <c r="M9" s="8">
        <v>76</v>
      </c>
      <c r="N9" s="8">
        <v>76</v>
      </c>
      <c r="O9" s="1">
        <f t="shared" si="0"/>
        <v>528</v>
      </c>
      <c r="P9" s="14">
        <f t="shared" si="1"/>
        <v>66</v>
      </c>
      <c r="Q9" s="20">
        <f t="shared" si="2"/>
        <v>3</v>
      </c>
    </row>
    <row r="10" spans="1:17" ht="18" customHeight="1">
      <c r="A10" s="19">
        <v>4</v>
      </c>
      <c r="B10" s="2" t="s">
        <v>1054</v>
      </c>
      <c r="C10" s="1">
        <v>311260846</v>
      </c>
      <c r="D10" s="3" t="s">
        <v>1055</v>
      </c>
      <c r="E10" s="1" t="s">
        <v>72</v>
      </c>
      <c r="F10" s="10" t="s">
        <v>1024</v>
      </c>
      <c r="G10" s="2">
        <v>35</v>
      </c>
      <c r="H10" s="8">
        <v>68</v>
      </c>
      <c r="I10" s="8">
        <v>77</v>
      </c>
      <c r="J10" s="8">
        <v>92</v>
      </c>
      <c r="K10" s="8">
        <v>95</v>
      </c>
      <c r="L10" s="8">
        <v>56</v>
      </c>
      <c r="M10" s="8">
        <v>52</v>
      </c>
      <c r="N10" s="8">
        <v>84</v>
      </c>
      <c r="O10" s="1">
        <f t="shared" si="0"/>
        <v>524</v>
      </c>
      <c r="P10" s="14">
        <f t="shared" si="1"/>
        <v>65.5</v>
      </c>
      <c r="Q10" s="20">
        <f t="shared" si="2"/>
        <v>4</v>
      </c>
    </row>
    <row r="11" spans="1:17" ht="18" customHeight="1">
      <c r="A11" s="19">
        <v>5</v>
      </c>
      <c r="B11" s="2" t="s">
        <v>1025</v>
      </c>
      <c r="C11" s="1">
        <v>311260831</v>
      </c>
      <c r="D11" s="3" t="s">
        <v>1026</v>
      </c>
      <c r="E11" s="1" t="s">
        <v>56</v>
      </c>
      <c r="F11" s="10" t="s">
        <v>1024</v>
      </c>
      <c r="G11" s="2">
        <v>34</v>
      </c>
      <c r="H11" s="8">
        <v>84</v>
      </c>
      <c r="I11" s="8">
        <v>89</v>
      </c>
      <c r="J11" s="8">
        <v>84</v>
      </c>
      <c r="K11" s="8">
        <v>50</v>
      </c>
      <c r="L11" s="8">
        <v>52</v>
      </c>
      <c r="M11" s="8">
        <v>92</v>
      </c>
      <c r="N11" s="8">
        <v>68</v>
      </c>
      <c r="O11" s="1">
        <f t="shared" si="0"/>
        <v>519</v>
      </c>
      <c r="P11" s="14">
        <f t="shared" si="1"/>
        <v>64.875</v>
      </c>
      <c r="Q11" s="20">
        <f t="shared" si="2"/>
        <v>5</v>
      </c>
    </row>
    <row r="12" spans="1:17" ht="18" customHeight="1">
      <c r="A12" s="19">
        <v>6</v>
      </c>
      <c r="B12" s="2" t="s">
        <v>1022</v>
      </c>
      <c r="C12" s="1">
        <v>311260830</v>
      </c>
      <c r="D12" s="3" t="s">
        <v>1023</v>
      </c>
      <c r="E12" s="1" t="s">
        <v>69</v>
      </c>
      <c r="F12" s="10" t="s">
        <v>1024</v>
      </c>
      <c r="G12" s="2">
        <v>34</v>
      </c>
      <c r="H12" s="8">
        <v>76</v>
      </c>
      <c r="I12" s="8">
        <v>89</v>
      </c>
      <c r="J12" s="8">
        <v>76</v>
      </c>
      <c r="K12" s="8">
        <v>85</v>
      </c>
      <c r="L12" s="8">
        <v>56</v>
      </c>
      <c r="M12" s="8">
        <v>52</v>
      </c>
      <c r="N12" s="8">
        <v>76</v>
      </c>
      <c r="O12" s="1">
        <f t="shared" si="0"/>
        <v>510</v>
      </c>
      <c r="P12" s="14">
        <f t="shared" si="1"/>
        <v>63.75</v>
      </c>
      <c r="Q12" s="20">
        <f t="shared" si="2"/>
        <v>6</v>
      </c>
    </row>
    <row r="13" spans="1:17" ht="18" customHeight="1">
      <c r="A13" s="19">
        <v>7</v>
      </c>
      <c r="B13" s="2" t="s">
        <v>1058</v>
      </c>
      <c r="C13" s="1">
        <v>311260848</v>
      </c>
      <c r="D13" s="3" t="s">
        <v>1059</v>
      </c>
      <c r="E13" s="1" t="s">
        <v>58</v>
      </c>
      <c r="F13" s="10" t="s">
        <v>1024</v>
      </c>
      <c r="G13" s="2">
        <v>35</v>
      </c>
      <c r="H13" s="8">
        <v>84</v>
      </c>
      <c r="I13" s="8">
        <v>77</v>
      </c>
      <c r="J13" s="8">
        <v>52</v>
      </c>
      <c r="K13" s="8">
        <v>60</v>
      </c>
      <c r="L13" s="8">
        <v>76</v>
      </c>
      <c r="M13" s="8">
        <v>92</v>
      </c>
      <c r="N13" s="8">
        <v>68</v>
      </c>
      <c r="O13" s="1">
        <f t="shared" si="0"/>
        <v>509</v>
      </c>
      <c r="P13" s="14">
        <f t="shared" si="1"/>
        <v>63.625</v>
      </c>
      <c r="Q13" s="20">
        <f t="shared" si="2"/>
        <v>7</v>
      </c>
    </row>
    <row r="14" spans="1:17" ht="18" customHeight="1">
      <c r="A14" s="19">
        <v>8</v>
      </c>
      <c r="B14" s="2" t="s">
        <v>1087</v>
      </c>
      <c r="C14" s="1">
        <v>311260863</v>
      </c>
      <c r="D14" s="3" t="s">
        <v>1088</v>
      </c>
      <c r="E14" s="1" t="s">
        <v>84</v>
      </c>
      <c r="F14" s="10" t="s">
        <v>1024</v>
      </c>
      <c r="G14" s="2">
        <v>36</v>
      </c>
      <c r="H14" s="8">
        <v>92</v>
      </c>
      <c r="I14" s="8">
        <v>89</v>
      </c>
      <c r="J14" s="8">
        <v>76</v>
      </c>
      <c r="K14" s="8">
        <v>55</v>
      </c>
      <c r="L14" s="8">
        <v>60</v>
      </c>
      <c r="M14" s="8">
        <v>68</v>
      </c>
      <c r="N14" s="8">
        <v>64</v>
      </c>
      <c r="O14" s="1">
        <f t="shared" si="0"/>
        <v>504</v>
      </c>
      <c r="P14" s="14">
        <f t="shared" si="1"/>
        <v>63</v>
      </c>
      <c r="Q14" s="20">
        <f t="shared" si="2"/>
        <v>8</v>
      </c>
    </row>
    <row r="15" spans="1:17" ht="18" customHeight="1">
      <c r="A15" s="19">
        <v>9</v>
      </c>
      <c r="B15" s="2" t="s">
        <v>1046</v>
      </c>
      <c r="C15" s="1">
        <v>311260842</v>
      </c>
      <c r="D15" s="3" t="s">
        <v>1047</v>
      </c>
      <c r="E15" s="1" t="s">
        <v>57</v>
      </c>
      <c r="F15" s="10" t="s">
        <v>1024</v>
      </c>
      <c r="G15" s="2">
        <v>35</v>
      </c>
      <c r="H15" s="8">
        <v>92</v>
      </c>
      <c r="I15" s="8">
        <v>77</v>
      </c>
      <c r="J15" s="8">
        <v>100</v>
      </c>
      <c r="K15" s="8">
        <v>60</v>
      </c>
      <c r="L15" s="8">
        <v>44</v>
      </c>
      <c r="M15" s="8">
        <v>76</v>
      </c>
      <c r="N15" s="8">
        <v>52</v>
      </c>
      <c r="O15" s="1">
        <f t="shared" si="0"/>
        <v>501</v>
      </c>
      <c r="P15" s="14">
        <f t="shared" si="1"/>
        <v>62.625</v>
      </c>
      <c r="Q15" s="20">
        <f t="shared" si="2"/>
        <v>9</v>
      </c>
    </row>
    <row r="16" spans="1:17" ht="18" customHeight="1">
      <c r="A16" s="19">
        <v>10</v>
      </c>
      <c r="B16" s="2" t="s">
        <v>1129</v>
      </c>
      <c r="C16" s="1">
        <v>311260956</v>
      </c>
      <c r="D16" s="3" t="s">
        <v>1130</v>
      </c>
      <c r="E16" s="1" t="s">
        <v>72</v>
      </c>
      <c r="F16" s="10" t="s">
        <v>1024</v>
      </c>
      <c r="G16" s="2">
        <v>37</v>
      </c>
      <c r="H16" s="8">
        <v>80</v>
      </c>
      <c r="I16" s="8">
        <v>66</v>
      </c>
      <c r="J16" s="8">
        <v>100</v>
      </c>
      <c r="K16" s="8">
        <v>65</v>
      </c>
      <c r="L16" s="8">
        <v>52</v>
      </c>
      <c r="M16" s="8">
        <v>60</v>
      </c>
      <c r="N16" s="8">
        <v>68</v>
      </c>
      <c r="O16" s="1">
        <f t="shared" si="0"/>
        <v>491</v>
      </c>
      <c r="P16" s="14">
        <f t="shared" si="1"/>
        <v>61.375</v>
      </c>
      <c r="Q16" s="20">
        <f t="shared" si="2"/>
        <v>10</v>
      </c>
    </row>
    <row r="17" spans="1:17" ht="18" customHeight="1">
      <c r="A17" s="19">
        <v>11</v>
      </c>
      <c r="B17" s="2" t="s">
        <v>1033</v>
      </c>
      <c r="C17" s="1">
        <v>311260835</v>
      </c>
      <c r="D17" s="3" t="s">
        <v>1034</v>
      </c>
      <c r="E17" s="1" t="s">
        <v>56</v>
      </c>
      <c r="F17" s="10" t="s">
        <v>1024</v>
      </c>
      <c r="G17" s="2">
        <v>34</v>
      </c>
      <c r="H17" s="8">
        <v>84</v>
      </c>
      <c r="I17" s="8">
        <v>70</v>
      </c>
      <c r="J17" s="8">
        <v>76</v>
      </c>
      <c r="K17" s="8">
        <v>70</v>
      </c>
      <c r="L17" s="8">
        <v>40</v>
      </c>
      <c r="M17" s="8">
        <v>84</v>
      </c>
      <c r="N17" s="8">
        <v>60</v>
      </c>
      <c r="O17" s="1">
        <f t="shared" si="0"/>
        <v>484</v>
      </c>
      <c r="P17" s="14">
        <f t="shared" si="1"/>
        <v>60.5</v>
      </c>
      <c r="Q17" s="20">
        <f t="shared" si="2"/>
        <v>11</v>
      </c>
    </row>
    <row r="18" spans="1:17" ht="18" customHeight="1">
      <c r="A18" s="19">
        <v>12</v>
      </c>
      <c r="B18" s="2" t="s">
        <v>1119</v>
      </c>
      <c r="C18" s="1">
        <v>311260880</v>
      </c>
      <c r="D18" s="3" t="s">
        <v>1120</v>
      </c>
      <c r="E18" s="1" t="s">
        <v>68</v>
      </c>
      <c r="F18" s="10" t="s">
        <v>1024</v>
      </c>
      <c r="G18" s="2">
        <v>37</v>
      </c>
      <c r="H18" s="8">
        <v>100</v>
      </c>
      <c r="I18" s="8">
        <v>54</v>
      </c>
      <c r="J18" s="8">
        <v>68</v>
      </c>
      <c r="K18" s="8">
        <v>70</v>
      </c>
      <c r="L18" s="8">
        <v>68</v>
      </c>
      <c r="M18" s="8">
        <v>60</v>
      </c>
      <c r="N18" s="8">
        <v>44</v>
      </c>
      <c r="O18" s="1">
        <f t="shared" si="0"/>
        <v>464</v>
      </c>
      <c r="P18" s="14">
        <f t="shared" si="1"/>
        <v>58</v>
      </c>
      <c r="Q18" s="20">
        <f t="shared" si="2"/>
        <v>12</v>
      </c>
    </row>
    <row r="19" spans="1:17" ht="18" customHeight="1">
      <c r="A19" s="19">
        <v>13</v>
      </c>
      <c r="B19" s="2" t="s">
        <v>1091</v>
      </c>
      <c r="C19" s="1">
        <v>311260865</v>
      </c>
      <c r="D19" s="3" t="s">
        <v>94</v>
      </c>
      <c r="E19" s="1" t="s">
        <v>64</v>
      </c>
      <c r="F19" s="10" t="s">
        <v>1024</v>
      </c>
      <c r="G19" s="2">
        <v>36</v>
      </c>
      <c r="H19" s="8">
        <v>92</v>
      </c>
      <c r="I19" s="8">
        <v>66</v>
      </c>
      <c r="J19" s="8">
        <v>68</v>
      </c>
      <c r="K19" s="8">
        <v>40</v>
      </c>
      <c r="L19" s="8">
        <v>52</v>
      </c>
      <c r="M19" s="8">
        <v>68</v>
      </c>
      <c r="N19" s="8">
        <v>76</v>
      </c>
      <c r="O19" s="1">
        <f t="shared" si="0"/>
        <v>462</v>
      </c>
      <c r="P19" s="14">
        <f t="shared" si="1"/>
        <v>57.75</v>
      </c>
      <c r="Q19" s="20">
        <f t="shared" si="2"/>
        <v>13</v>
      </c>
    </row>
    <row r="20" spans="1:17" ht="18" customHeight="1">
      <c r="A20" s="19">
        <v>14</v>
      </c>
      <c r="B20" s="2" t="s">
        <v>1104</v>
      </c>
      <c r="C20" s="1">
        <v>311260872</v>
      </c>
      <c r="D20" s="3" t="s">
        <v>1105</v>
      </c>
      <c r="E20" s="1" t="s">
        <v>353</v>
      </c>
      <c r="F20" s="10" t="s">
        <v>1024</v>
      </c>
      <c r="G20" s="2">
        <v>37</v>
      </c>
      <c r="H20" s="8">
        <v>84</v>
      </c>
      <c r="I20" s="8">
        <v>89</v>
      </c>
      <c r="J20" s="8">
        <v>76</v>
      </c>
      <c r="K20" s="8">
        <v>30</v>
      </c>
      <c r="L20" s="8">
        <v>76</v>
      </c>
      <c r="M20" s="8">
        <v>56</v>
      </c>
      <c r="N20" s="8">
        <v>44</v>
      </c>
      <c r="O20" s="1">
        <f t="shared" si="0"/>
        <v>455</v>
      </c>
      <c r="P20" s="14">
        <f t="shared" si="1"/>
        <v>56.875</v>
      </c>
      <c r="Q20" s="20">
        <f t="shared" si="2"/>
        <v>14</v>
      </c>
    </row>
    <row r="21" spans="1:17" ht="18" customHeight="1">
      <c r="A21" s="19">
        <v>15</v>
      </c>
      <c r="B21" s="2" t="s">
        <v>1079</v>
      </c>
      <c r="C21" s="1">
        <v>311260859</v>
      </c>
      <c r="D21" s="3" t="s">
        <v>1080</v>
      </c>
      <c r="E21" s="1" t="s">
        <v>77</v>
      </c>
      <c r="F21" s="10" t="s">
        <v>1024</v>
      </c>
      <c r="G21" s="2">
        <v>36</v>
      </c>
      <c r="H21" s="8">
        <v>76</v>
      </c>
      <c r="I21" s="8">
        <v>89</v>
      </c>
      <c r="J21" s="8">
        <v>68</v>
      </c>
      <c r="K21" s="8">
        <v>10</v>
      </c>
      <c r="L21" s="8">
        <v>52</v>
      </c>
      <c r="M21" s="8">
        <v>68</v>
      </c>
      <c r="N21" s="8">
        <v>76</v>
      </c>
      <c r="O21" s="1">
        <f t="shared" si="0"/>
        <v>439</v>
      </c>
      <c r="P21" s="14">
        <f t="shared" si="1"/>
        <v>54.875</v>
      </c>
      <c r="Q21" s="20">
        <f t="shared" si="2"/>
        <v>15</v>
      </c>
    </row>
    <row r="22" spans="1:17" ht="18" customHeight="1">
      <c r="A22" s="19">
        <v>16</v>
      </c>
      <c r="B22" s="2" t="s">
        <v>1083</v>
      </c>
      <c r="C22" s="1">
        <v>311260861</v>
      </c>
      <c r="D22" s="3" t="s">
        <v>1084</v>
      </c>
      <c r="E22" s="1" t="s">
        <v>84</v>
      </c>
      <c r="F22" s="10" t="s">
        <v>1024</v>
      </c>
      <c r="G22" s="2">
        <v>36</v>
      </c>
      <c r="H22" s="8">
        <v>64</v>
      </c>
      <c r="I22" s="8">
        <v>85</v>
      </c>
      <c r="J22" s="8">
        <v>92</v>
      </c>
      <c r="K22" s="8">
        <v>45</v>
      </c>
      <c r="L22" s="8">
        <v>44</v>
      </c>
      <c r="M22" s="8">
        <v>52</v>
      </c>
      <c r="N22" s="8">
        <v>44</v>
      </c>
      <c r="O22" s="1">
        <f t="shared" si="0"/>
        <v>426</v>
      </c>
      <c r="P22" s="14">
        <f t="shared" si="1"/>
        <v>53.25</v>
      </c>
      <c r="Q22" s="20">
        <f t="shared" si="2"/>
        <v>16</v>
      </c>
    </row>
    <row r="23" spans="1:17" ht="18" customHeight="1">
      <c r="A23" s="19">
        <v>17</v>
      </c>
      <c r="B23" s="2" t="s">
        <v>1035</v>
      </c>
      <c r="C23" s="1">
        <v>311260836</v>
      </c>
      <c r="D23" s="3" t="s">
        <v>1036</v>
      </c>
      <c r="E23" s="1" t="s">
        <v>56</v>
      </c>
      <c r="F23" s="10" t="s">
        <v>1024</v>
      </c>
      <c r="G23" s="2">
        <v>34</v>
      </c>
      <c r="H23" s="8">
        <v>80</v>
      </c>
      <c r="I23" s="8">
        <v>24</v>
      </c>
      <c r="J23" s="8">
        <v>60</v>
      </c>
      <c r="K23" s="8">
        <v>75</v>
      </c>
      <c r="L23" s="8">
        <v>44</v>
      </c>
      <c r="M23" s="8">
        <v>80</v>
      </c>
      <c r="N23" s="8">
        <v>60</v>
      </c>
      <c r="O23" s="1">
        <f t="shared" si="0"/>
        <v>423</v>
      </c>
      <c r="P23" s="14">
        <f t="shared" si="1"/>
        <v>52.875</v>
      </c>
      <c r="Q23" s="20">
        <f t="shared" si="2"/>
        <v>17</v>
      </c>
    </row>
    <row r="24" spans="1:17" ht="18" customHeight="1">
      <c r="A24" s="19">
        <v>18</v>
      </c>
      <c r="B24" s="2" t="s">
        <v>1031</v>
      </c>
      <c r="C24" s="1">
        <v>311260834</v>
      </c>
      <c r="D24" s="3" t="s">
        <v>1032</v>
      </c>
      <c r="E24" s="1" t="s">
        <v>56</v>
      </c>
      <c r="F24" s="10" t="s">
        <v>1024</v>
      </c>
      <c r="G24" s="2">
        <v>34</v>
      </c>
      <c r="H24" s="8">
        <v>76</v>
      </c>
      <c r="I24" s="8">
        <v>51</v>
      </c>
      <c r="J24" s="8">
        <v>100</v>
      </c>
      <c r="K24" s="8">
        <v>30</v>
      </c>
      <c r="L24" s="8">
        <v>44</v>
      </c>
      <c r="M24" s="8">
        <v>68</v>
      </c>
      <c r="N24" s="8">
        <v>52</v>
      </c>
      <c r="O24" s="1">
        <f t="shared" si="0"/>
        <v>421</v>
      </c>
      <c r="P24" s="14">
        <f t="shared" si="1"/>
        <v>52.625</v>
      </c>
      <c r="Q24" s="20">
        <f t="shared" si="2"/>
        <v>18</v>
      </c>
    </row>
    <row r="25" spans="1:17" ht="18" customHeight="1">
      <c r="A25" s="19">
        <v>19</v>
      </c>
      <c r="B25" s="2" t="s">
        <v>1043</v>
      </c>
      <c r="C25" s="1">
        <v>311260840</v>
      </c>
      <c r="D25" s="3" t="s">
        <v>645</v>
      </c>
      <c r="E25" s="1" t="s">
        <v>57</v>
      </c>
      <c r="F25" s="10" t="s">
        <v>1024</v>
      </c>
      <c r="G25" s="2">
        <v>35</v>
      </c>
      <c r="H25" s="8">
        <v>48</v>
      </c>
      <c r="I25" s="8">
        <v>85</v>
      </c>
      <c r="J25" s="8">
        <v>84</v>
      </c>
      <c r="K25" s="8">
        <v>85</v>
      </c>
      <c r="L25" s="8">
        <v>44</v>
      </c>
      <c r="M25" s="8">
        <v>36</v>
      </c>
      <c r="N25" s="8">
        <v>36</v>
      </c>
      <c r="O25" s="1">
        <f t="shared" si="0"/>
        <v>418</v>
      </c>
      <c r="P25" s="14">
        <f t="shared" si="1"/>
        <v>52.25</v>
      </c>
      <c r="Q25" s="20">
        <f t="shared" si="2"/>
        <v>19</v>
      </c>
    </row>
    <row r="26" spans="1:17" ht="18" customHeight="1">
      <c r="A26" s="19">
        <v>20</v>
      </c>
      <c r="B26" s="2" t="s">
        <v>1114</v>
      </c>
      <c r="C26" s="1">
        <v>311260877</v>
      </c>
      <c r="D26" s="3" t="s">
        <v>1115</v>
      </c>
      <c r="E26" s="1" t="s">
        <v>75</v>
      </c>
      <c r="F26" s="10" t="s">
        <v>1024</v>
      </c>
      <c r="G26" s="2">
        <v>37</v>
      </c>
      <c r="H26" s="8">
        <v>76</v>
      </c>
      <c r="I26" s="8">
        <v>77</v>
      </c>
      <c r="J26" s="8">
        <v>60</v>
      </c>
      <c r="K26" s="8">
        <v>50</v>
      </c>
      <c r="L26" s="8">
        <v>44</v>
      </c>
      <c r="M26" s="8">
        <v>44</v>
      </c>
      <c r="N26" s="8">
        <v>60</v>
      </c>
      <c r="O26" s="1">
        <f t="shared" si="0"/>
        <v>411</v>
      </c>
      <c r="P26" s="14">
        <f t="shared" si="1"/>
        <v>51.375</v>
      </c>
      <c r="Q26" s="20">
        <f t="shared" si="2"/>
        <v>20</v>
      </c>
    </row>
    <row r="27" spans="1:17" ht="18" customHeight="1">
      <c r="A27" s="19">
        <v>21</v>
      </c>
      <c r="B27" s="2" t="s">
        <v>1085</v>
      </c>
      <c r="C27" s="1">
        <v>311260862</v>
      </c>
      <c r="D27" s="3" t="s">
        <v>1086</v>
      </c>
      <c r="E27" s="1" t="s">
        <v>84</v>
      </c>
      <c r="F27" s="10" t="s">
        <v>1024</v>
      </c>
      <c r="G27" s="2">
        <v>36</v>
      </c>
      <c r="H27" s="8">
        <v>60</v>
      </c>
      <c r="I27" s="8">
        <v>77</v>
      </c>
      <c r="J27" s="8">
        <v>68</v>
      </c>
      <c r="K27" s="8">
        <v>75</v>
      </c>
      <c r="L27" s="8">
        <v>44</v>
      </c>
      <c r="M27" s="8">
        <v>40</v>
      </c>
      <c r="N27" s="8">
        <v>44</v>
      </c>
      <c r="O27" s="1">
        <f t="shared" si="0"/>
        <v>408</v>
      </c>
      <c r="P27" s="14">
        <f t="shared" si="1"/>
        <v>51</v>
      </c>
      <c r="Q27" s="20">
        <f t="shared" si="2"/>
        <v>21</v>
      </c>
    </row>
    <row r="28" spans="1:17" ht="18" customHeight="1">
      <c r="A28" s="19">
        <v>22</v>
      </c>
      <c r="B28" s="2" t="s">
        <v>1089</v>
      </c>
      <c r="C28" s="1">
        <v>311260864</v>
      </c>
      <c r="D28" s="3" t="s">
        <v>1090</v>
      </c>
      <c r="E28" s="1" t="s">
        <v>74</v>
      </c>
      <c r="F28" s="10" t="s">
        <v>1024</v>
      </c>
      <c r="G28" s="2">
        <v>36</v>
      </c>
      <c r="H28" s="8">
        <v>84</v>
      </c>
      <c r="I28" s="8">
        <v>85</v>
      </c>
      <c r="J28" s="8">
        <v>44</v>
      </c>
      <c r="K28" s="8">
        <v>20</v>
      </c>
      <c r="L28" s="8">
        <v>36</v>
      </c>
      <c r="M28" s="8">
        <v>52</v>
      </c>
      <c r="N28" s="8">
        <v>84</v>
      </c>
      <c r="O28" s="1">
        <f t="shared" si="0"/>
        <v>405</v>
      </c>
      <c r="P28" s="14">
        <f t="shared" si="1"/>
        <v>50.625</v>
      </c>
      <c r="Q28" s="20">
        <f t="shared" si="2"/>
        <v>22</v>
      </c>
    </row>
    <row r="29" spans="1:17" ht="18" customHeight="1">
      <c r="A29" s="19">
        <v>23</v>
      </c>
      <c r="B29" s="2" t="s">
        <v>1102</v>
      </c>
      <c r="C29" s="1">
        <v>311260871</v>
      </c>
      <c r="D29" s="3" t="s">
        <v>1103</v>
      </c>
      <c r="E29" s="1" t="s">
        <v>66</v>
      </c>
      <c r="F29" s="10" t="s">
        <v>1024</v>
      </c>
      <c r="G29" s="2">
        <v>36</v>
      </c>
      <c r="H29" s="8">
        <v>60</v>
      </c>
      <c r="I29" s="8">
        <v>100</v>
      </c>
      <c r="J29" s="8">
        <v>100</v>
      </c>
      <c r="K29" s="8">
        <v>40</v>
      </c>
      <c r="L29" s="8">
        <v>20</v>
      </c>
      <c r="M29" s="8">
        <v>20</v>
      </c>
      <c r="N29" s="8">
        <v>60</v>
      </c>
      <c r="O29" s="1">
        <f t="shared" si="0"/>
        <v>400</v>
      </c>
      <c r="P29" s="14">
        <f t="shared" si="1"/>
        <v>50</v>
      </c>
      <c r="Q29" s="20">
        <f t="shared" si="2"/>
        <v>23</v>
      </c>
    </row>
    <row r="30" spans="1:17" ht="18" customHeight="1">
      <c r="A30" s="19">
        <v>24</v>
      </c>
      <c r="B30" s="2" t="s">
        <v>1096</v>
      </c>
      <c r="C30" s="1">
        <v>311260868</v>
      </c>
      <c r="D30" s="3" t="s">
        <v>1097</v>
      </c>
      <c r="E30" s="1" t="s">
        <v>65</v>
      </c>
      <c r="F30" s="10" t="s">
        <v>1024</v>
      </c>
      <c r="G30" s="2">
        <v>36</v>
      </c>
      <c r="H30" s="8">
        <v>84</v>
      </c>
      <c r="I30" s="8">
        <v>47</v>
      </c>
      <c r="J30" s="8">
        <v>84</v>
      </c>
      <c r="K30" s="8">
        <v>20</v>
      </c>
      <c r="L30" s="8">
        <v>60</v>
      </c>
      <c r="M30" s="8">
        <v>44</v>
      </c>
      <c r="N30" s="8">
        <v>60</v>
      </c>
      <c r="O30" s="1">
        <f t="shared" si="0"/>
        <v>399</v>
      </c>
      <c r="P30" s="14">
        <f t="shared" si="1"/>
        <v>49.875</v>
      </c>
      <c r="Q30" s="20">
        <f t="shared" si="2"/>
        <v>24</v>
      </c>
    </row>
    <row r="31" spans="1:17" ht="18" customHeight="1">
      <c r="A31" s="19">
        <v>25</v>
      </c>
      <c r="B31" s="2" t="s">
        <v>1067</v>
      </c>
      <c r="C31" s="1">
        <v>311260853</v>
      </c>
      <c r="D31" s="3" t="s">
        <v>1068</v>
      </c>
      <c r="E31" s="1" t="s">
        <v>60</v>
      </c>
      <c r="F31" s="10" t="s">
        <v>1024</v>
      </c>
      <c r="G31" s="2">
        <v>35</v>
      </c>
      <c r="H31" s="8">
        <v>52</v>
      </c>
      <c r="I31" s="8">
        <v>93</v>
      </c>
      <c r="J31" s="8">
        <v>44</v>
      </c>
      <c r="K31" s="8">
        <v>65</v>
      </c>
      <c r="L31" s="8">
        <v>44</v>
      </c>
      <c r="M31" s="8">
        <v>44</v>
      </c>
      <c r="N31" s="8">
        <v>52</v>
      </c>
      <c r="O31" s="1">
        <f t="shared" si="0"/>
        <v>394</v>
      </c>
      <c r="P31" s="14">
        <f t="shared" si="1"/>
        <v>49.25</v>
      </c>
      <c r="Q31" s="20">
        <f t="shared" si="2"/>
        <v>25</v>
      </c>
    </row>
    <row r="32" spans="1:17" ht="18" customHeight="1">
      <c r="A32" s="19">
        <v>26</v>
      </c>
      <c r="B32" s="2" t="s">
        <v>1065</v>
      </c>
      <c r="C32" s="1">
        <v>311260852</v>
      </c>
      <c r="D32" s="3" t="s">
        <v>1066</v>
      </c>
      <c r="E32" s="1" t="s">
        <v>60</v>
      </c>
      <c r="F32" s="10" t="s">
        <v>1024</v>
      </c>
      <c r="G32" s="2">
        <v>35</v>
      </c>
      <c r="H32" s="8">
        <v>92</v>
      </c>
      <c r="I32" s="8">
        <v>70</v>
      </c>
      <c r="J32" s="8">
        <v>84</v>
      </c>
      <c r="K32" s="8">
        <v>10</v>
      </c>
      <c r="L32" s="8">
        <v>52</v>
      </c>
      <c r="M32" s="8">
        <v>32</v>
      </c>
      <c r="N32" s="8">
        <v>52</v>
      </c>
      <c r="O32" s="1">
        <f t="shared" si="0"/>
        <v>392</v>
      </c>
      <c r="P32" s="14">
        <f t="shared" si="1"/>
        <v>49</v>
      </c>
      <c r="Q32" s="20">
        <f t="shared" si="2"/>
        <v>26</v>
      </c>
    </row>
    <row r="33" spans="1:17" ht="18" customHeight="1">
      <c r="A33" s="19">
        <v>27</v>
      </c>
      <c r="B33" s="2" t="s">
        <v>1052</v>
      </c>
      <c r="C33" s="1">
        <v>311260845</v>
      </c>
      <c r="D33" s="3" t="s">
        <v>1053</v>
      </c>
      <c r="E33" s="1" t="s">
        <v>71</v>
      </c>
      <c r="F33" s="10" t="s">
        <v>1024</v>
      </c>
      <c r="G33" s="2">
        <v>35</v>
      </c>
      <c r="H33" s="8">
        <v>68</v>
      </c>
      <c r="I33" s="8">
        <v>51</v>
      </c>
      <c r="J33" s="8">
        <v>44</v>
      </c>
      <c r="K33" s="8">
        <v>30</v>
      </c>
      <c r="L33" s="8">
        <v>68</v>
      </c>
      <c r="M33" s="8">
        <v>52</v>
      </c>
      <c r="N33" s="8">
        <v>68</v>
      </c>
      <c r="O33" s="1">
        <f t="shared" si="0"/>
        <v>381</v>
      </c>
      <c r="P33" s="14">
        <f t="shared" si="1"/>
        <v>47.625</v>
      </c>
      <c r="Q33" s="20">
        <f t="shared" si="2"/>
        <v>27</v>
      </c>
    </row>
    <row r="34" spans="1:17" ht="18" customHeight="1">
      <c r="A34" s="19">
        <v>28</v>
      </c>
      <c r="B34" s="2" t="s">
        <v>1056</v>
      </c>
      <c r="C34" s="1">
        <v>311260847</v>
      </c>
      <c r="D34" s="3" t="s">
        <v>1057</v>
      </c>
      <c r="E34" s="1" t="s">
        <v>58</v>
      </c>
      <c r="F34" s="10" t="s">
        <v>1024</v>
      </c>
      <c r="G34" s="2">
        <v>35</v>
      </c>
      <c r="H34" s="8">
        <v>76</v>
      </c>
      <c r="I34" s="8">
        <v>81</v>
      </c>
      <c r="J34" s="8">
        <v>36</v>
      </c>
      <c r="K34" s="8">
        <v>35</v>
      </c>
      <c r="L34" s="8">
        <v>36</v>
      </c>
      <c r="M34" s="8">
        <v>52</v>
      </c>
      <c r="N34" s="8">
        <v>44</v>
      </c>
      <c r="O34" s="1">
        <f t="shared" si="0"/>
        <v>360</v>
      </c>
      <c r="P34" s="14">
        <f t="shared" si="1"/>
        <v>45</v>
      </c>
      <c r="Q34" s="20">
        <f t="shared" si="2"/>
        <v>28</v>
      </c>
    </row>
    <row r="35" spans="1:17" ht="18" customHeight="1">
      <c r="A35" s="19">
        <v>29</v>
      </c>
      <c r="B35" s="2" t="s">
        <v>1112</v>
      </c>
      <c r="C35" s="1">
        <v>311260876</v>
      </c>
      <c r="D35" s="3" t="s">
        <v>1113</v>
      </c>
      <c r="E35" s="1" t="s">
        <v>75</v>
      </c>
      <c r="F35" s="10" t="s">
        <v>1024</v>
      </c>
      <c r="G35" s="2">
        <v>37</v>
      </c>
      <c r="H35" s="8">
        <v>84</v>
      </c>
      <c r="I35" s="8">
        <v>54</v>
      </c>
      <c r="J35" s="8">
        <v>28</v>
      </c>
      <c r="K35" s="8">
        <v>45</v>
      </c>
      <c r="L35" s="8">
        <v>44</v>
      </c>
      <c r="M35" s="8">
        <v>52</v>
      </c>
      <c r="N35" s="8">
        <v>52</v>
      </c>
      <c r="O35" s="1">
        <f t="shared" si="0"/>
        <v>359</v>
      </c>
      <c r="P35" s="14">
        <f t="shared" si="1"/>
        <v>44.875</v>
      </c>
      <c r="Q35" s="20">
        <f t="shared" si="2"/>
        <v>29</v>
      </c>
    </row>
    <row r="36" spans="1:17" ht="18" customHeight="1">
      <c r="A36" s="19">
        <v>30</v>
      </c>
      <c r="B36" s="2" t="s">
        <v>1044</v>
      </c>
      <c r="C36" s="1">
        <v>311260841</v>
      </c>
      <c r="D36" s="3" t="s">
        <v>1045</v>
      </c>
      <c r="E36" s="1" t="s">
        <v>57</v>
      </c>
      <c r="F36" s="10" t="s">
        <v>1024</v>
      </c>
      <c r="G36" s="2">
        <v>35</v>
      </c>
      <c r="H36" s="8">
        <v>84</v>
      </c>
      <c r="I36" s="8">
        <v>66</v>
      </c>
      <c r="J36" s="8">
        <v>52</v>
      </c>
      <c r="K36" s="8">
        <v>30</v>
      </c>
      <c r="L36" s="8">
        <v>44</v>
      </c>
      <c r="M36" s="8">
        <v>36</v>
      </c>
      <c r="N36" s="8">
        <v>44</v>
      </c>
      <c r="O36" s="1">
        <f t="shared" si="0"/>
        <v>356</v>
      </c>
      <c r="P36" s="14">
        <f t="shared" si="1"/>
        <v>44.5</v>
      </c>
      <c r="Q36" s="20">
        <f t="shared" si="2"/>
        <v>30</v>
      </c>
    </row>
    <row r="37" spans="1:17" ht="18" customHeight="1">
      <c r="A37" s="19">
        <v>31</v>
      </c>
      <c r="B37" s="2" t="s">
        <v>1037</v>
      </c>
      <c r="C37" s="1">
        <v>311260837</v>
      </c>
      <c r="D37" s="3" t="s">
        <v>1038</v>
      </c>
      <c r="E37" s="1" t="s">
        <v>57</v>
      </c>
      <c r="F37" s="10" t="s">
        <v>1024</v>
      </c>
      <c r="G37" s="2">
        <v>34</v>
      </c>
      <c r="H37" s="8">
        <v>64</v>
      </c>
      <c r="I37" s="8">
        <v>89</v>
      </c>
      <c r="J37" s="8">
        <v>52</v>
      </c>
      <c r="K37" s="8">
        <v>10</v>
      </c>
      <c r="L37" s="8">
        <v>52</v>
      </c>
      <c r="M37" s="8">
        <v>28</v>
      </c>
      <c r="N37" s="8">
        <v>60</v>
      </c>
      <c r="O37" s="1">
        <f t="shared" si="0"/>
        <v>355</v>
      </c>
      <c r="P37" s="14">
        <f t="shared" si="1"/>
        <v>44.375</v>
      </c>
      <c r="Q37" s="20">
        <f t="shared" si="2"/>
        <v>31</v>
      </c>
    </row>
    <row r="38" spans="1:17" ht="18" customHeight="1">
      <c r="A38" s="19">
        <v>32</v>
      </c>
      <c r="B38" s="2" t="s">
        <v>1123</v>
      </c>
      <c r="C38" s="1">
        <v>311260882</v>
      </c>
      <c r="D38" s="3" t="s">
        <v>1124</v>
      </c>
      <c r="E38" s="1" t="s">
        <v>85</v>
      </c>
      <c r="F38" s="10" t="s">
        <v>1024</v>
      </c>
      <c r="G38" s="2">
        <v>37</v>
      </c>
      <c r="H38" s="8">
        <v>48</v>
      </c>
      <c r="I38" s="8">
        <v>63</v>
      </c>
      <c r="J38" s="8">
        <v>60</v>
      </c>
      <c r="K38" s="8">
        <v>30</v>
      </c>
      <c r="L38" s="8">
        <v>52</v>
      </c>
      <c r="M38" s="8">
        <v>32</v>
      </c>
      <c r="N38" s="8">
        <v>60</v>
      </c>
      <c r="O38" s="1">
        <f t="shared" si="0"/>
        <v>345</v>
      </c>
      <c r="P38" s="14">
        <f t="shared" si="1"/>
        <v>43.125</v>
      </c>
      <c r="Q38" s="20">
        <f t="shared" si="2"/>
        <v>32</v>
      </c>
    </row>
    <row r="39" spans="1:17" ht="18" customHeight="1">
      <c r="A39" s="19">
        <v>33</v>
      </c>
      <c r="B39" s="2" t="s">
        <v>1121</v>
      </c>
      <c r="C39" s="1">
        <v>311260881</v>
      </c>
      <c r="D39" s="3" t="s">
        <v>1122</v>
      </c>
      <c r="E39" s="1" t="s">
        <v>85</v>
      </c>
      <c r="F39" s="10" t="s">
        <v>1024</v>
      </c>
      <c r="G39" s="2">
        <v>37</v>
      </c>
      <c r="H39" s="8">
        <v>84</v>
      </c>
      <c r="I39" s="8">
        <v>54</v>
      </c>
      <c r="J39" s="8">
        <v>36</v>
      </c>
      <c r="K39" s="8">
        <v>30</v>
      </c>
      <c r="L39" s="8">
        <v>60</v>
      </c>
      <c r="M39" s="8">
        <v>44</v>
      </c>
      <c r="N39" s="8">
        <v>36</v>
      </c>
      <c r="O39" s="1">
        <f t="shared" ref="O39:O65" si="3">SUBTOTAL(9,H39:N39)</f>
        <v>344</v>
      </c>
      <c r="P39" s="14">
        <f t="shared" ref="P39:P65" si="4">O39/8</f>
        <v>43</v>
      </c>
      <c r="Q39" s="20">
        <f t="shared" ref="Q39:Q65" si="5">RANK(P39,P$7:P$282,0)</f>
        <v>33</v>
      </c>
    </row>
    <row r="40" spans="1:17" ht="18" customHeight="1">
      <c r="A40" s="19">
        <v>34</v>
      </c>
      <c r="B40" s="2" t="s">
        <v>1092</v>
      </c>
      <c r="C40" s="1">
        <v>311260866</v>
      </c>
      <c r="D40" s="3" t="s">
        <v>1093</v>
      </c>
      <c r="E40" s="1" t="s">
        <v>90</v>
      </c>
      <c r="F40" s="10" t="s">
        <v>1024</v>
      </c>
      <c r="G40" s="2">
        <v>36</v>
      </c>
      <c r="H40" s="8">
        <v>76</v>
      </c>
      <c r="I40" s="8">
        <v>54</v>
      </c>
      <c r="J40" s="8">
        <v>44</v>
      </c>
      <c r="K40" s="8">
        <v>15</v>
      </c>
      <c r="L40" s="8">
        <v>76</v>
      </c>
      <c r="M40" s="8">
        <v>36</v>
      </c>
      <c r="N40" s="8">
        <v>36</v>
      </c>
      <c r="O40" s="1">
        <f t="shared" si="3"/>
        <v>337</v>
      </c>
      <c r="P40" s="14">
        <f t="shared" si="4"/>
        <v>42.125</v>
      </c>
      <c r="Q40" s="20">
        <f t="shared" si="5"/>
        <v>34</v>
      </c>
    </row>
    <row r="41" spans="1:17" ht="18" customHeight="1">
      <c r="A41" s="19">
        <v>35</v>
      </c>
      <c r="B41" s="2" t="s">
        <v>1077</v>
      </c>
      <c r="C41" s="1">
        <v>311260858</v>
      </c>
      <c r="D41" s="3" t="s">
        <v>1078</v>
      </c>
      <c r="E41" s="1" t="s">
        <v>73</v>
      </c>
      <c r="F41" s="10" t="s">
        <v>1024</v>
      </c>
      <c r="G41" s="2">
        <v>36</v>
      </c>
      <c r="H41" s="8">
        <v>52</v>
      </c>
      <c r="I41" s="8">
        <v>81</v>
      </c>
      <c r="J41" s="8">
        <v>40</v>
      </c>
      <c r="K41" s="8">
        <v>60</v>
      </c>
      <c r="L41" s="8">
        <v>44</v>
      </c>
      <c r="M41" s="8">
        <v>52</v>
      </c>
      <c r="N41" s="8">
        <v>0</v>
      </c>
      <c r="O41" s="1">
        <f t="shared" si="3"/>
        <v>329</v>
      </c>
      <c r="P41" s="14">
        <f t="shared" si="4"/>
        <v>41.125</v>
      </c>
      <c r="Q41" s="20">
        <f t="shared" si="5"/>
        <v>35</v>
      </c>
    </row>
    <row r="42" spans="1:17" ht="18" customHeight="1">
      <c r="A42" s="19">
        <v>36</v>
      </c>
      <c r="B42" s="2" t="s">
        <v>1039</v>
      </c>
      <c r="C42" s="1">
        <v>311260838</v>
      </c>
      <c r="D42" s="3" t="s">
        <v>1040</v>
      </c>
      <c r="E42" s="1" t="s">
        <v>57</v>
      </c>
      <c r="F42" s="10" t="s">
        <v>1024</v>
      </c>
      <c r="G42" s="2">
        <v>35</v>
      </c>
      <c r="H42" s="8">
        <v>72</v>
      </c>
      <c r="I42" s="8">
        <v>35</v>
      </c>
      <c r="J42" s="8">
        <v>28</v>
      </c>
      <c r="K42" s="8">
        <v>65</v>
      </c>
      <c r="L42" s="8">
        <v>36</v>
      </c>
      <c r="M42" s="8">
        <v>48</v>
      </c>
      <c r="N42" s="8">
        <v>44</v>
      </c>
      <c r="O42" s="1">
        <f t="shared" si="3"/>
        <v>328</v>
      </c>
      <c r="P42" s="14">
        <f t="shared" si="4"/>
        <v>41</v>
      </c>
      <c r="Q42" s="20">
        <f t="shared" si="5"/>
        <v>36</v>
      </c>
    </row>
    <row r="43" spans="1:17" ht="18" customHeight="1">
      <c r="A43" s="19">
        <v>37</v>
      </c>
      <c r="B43" s="2" t="s">
        <v>1100</v>
      </c>
      <c r="C43" s="1">
        <v>311260870</v>
      </c>
      <c r="D43" s="3" t="s">
        <v>1101</v>
      </c>
      <c r="E43" s="1" t="s">
        <v>82</v>
      </c>
      <c r="F43" s="10" t="s">
        <v>1024</v>
      </c>
      <c r="G43" s="2">
        <v>36</v>
      </c>
      <c r="H43" s="8">
        <v>84</v>
      </c>
      <c r="I43" s="8">
        <v>62</v>
      </c>
      <c r="J43" s="8">
        <v>52</v>
      </c>
      <c r="K43" s="8">
        <v>25</v>
      </c>
      <c r="L43" s="8">
        <v>52</v>
      </c>
      <c r="M43" s="8">
        <v>16</v>
      </c>
      <c r="N43" s="8">
        <v>36</v>
      </c>
      <c r="O43" s="1">
        <f t="shared" si="3"/>
        <v>327</v>
      </c>
      <c r="P43" s="14">
        <f t="shared" si="4"/>
        <v>40.875</v>
      </c>
      <c r="Q43" s="20">
        <f t="shared" si="5"/>
        <v>37</v>
      </c>
    </row>
    <row r="44" spans="1:17" ht="18" customHeight="1">
      <c r="A44" s="19">
        <v>38</v>
      </c>
      <c r="B44" s="2" t="s">
        <v>1135</v>
      </c>
      <c r="C44" s="1">
        <v>311261001</v>
      </c>
      <c r="D44" s="3" t="s">
        <v>1136</v>
      </c>
      <c r="E44" s="1" t="s">
        <v>81</v>
      </c>
      <c r="F44" s="10" t="s">
        <v>1024</v>
      </c>
      <c r="G44" s="2">
        <v>37</v>
      </c>
      <c r="H44" s="8">
        <v>64</v>
      </c>
      <c r="I44" s="8">
        <v>20</v>
      </c>
      <c r="J44" s="8">
        <v>88</v>
      </c>
      <c r="K44" s="8">
        <v>25</v>
      </c>
      <c r="L44" s="8">
        <v>36</v>
      </c>
      <c r="M44" s="8">
        <v>24</v>
      </c>
      <c r="N44" s="8">
        <v>68</v>
      </c>
      <c r="O44" s="1">
        <f t="shared" si="3"/>
        <v>325</v>
      </c>
      <c r="P44" s="14">
        <f t="shared" si="4"/>
        <v>40.625</v>
      </c>
      <c r="Q44" s="20">
        <f t="shared" si="5"/>
        <v>38</v>
      </c>
    </row>
    <row r="45" spans="1:17" ht="18" customHeight="1">
      <c r="A45" s="19">
        <v>39</v>
      </c>
      <c r="B45" s="2" t="s">
        <v>1117</v>
      </c>
      <c r="C45" s="1">
        <v>311260879</v>
      </c>
      <c r="D45" s="3" t="s">
        <v>1118</v>
      </c>
      <c r="E45" s="1" t="s">
        <v>75</v>
      </c>
      <c r="F45" s="10" t="s">
        <v>1024</v>
      </c>
      <c r="G45" s="2">
        <v>37</v>
      </c>
      <c r="H45" s="8">
        <v>68</v>
      </c>
      <c r="I45" s="8">
        <v>70</v>
      </c>
      <c r="J45" s="8">
        <v>52</v>
      </c>
      <c r="K45" s="8">
        <v>20</v>
      </c>
      <c r="L45" s="8">
        <v>20</v>
      </c>
      <c r="M45" s="8">
        <v>24</v>
      </c>
      <c r="N45" s="8">
        <v>60</v>
      </c>
      <c r="O45" s="1">
        <f t="shared" si="3"/>
        <v>314</v>
      </c>
      <c r="P45" s="14">
        <f t="shared" si="4"/>
        <v>39.25</v>
      </c>
      <c r="Q45" s="20">
        <f t="shared" si="5"/>
        <v>39</v>
      </c>
    </row>
    <row r="46" spans="1:17" ht="18" customHeight="1">
      <c r="A46" s="19">
        <v>40</v>
      </c>
      <c r="B46" s="2" t="s">
        <v>1075</v>
      </c>
      <c r="C46" s="1">
        <v>311260857</v>
      </c>
      <c r="D46" s="3" t="s">
        <v>1076</v>
      </c>
      <c r="E46" s="1" t="s">
        <v>81</v>
      </c>
      <c r="F46" s="10" t="s">
        <v>1024</v>
      </c>
      <c r="G46" s="2">
        <v>36</v>
      </c>
      <c r="H46" s="8">
        <v>76</v>
      </c>
      <c r="I46" s="8">
        <v>47</v>
      </c>
      <c r="J46" s="8">
        <v>28</v>
      </c>
      <c r="K46" s="8">
        <v>20</v>
      </c>
      <c r="L46" s="8">
        <v>44</v>
      </c>
      <c r="M46" s="8">
        <v>36</v>
      </c>
      <c r="N46" s="8">
        <v>60</v>
      </c>
      <c r="O46" s="1">
        <f t="shared" si="3"/>
        <v>311</v>
      </c>
      <c r="P46" s="14">
        <f t="shared" si="4"/>
        <v>38.875</v>
      </c>
      <c r="Q46" s="20">
        <f t="shared" si="5"/>
        <v>40</v>
      </c>
    </row>
    <row r="47" spans="1:17" ht="18" customHeight="1">
      <c r="A47" s="19">
        <v>41</v>
      </c>
      <c r="B47" s="2" t="s">
        <v>1060</v>
      </c>
      <c r="C47" s="1">
        <v>311260849</v>
      </c>
      <c r="D47" s="3" t="s">
        <v>1061</v>
      </c>
      <c r="E47" s="1" t="s">
        <v>58</v>
      </c>
      <c r="F47" s="10" t="s">
        <v>1024</v>
      </c>
      <c r="G47" s="2">
        <v>35</v>
      </c>
      <c r="H47" s="8">
        <v>76</v>
      </c>
      <c r="I47" s="8">
        <v>51</v>
      </c>
      <c r="J47" s="8">
        <v>40</v>
      </c>
      <c r="K47" s="8">
        <v>10</v>
      </c>
      <c r="L47" s="8">
        <v>52</v>
      </c>
      <c r="M47" s="8">
        <v>44</v>
      </c>
      <c r="N47" s="8">
        <v>36</v>
      </c>
      <c r="O47" s="1">
        <f t="shared" si="3"/>
        <v>309</v>
      </c>
      <c r="P47" s="14">
        <f t="shared" si="4"/>
        <v>38.625</v>
      </c>
      <c r="Q47" s="20">
        <f t="shared" si="5"/>
        <v>41</v>
      </c>
    </row>
    <row r="48" spans="1:17" ht="18" customHeight="1">
      <c r="A48" s="19">
        <v>42</v>
      </c>
      <c r="B48" s="2" t="s">
        <v>1048</v>
      </c>
      <c r="C48" s="1">
        <v>311260843</v>
      </c>
      <c r="D48" s="3" t="s">
        <v>1049</v>
      </c>
      <c r="E48" s="1" t="s">
        <v>71</v>
      </c>
      <c r="F48" s="10" t="s">
        <v>1024</v>
      </c>
      <c r="G48" s="2">
        <v>35</v>
      </c>
      <c r="H48" s="8">
        <v>55</v>
      </c>
      <c r="I48" s="8">
        <v>43</v>
      </c>
      <c r="J48" s="8">
        <v>52</v>
      </c>
      <c r="K48" s="8">
        <v>15</v>
      </c>
      <c r="L48" s="8">
        <v>36</v>
      </c>
      <c r="M48" s="8">
        <v>44</v>
      </c>
      <c r="N48" s="8">
        <v>56</v>
      </c>
      <c r="O48" s="1">
        <f t="shared" si="3"/>
        <v>301</v>
      </c>
      <c r="P48" s="14">
        <f t="shared" si="4"/>
        <v>37.625</v>
      </c>
      <c r="Q48" s="20">
        <f t="shared" si="5"/>
        <v>42</v>
      </c>
    </row>
    <row r="49" spans="1:17" ht="18" customHeight="1">
      <c r="A49" s="19">
        <v>43</v>
      </c>
      <c r="B49" s="2" t="s">
        <v>1050</v>
      </c>
      <c r="C49" s="1">
        <v>311260844</v>
      </c>
      <c r="D49" s="3" t="s">
        <v>1051</v>
      </c>
      <c r="E49" s="1" t="s">
        <v>71</v>
      </c>
      <c r="F49" s="10" t="s">
        <v>1024</v>
      </c>
      <c r="G49" s="2">
        <v>35</v>
      </c>
      <c r="H49" s="8">
        <v>76</v>
      </c>
      <c r="I49" s="8">
        <v>51</v>
      </c>
      <c r="J49" s="8">
        <v>52</v>
      </c>
      <c r="K49" s="8">
        <v>5</v>
      </c>
      <c r="L49" s="8">
        <v>26</v>
      </c>
      <c r="M49" s="8">
        <v>68</v>
      </c>
      <c r="N49" s="8">
        <v>20</v>
      </c>
      <c r="O49" s="1">
        <f t="shared" si="3"/>
        <v>298</v>
      </c>
      <c r="P49" s="14">
        <f t="shared" si="4"/>
        <v>37.25</v>
      </c>
      <c r="Q49" s="20">
        <f t="shared" si="5"/>
        <v>43</v>
      </c>
    </row>
    <row r="50" spans="1:17" ht="18" customHeight="1">
      <c r="A50" s="19">
        <v>44</v>
      </c>
      <c r="B50" s="2" t="s">
        <v>1071</v>
      </c>
      <c r="C50" s="1">
        <v>311260855</v>
      </c>
      <c r="D50" s="3" t="s">
        <v>1072</v>
      </c>
      <c r="E50" s="1" t="s">
        <v>60</v>
      </c>
      <c r="F50" s="10" t="s">
        <v>1024</v>
      </c>
      <c r="G50" s="2">
        <v>36</v>
      </c>
      <c r="H50" s="8">
        <v>68</v>
      </c>
      <c r="I50" s="8">
        <v>62</v>
      </c>
      <c r="J50" s="8">
        <v>12</v>
      </c>
      <c r="K50" s="8">
        <v>40</v>
      </c>
      <c r="L50" s="8">
        <v>52</v>
      </c>
      <c r="M50" s="8">
        <v>36</v>
      </c>
      <c r="N50" s="8">
        <v>28</v>
      </c>
      <c r="O50" s="1">
        <f t="shared" si="3"/>
        <v>298</v>
      </c>
      <c r="P50" s="14">
        <f t="shared" si="4"/>
        <v>37.25</v>
      </c>
      <c r="Q50" s="20">
        <f t="shared" si="5"/>
        <v>43</v>
      </c>
    </row>
    <row r="51" spans="1:17" ht="18" customHeight="1">
      <c r="A51" s="19">
        <v>45</v>
      </c>
      <c r="B51" s="2" t="s">
        <v>1027</v>
      </c>
      <c r="C51" s="1">
        <v>311260832</v>
      </c>
      <c r="D51" s="3" t="s">
        <v>1028</v>
      </c>
      <c r="E51" s="1" t="s">
        <v>56</v>
      </c>
      <c r="F51" s="10" t="s">
        <v>1024</v>
      </c>
      <c r="G51" s="2">
        <v>34</v>
      </c>
      <c r="H51" s="8">
        <v>72</v>
      </c>
      <c r="I51" s="8">
        <v>47</v>
      </c>
      <c r="J51" s="8">
        <v>60</v>
      </c>
      <c r="K51" s="8">
        <v>30</v>
      </c>
      <c r="L51" s="8">
        <v>36</v>
      </c>
      <c r="M51" s="8">
        <v>8</v>
      </c>
      <c r="N51" s="8">
        <v>44</v>
      </c>
      <c r="O51" s="1">
        <f t="shared" si="3"/>
        <v>297</v>
      </c>
      <c r="P51" s="14">
        <f t="shared" si="4"/>
        <v>37.125</v>
      </c>
      <c r="Q51" s="20">
        <f t="shared" si="5"/>
        <v>45</v>
      </c>
    </row>
    <row r="52" spans="1:17" ht="18" customHeight="1">
      <c r="A52" s="19">
        <v>46</v>
      </c>
      <c r="B52" s="2" t="s">
        <v>1110</v>
      </c>
      <c r="C52" s="1">
        <v>311260875</v>
      </c>
      <c r="D52" s="3" t="s">
        <v>1111</v>
      </c>
      <c r="E52" s="1" t="s">
        <v>75</v>
      </c>
      <c r="F52" s="10" t="s">
        <v>1024</v>
      </c>
      <c r="G52" s="2">
        <v>37</v>
      </c>
      <c r="H52" s="8">
        <v>80</v>
      </c>
      <c r="I52" s="8">
        <v>35</v>
      </c>
      <c r="J52" s="8">
        <v>8</v>
      </c>
      <c r="K52" s="8">
        <v>15</v>
      </c>
      <c r="L52" s="8">
        <v>52</v>
      </c>
      <c r="M52" s="8">
        <v>48</v>
      </c>
      <c r="N52" s="8">
        <v>44</v>
      </c>
      <c r="O52" s="1">
        <f t="shared" si="3"/>
        <v>282</v>
      </c>
      <c r="P52" s="14">
        <f t="shared" si="4"/>
        <v>35.25</v>
      </c>
      <c r="Q52" s="20">
        <f t="shared" si="5"/>
        <v>46</v>
      </c>
    </row>
    <row r="53" spans="1:17" ht="18" customHeight="1">
      <c r="A53" s="19">
        <v>47</v>
      </c>
      <c r="B53" s="2" t="s">
        <v>1098</v>
      </c>
      <c r="C53" s="1">
        <v>311260869</v>
      </c>
      <c r="D53" s="3" t="s">
        <v>1099</v>
      </c>
      <c r="E53" s="1" t="s">
        <v>82</v>
      </c>
      <c r="F53" s="10" t="s">
        <v>1024</v>
      </c>
      <c r="G53" s="2">
        <v>36</v>
      </c>
      <c r="H53" s="8">
        <v>84</v>
      </c>
      <c r="I53" s="8">
        <v>47</v>
      </c>
      <c r="J53" s="8">
        <v>34</v>
      </c>
      <c r="K53" s="8">
        <v>15</v>
      </c>
      <c r="L53" s="8">
        <v>44</v>
      </c>
      <c r="M53" s="8">
        <v>20</v>
      </c>
      <c r="N53" s="8">
        <v>36</v>
      </c>
      <c r="O53" s="1">
        <f t="shared" si="3"/>
        <v>280</v>
      </c>
      <c r="P53" s="14">
        <f t="shared" si="4"/>
        <v>35</v>
      </c>
      <c r="Q53" s="20">
        <f t="shared" si="5"/>
        <v>47</v>
      </c>
    </row>
    <row r="54" spans="1:17" ht="18" customHeight="1">
      <c r="A54" s="19">
        <v>48</v>
      </c>
      <c r="B54" s="2" t="s">
        <v>1094</v>
      </c>
      <c r="C54" s="1">
        <v>311260867</v>
      </c>
      <c r="D54" s="3" t="s">
        <v>1095</v>
      </c>
      <c r="E54" s="1" t="s">
        <v>65</v>
      </c>
      <c r="F54" s="10" t="s">
        <v>1024</v>
      </c>
      <c r="G54" s="2">
        <v>36</v>
      </c>
      <c r="H54" s="8">
        <v>76</v>
      </c>
      <c r="I54" s="8">
        <v>89</v>
      </c>
      <c r="J54" s="8">
        <v>60</v>
      </c>
      <c r="K54" s="8"/>
      <c r="L54" s="8"/>
      <c r="M54" s="8">
        <v>52</v>
      </c>
      <c r="N54" s="8"/>
      <c r="O54" s="1">
        <f t="shared" si="3"/>
        <v>277</v>
      </c>
      <c r="P54" s="14">
        <f t="shared" si="4"/>
        <v>34.625</v>
      </c>
      <c r="Q54" s="20">
        <f t="shared" si="5"/>
        <v>48</v>
      </c>
    </row>
    <row r="55" spans="1:17" ht="18" customHeight="1">
      <c r="A55" s="19">
        <v>49</v>
      </c>
      <c r="B55" s="2" t="s">
        <v>1125</v>
      </c>
      <c r="C55" s="1">
        <v>311260883</v>
      </c>
      <c r="D55" s="3" t="s">
        <v>1126</v>
      </c>
      <c r="E55" s="1" t="s">
        <v>85</v>
      </c>
      <c r="F55" s="10" t="s">
        <v>1024</v>
      </c>
      <c r="G55" s="2">
        <v>37</v>
      </c>
      <c r="H55" s="8">
        <v>56</v>
      </c>
      <c r="I55" s="8">
        <v>35</v>
      </c>
      <c r="J55" s="8">
        <v>44</v>
      </c>
      <c r="K55" s="8">
        <v>45</v>
      </c>
      <c r="L55" s="8">
        <v>20</v>
      </c>
      <c r="M55" s="8">
        <v>36</v>
      </c>
      <c r="N55" s="8">
        <v>36</v>
      </c>
      <c r="O55" s="1">
        <f t="shared" si="3"/>
        <v>272</v>
      </c>
      <c r="P55" s="14">
        <f t="shared" si="4"/>
        <v>34</v>
      </c>
      <c r="Q55" s="20">
        <f t="shared" si="5"/>
        <v>49</v>
      </c>
    </row>
    <row r="56" spans="1:17" ht="18" customHeight="1">
      <c r="A56" s="19">
        <v>50</v>
      </c>
      <c r="B56" s="2" t="s">
        <v>1131</v>
      </c>
      <c r="C56" s="1">
        <v>311260957</v>
      </c>
      <c r="D56" s="3" t="s">
        <v>1132</v>
      </c>
      <c r="E56" s="1" t="s">
        <v>58</v>
      </c>
      <c r="F56" s="10" t="s">
        <v>1024</v>
      </c>
      <c r="G56" s="2">
        <v>37</v>
      </c>
      <c r="H56" s="8">
        <v>40</v>
      </c>
      <c r="I56" s="8">
        <v>54</v>
      </c>
      <c r="J56" s="8">
        <v>36</v>
      </c>
      <c r="K56" s="8">
        <v>0</v>
      </c>
      <c r="L56" s="8">
        <v>28</v>
      </c>
      <c r="M56" s="8">
        <v>60</v>
      </c>
      <c r="N56" s="8">
        <v>52</v>
      </c>
      <c r="O56" s="1">
        <f t="shared" si="3"/>
        <v>270</v>
      </c>
      <c r="P56" s="14">
        <f t="shared" si="4"/>
        <v>33.75</v>
      </c>
      <c r="Q56" s="20">
        <f t="shared" si="5"/>
        <v>50</v>
      </c>
    </row>
    <row r="57" spans="1:17" ht="18" customHeight="1">
      <c r="A57" s="19">
        <v>51</v>
      </c>
      <c r="B57" s="2" t="s">
        <v>1106</v>
      </c>
      <c r="C57" s="1">
        <v>311260873</v>
      </c>
      <c r="D57" s="3" t="s">
        <v>1107</v>
      </c>
      <c r="E57" s="1" t="s">
        <v>353</v>
      </c>
      <c r="F57" s="10" t="s">
        <v>1024</v>
      </c>
      <c r="G57" s="2">
        <v>37</v>
      </c>
      <c r="H57" s="8">
        <v>60</v>
      </c>
      <c r="I57" s="8">
        <v>47</v>
      </c>
      <c r="J57" s="8">
        <v>60</v>
      </c>
      <c r="K57" s="8">
        <v>15</v>
      </c>
      <c r="L57" s="8">
        <v>32</v>
      </c>
      <c r="M57" s="8">
        <v>8</v>
      </c>
      <c r="N57" s="8">
        <v>28</v>
      </c>
      <c r="O57" s="1">
        <f t="shared" si="3"/>
        <v>250</v>
      </c>
      <c r="P57" s="14">
        <f t="shared" si="4"/>
        <v>31.25</v>
      </c>
      <c r="Q57" s="20">
        <f t="shared" si="5"/>
        <v>51</v>
      </c>
    </row>
    <row r="58" spans="1:17" ht="18" customHeight="1">
      <c r="A58" s="19">
        <v>52</v>
      </c>
      <c r="B58" s="2" t="s">
        <v>1133</v>
      </c>
      <c r="C58" s="1">
        <v>311260958</v>
      </c>
      <c r="D58" s="3" t="s">
        <v>1134</v>
      </c>
      <c r="E58" s="1" t="s">
        <v>66</v>
      </c>
      <c r="F58" s="10" t="s">
        <v>1024</v>
      </c>
      <c r="G58" s="2">
        <v>37</v>
      </c>
      <c r="H58" s="8">
        <v>76</v>
      </c>
      <c r="I58" s="8">
        <v>13</v>
      </c>
      <c r="J58" s="8">
        <v>44</v>
      </c>
      <c r="K58" s="8">
        <v>0</v>
      </c>
      <c r="L58" s="8">
        <v>28</v>
      </c>
      <c r="M58" s="8">
        <v>28</v>
      </c>
      <c r="N58" s="8">
        <v>60</v>
      </c>
      <c r="O58" s="1">
        <f t="shared" si="3"/>
        <v>249</v>
      </c>
      <c r="P58" s="14">
        <f t="shared" si="4"/>
        <v>31.125</v>
      </c>
      <c r="Q58" s="20">
        <f t="shared" si="5"/>
        <v>52</v>
      </c>
    </row>
    <row r="59" spans="1:17" ht="18" customHeight="1">
      <c r="A59" s="19">
        <v>53</v>
      </c>
      <c r="B59" s="2" t="s">
        <v>1062</v>
      </c>
      <c r="C59" s="1">
        <v>311260850</v>
      </c>
      <c r="D59" s="3" t="s">
        <v>1063</v>
      </c>
      <c r="E59" s="1" t="s">
        <v>59</v>
      </c>
      <c r="F59" s="10" t="s">
        <v>1024</v>
      </c>
      <c r="G59" s="2">
        <v>35</v>
      </c>
      <c r="H59" s="8">
        <v>20</v>
      </c>
      <c r="I59" s="8">
        <v>35</v>
      </c>
      <c r="J59" s="8">
        <v>20</v>
      </c>
      <c r="K59" s="8">
        <v>40</v>
      </c>
      <c r="L59" s="8">
        <v>4</v>
      </c>
      <c r="M59" s="8">
        <v>32</v>
      </c>
      <c r="N59" s="8">
        <v>40</v>
      </c>
      <c r="O59" s="1">
        <f t="shared" si="3"/>
        <v>191</v>
      </c>
      <c r="P59" s="14">
        <f t="shared" si="4"/>
        <v>23.875</v>
      </c>
      <c r="Q59" s="20">
        <f t="shared" si="5"/>
        <v>53</v>
      </c>
    </row>
    <row r="60" spans="1:17" ht="18" customHeight="1">
      <c r="A60" s="19">
        <v>54</v>
      </c>
      <c r="B60" s="2" t="s">
        <v>1029</v>
      </c>
      <c r="C60" s="1">
        <v>311260833</v>
      </c>
      <c r="D60" s="3" t="s">
        <v>1030</v>
      </c>
      <c r="E60" s="1" t="s">
        <v>56</v>
      </c>
      <c r="F60" s="10" t="s">
        <v>1024</v>
      </c>
      <c r="G60" s="2">
        <v>34</v>
      </c>
      <c r="H60" s="8">
        <v>8</v>
      </c>
      <c r="I60" s="8">
        <v>24</v>
      </c>
      <c r="J60" s="8">
        <v>20</v>
      </c>
      <c r="K60" s="8">
        <v>0</v>
      </c>
      <c r="L60" s="8">
        <v>20</v>
      </c>
      <c r="M60" s="8">
        <v>20</v>
      </c>
      <c r="N60" s="8">
        <v>12</v>
      </c>
      <c r="O60" s="1">
        <f t="shared" si="3"/>
        <v>104</v>
      </c>
      <c r="P60" s="14">
        <f t="shared" si="4"/>
        <v>13</v>
      </c>
      <c r="Q60" s="20">
        <f t="shared" si="5"/>
        <v>54</v>
      </c>
    </row>
    <row r="61" spans="1:17" ht="18" customHeight="1">
      <c r="A61" s="19">
        <v>55</v>
      </c>
      <c r="B61" s="2" t="s">
        <v>1064</v>
      </c>
      <c r="C61" s="1">
        <v>311260851</v>
      </c>
      <c r="D61" s="3" t="s">
        <v>736</v>
      </c>
      <c r="E61" s="1" t="s">
        <v>60</v>
      </c>
      <c r="F61" s="10" t="s">
        <v>1024</v>
      </c>
      <c r="G61" s="2">
        <v>35</v>
      </c>
      <c r="H61" s="8"/>
      <c r="I61" s="8"/>
      <c r="J61" s="8"/>
      <c r="K61" s="8"/>
      <c r="L61" s="8"/>
      <c r="M61" s="8"/>
      <c r="N61" s="8"/>
      <c r="O61" s="1">
        <f t="shared" si="3"/>
        <v>0</v>
      </c>
      <c r="P61" s="14">
        <f t="shared" si="4"/>
        <v>0</v>
      </c>
      <c r="Q61" s="20">
        <f t="shared" si="5"/>
        <v>55</v>
      </c>
    </row>
    <row r="62" spans="1:17" ht="18" customHeight="1">
      <c r="A62" s="19">
        <v>56</v>
      </c>
      <c r="B62" s="2" t="s">
        <v>1081</v>
      </c>
      <c r="C62" s="1">
        <v>311260860</v>
      </c>
      <c r="D62" s="3" t="s">
        <v>1082</v>
      </c>
      <c r="E62" s="1" t="s">
        <v>77</v>
      </c>
      <c r="F62" s="10" t="s">
        <v>1024</v>
      </c>
      <c r="G62" s="2">
        <v>36</v>
      </c>
      <c r="H62" s="8"/>
      <c r="I62" s="8"/>
      <c r="J62" s="8"/>
      <c r="K62" s="8"/>
      <c r="L62" s="8"/>
      <c r="M62" s="8"/>
      <c r="N62" s="8"/>
      <c r="O62" s="1">
        <f t="shared" si="3"/>
        <v>0</v>
      </c>
      <c r="P62" s="14">
        <f t="shared" si="4"/>
        <v>0</v>
      </c>
      <c r="Q62" s="20">
        <f t="shared" si="5"/>
        <v>55</v>
      </c>
    </row>
    <row r="63" spans="1:17" ht="18" customHeight="1">
      <c r="A63" s="19">
        <v>57</v>
      </c>
      <c r="B63" s="2" t="s">
        <v>1108</v>
      </c>
      <c r="C63" s="1">
        <v>311260874</v>
      </c>
      <c r="D63" s="3" t="s">
        <v>1109</v>
      </c>
      <c r="E63" s="1" t="s">
        <v>353</v>
      </c>
      <c r="F63" s="10" t="s">
        <v>1024</v>
      </c>
      <c r="G63" s="2">
        <v>37</v>
      </c>
      <c r="H63" s="8"/>
      <c r="I63" s="8"/>
      <c r="J63" s="8"/>
      <c r="K63" s="8"/>
      <c r="L63" s="8"/>
      <c r="M63" s="8"/>
      <c r="N63" s="8"/>
      <c r="O63" s="1">
        <f t="shared" si="3"/>
        <v>0</v>
      </c>
      <c r="P63" s="14">
        <f t="shared" si="4"/>
        <v>0</v>
      </c>
      <c r="Q63" s="20">
        <f t="shared" si="5"/>
        <v>55</v>
      </c>
    </row>
    <row r="64" spans="1:17" ht="18" customHeight="1">
      <c r="A64" s="19">
        <v>58</v>
      </c>
      <c r="B64" s="2" t="s">
        <v>1116</v>
      </c>
      <c r="C64" s="1">
        <v>311260878</v>
      </c>
      <c r="D64" s="3" t="s">
        <v>89</v>
      </c>
      <c r="E64" s="1" t="s">
        <v>75</v>
      </c>
      <c r="F64" s="10" t="s">
        <v>1024</v>
      </c>
      <c r="G64" s="2">
        <v>37</v>
      </c>
      <c r="H64" s="8"/>
      <c r="I64" s="8"/>
      <c r="J64" s="8"/>
      <c r="K64" s="8"/>
      <c r="L64" s="8"/>
      <c r="M64" s="8"/>
      <c r="N64" s="8"/>
      <c r="O64" s="1">
        <f t="shared" si="3"/>
        <v>0</v>
      </c>
      <c r="P64" s="14">
        <f t="shared" si="4"/>
        <v>0</v>
      </c>
      <c r="Q64" s="20">
        <f t="shared" si="5"/>
        <v>55</v>
      </c>
    </row>
    <row r="65" spans="1:17" ht="18" customHeight="1">
      <c r="A65" s="19">
        <v>59</v>
      </c>
      <c r="B65" s="28" t="s">
        <v>1127</v>
      </c>
      <c r="C65" s="29">
        <v>311260884</v>
      </c>
      <c r="D65" s="30" t="s">
        <v>1128</v>
      </c>
      <c r="E65" s="29" t="s">
        <v>85</v>
      </c>
      <c r="F65" s="31" t="s">
        <v>1024</v>
      </c>
      <c r="G65" s="28">
        <v>37</v>
      </c>
      <c r="H65" s="40"/>
      <c r="I65" s="40"/>
      <c r="J65" s="40"/>
      <c r="K65" s="40"/>
      <c r="L65" s="40"/>
      <c r="M65" s="40"/>
      <c r="N65" s="40"/>
      <c r="O65" s="29">
        <f t="shared" si="3"/>
        <v>0</v>
      </c>
      <c r="P65" s="41">
        <f t="shared" si="4"/>
        <v>0</v>
      </c>
      <c r="Q65" s="33">
        <f t="shared" si="5"/>
        <v>55</v>
      </c>
    </row>
  </sheetData>
  <mergeCells count="4">
    <mergeCell ref="A1:P1"/>
    <mergeCell ref="A2:P2"/>
    <mergeCell ref="A3:P3"/>
    <mergeCell ref="A5:B5"/>
  </mergeCells>
  <conditionalFormatting sqref="H7:N7">
    <cfRule type="expression" dxfId="9241" priority="235">
      <formula>5</formula>
    </cfRule>
    <cfRule type="cellIs" dxfId="9240" priority="236" operator="lessThan">
      <formula>5</formula>
    </cfRule>
  </conditionalFormatting>
  <conditionalFormatting sqref="H7:N7">
    <cfRule type="cellIs" dxfId="9239" priority="234" operator="lessThan">
      <formula>50</formula>
    </cfRule>
  </conditionalFormatting>
  <conditionalFormatting sqref="P7">
    <cfRule type="cellIs" dxfId="9238" priority="233" operator="lessThan">
      <formula>50</formula>
    </cfRule>
  </conditionalFormatting>
  <conditionalFormatting sqref="H8:N8">
    <cfRule type="expression" dxfId="9237" priority="231">
      <formula>5</formula>
    </cfRule>
    <cfRule type="cellIs" dxfId="9236" priority="232" operator="lessThan">
      <formula>5</formula>
    </cfRule>
  </conditionalFormatting>
  <conditionalFormatting sqref="H8:N8">
    <cfRule type="cellIs" dxfId="9235" priority="230" operator="lessThan">
      <formula>50</formula>
    </cfRule>
  </conditionalFormatting>
  <conditionalFormatting sqref="P8">
    <cfRule type="cellIs" dxfId="9234" priority="229" operator="lessThan">
      <formula>50</formula>
    </cfRule>
  </conditionalFormatting>
  <conditionalFormatting sqref="H9:N9">
    <cfRule type="expression" dxfId="9233" priority="227">
      <formula>5</formula>
    </cfRule>
    <cfRule type="cellIs" dxfId="9232" priority="228" operator="lessThan">
      <formula>5</formula>
    </cfRule>
  </conditionalFormatting>
  <conditionalFormatting sqref="H9:N9">
    <cfRule type="cellIs" dxfId="9231" priority="226" operator="lessThan">
      <formula>50</formula>
    </cfRule>
  </conditionalFormatting>
  <conditionalFormatting sqref="P9">
    <cfRule type="cellIs" dxfId="9230" priority="225" operator="lessThan">
      <formula>50</formula>
    </cfRule>
  </conditionalFormatting>
  <conditionalFormatting sqref="H10:N10">
    <cfRule type="expression" dxfId="9229" priority="223">
      <formula>5</formula>
    </cfRule>
    <cfRule type="cellIs" dxfId="9228" priority="224" operator="lessThan">
      <formula>5</formula>
    </cfRule>
  </conditionalFormatting>
  <conditionalFormatting sqref="H10:N10">
    <cfRule type="cellIs" dxfId="9227" priority="222" operator="lessThan">
      <formula>50</formula>
    </cfRule>
  </conditionalFormatting>
  <conditionalFormatting sqref="P10">
    <cfRule type="cellIs" dxfId="9226" priority="221" operator="lessThan">
      <formula>50</formula>
    </cfRule>
  </conditionalFormatting>
  <conditionalFormatting sqref="H11:N11">
    <cfRule type="expression" dxfId="9225" priority="219">
      <formula>5</formula>
    </cfRule>
    <cfRule type="cellIs" dxfId="9224" priority="220" operator="lessThan">
      <formula>5</formula>
    </cfRule>
  </conditionalFormatting>
  <conditionalFormatting sqref="H11:N11">
    <cfRule type="cellIs" dxfId="9223" priority="218" operator="lessThan">
      <formula>50</formula>
    </cfRule>
  </conditionalFormatting>
  <conditionalFormatting sqref="P11">
    <cfRule type="cellIs" dxfId="9222" priority="217" operator="lessThan">
      <formula>50</formula>
    </cfRule>
  </conditionalFormatting>
  <conditionalFormatting sqref="H12:N12">
    <cfRule type="expression" dxfId="9221" priority="215">
      <formula>5</formula>
    </cfRule>
    <cfRule type="cellIs" dxfId="9220" priority="216" operator="lessThan">
      <formula>5</formula>
    </cfRule>
  </conditionalFormatting>
  <conditionalFormatting sqref="H12:N12">
    <cfRule type="cellIs" dxfId="9219" priority="214" operator="lessThan">
      <formula>50</formula>
    </cfRule>
  </conditionalFormatting>
  <conditionalFormatting sqref="P12">
    <cfRule type="cellIs" dxfId="9218" priority="213" operator="lessThan">
      <formula>50</formula>
    </cfRule>
  </conditionalFormatting>
  <conditionalFormatting sqref="H13:N13">
    <cfRule type="expression" dxfId="9217" priority="211">
      <formula>5</formula>
    </cfRule>
    <cfRule type="cellIs" dxfId="9216" priority="212" operator="lessThan">
      <formula>5</formula>
    </cfRule>
  </conditionalFormatting>
  <conditionalFormatting sqref="H13:N13">
    <cfRule type="cellIs" dxfId="9215" priority="210" operator="lessThan">
      <formula>50</formula>
    </cfRule>
  </conditionalFormatting>
  <conditionalFormatting sqref="P13">
    <cfRule type="cellIs" dxfId="9214" priority="209" operator="lessThan">
      <formula>50</formula>
    </cfRule>
  </conditionalFormatting>
  <conditionalFormatting sqref="H14:N14">
    <cfRule type="expression" dxfId="9213" priority="207">
      <formula>5</formula>
    </cfRule>
    <cfRule type="cellIs" dxfId="9212" priority="208" operator="lessThan">
      <formula>5</formula>
    </cfRule>
  </conditionalFormatting>
  <conditionalFormatting sqref="H14:N14">
    <cfRule type="cellIs" dxfId="9211" priority="206" operator="lessThan">
      <formula>50</formula>
    </cfRule>
  </conditionalFormatting>
  <conditionalFormatting sqref="P14">
    <cfRule type="cellIs" dxfId="9210" priority="205" operator="lessThan">
      <formula>50</formula>
    </cfRule>
  </conditionalFormatting>
  <conditionalFormatting sqref="H15:N15">
    <cfRule type="expression" dxfId="9209" priority="203">
      <formula>5</formula>
    </cfRule>
    <cfRule type="cellIs" dxfId="9208" priority="204" operator="lessThan">
      <formula>5</formula>
    </cfRule>
  </conditionalFormatting>
  <conditionalFormatting sqref="H15:N15">
    <cfRule type="cellIs" dxfId="9207" priority="202" operator="lessThan">
      <formula>50</formula>
    </cfRule>
  </conditionalFormatting>
  <conditionalFormatting sqref="P15">
    <cfRule type="cellIs" dxfId="9206" priority="201" operator="lessThan">
      <formula>50</formula>
    </cfRule>
  </conditionalFormatting>
  <conditionalFormatting sqref="H16:N16">
    <cfRule type="expression" dxfId="9205" priority="199">
      <formula>5</formula>
    </cfRule>
    <cfRule type="cellIs" dxfId="9204" priority="200" operator="lessThan">
      <formula>5</formula>
    </cfRule>
  </conditionalFormatting>
  <conditionalFormatting sqref="H16:N16">
    <cfRule type="cellIs" dxfId="9203" priority="198" operator="lessThan">
      <formula>50</formula>
    </cfRule>
  </conditionalFormatting>
  <conditionalFormatting sqref="P16">
    <cfRule type="cellIs" dxfId="9202" priority="197" operator="lessThan">
      <formula>50</formula>
    </cfRule>
  </conditionalFormatting>
  <conditionalFormatting sqref="H17:N17">
    <cfRule type="expression" dxfId="9201" priority="195">
      <formula>5</formula>
    </cfRule>
    <cfRule type="cellIs" dxfId="9200" priority="196" operator="lessThan">
      <formula>5</formula>
    </cfRule>
  </conditionalFormatting>
  <conditionalFormatting sqref="H17:N17">
    <cfRule type="cellIs" dxfId="9199" priority="194" operator="lessThan">
      <formula>50</formula>
    </cfRule>
  </conditionalFormatting>
  <conditionalFormatting sqref="P17">
    <cfRule type="cellIs" dxfId="9198" priority="193" operator="lessThan">
      <formula>50</formula>
    </cfRule>
  </conditionalFormatting>
  <conditionalFormatting sqref="H18:N18">
    <cfRule type="expression" dxfId="9197" priority="191">
      <formula>5</formula>
    </cfRule>
    <cfRule type="cellIs" dxfId="9196" priority="192" operator="lessThan">
      <formula>5</formula>
    </cfRule>
  </conditionalFormatting>
  <conditionalFormatting sqref="H18:N18">
    <cfRule type="cellIs" dxfId="9195" priority="190" operator="lessThan">
      <formula>50</formula>
    </cfRule>
  </conditionalFormatting>
  <conditionalFormatting sqref="P18">
    <cfRule type="cellIs" dxfId="9194" priority="189" operator="lessThan">
      <formula>50</formula>
    </cfRule>
  </conditionalFormatting>
  <conditionalFormatting sqref="H19:N19">
    <cfRule type="expression" dxfId="9193" priority="187">
      <formula>5</formula>
    </cfRule>
    <cfRule type="cellIs" dxfId="9192" priority="188" operator="lessThan">
      <formula>5</formula>
    </cfRule>
  </conditionalFormatting>
  <conditionalFormatting sqref="H19:N19">
    <cfRule type="cellIs" dxfId="9191" priority="186" operator="lessThan">
      <formula>50</formula>
    </cfRule>
  </conditionalFormatting>
  <conditionalFormatting sqref="P19">
    <cfRule type="cellIs" dxfId="9190" priority="185" operator="lessThan">
      <formula>50</formula>
    </cfRule>
  </conditionalFormatting>
  <conditionalFormatting sqref="H20:N20">
    <cfRule type="expression" dxfId="9189" priority="183">
      <formula>5</formula>
    </cfRule>
    <cfRule type="cellIs" dxfId="9188" priority="184" operator="lessThan">
      <formula>5</formula>
    </cfRule>
  </conditionalFormatting>
  <conditionalFormatting sqref="H20:N20">
    <cfRule type="cellIs" dxfId="9187" priority="182" operator="lessThan">
      <formula>50</formula>
    </cfRule>
  </conditionalFormatting>
  <conditionalFormatting sqref="P20">
    <cfRule type="cellIs" dxfId="9186" priority="181" operator="lessThan">
      <formula>50</formula>
    </cfRule>
  </conditionalFormatting>
  <conditionalFormatting sqref="H21:N21">
    <cfRule type="expression" dxfId="9185" priority="179">
      <formula>5</formula>
    </cfRule>
    <cfRule type="cellIs" dxfId="9184" priority="180" operator="lessThan">
      <formula>5</formula>
    </cfRule>
  </conditionalFormatting>
  <conditionalFormatting sqref="H21:N21">
    <cfRule type="cellIs" dxfId="9183" priority="178" operator="lessThan">
      <formula>50</formula>
    </cfRule>
  </conditionalFormatting>
  <conditionalFormatting sqref="P21">
    <cfRule type="cellIs" dxfId="9182" priority="177" operator="lessThan">
      <formula>50</formula>
    </cfRule>
  </conditionalFormatting>
  <conditionalFormatting sqref="H22:N22">
    <cfRule type="expression" dxfId="9181" priority="175">
      <formula>5</formula>
    </cfRule>
    <cfRule type="cellIs" dxfId="9180" priority="176" operator="lessThan">
      <formula>5</formula>
    </cfRule>
  </conditionalFormatting>
  <conditionalFormatting sqref="H22:N22">
    <cfRule type="cellIs" dxfId="9179" priority="174" operator="lessThan">
      <formula>50</formula>
    </cfRule>
  </conditionalFormatting>
  <conditionalFormatting sqref="P22">
    <cfRule type="cellIs" dxfId="9178" priority="173" operator="lessThan">
      <formula>50</formula>
    </cfRule>
  </conditionalFormatting>
  <conditionalFormatting sqref="H23:N23">
    <cfRule type="expression" dxfId="9177" priority="171">
      <formula>5</formula>
    </cfRule>
    <cfRule type="cellIs" dxfId="9176" priority="172" operator="lessThan">
      <formula>5</formula>
    </cfRule>
  </conditionalFormatting>
  <conditionalFormatting sqref="H23:N23">
    <cfRule type="cellIs" dxfId="9175" priority="170" operator="lessThan">
      <formula>50</formula>
    </cfRule>
  </conditionalFormatting>
  <conditionalFormatting sqref="P23">
    <cfRule type="cellIs" dxfId="9174" priority="169" operator="lessThan">
      <formula>50</formula>
    </cfRule>
  </conditionalFormatting>
  <conditionalFormatting sqref="H24:N24">
    <cfRule type="expression" dxfId="9173" priority="167">
      <formula>5</formula>
    </cfRule>
    <cfRule type="cellIs" dxfId="9172" priority="168" operator="lessThan">
      <formula>5</formula>
    </cfRule>
  </conditionalFormatting>
  <conditionalFormatting sqref="H24:N24">
    <cfRule type="cellIs" dxfId="9171" priority="166" operator="lessThan">
      <formula>50</formula>
    </cfRule>
  </conditionalFormatting>
  <conditionalFormatting sqref="P24">
    <cfRule type="cellIs" dxfId="9170" priority="165" operator="lessThan">
      <formula>50</formula>
    </cfRule>
  </conditionalFormatting>
  <conditionalFormatting sqref="H25:N25">
    <cfRule type="expression" dxfId="9169" priority="163">
      <formula>5</formula>
    </cfRule>
    <cfRule type="cellIs" dxfId="9168" priority="164" operator="lessThan">
      <formula>5</formula>
    </cfRule>
  </conditionalFormatting>
  <conditionalFormatting sqref="H25:N25">
    <cfRule type="cellIs" dxfId="9167" priority="162" operator="lessThan">
      <formula>50</formula>
    </cfRule>
  </conditionalFormatting>
  <conditionalFormatting sqref="P25">
    <cfRule type="cellIs" dxfId="9166" priority="161" operator="lessThan">
      <formula>50</formula>
    </cfRule>
  </conditionalFormatting>
  <conditionalFormatting sqref="H26:N26">
    <cfRule type="expression" dxfId="9165" priority="159">
      <formula>5</formula>
    </cfRule>
    <cfRule type="cellIs" dxfId="9164" priority="160" operator="lessThan">
      <formula>5</formula>
    </cfRule>
  </conditionalFormatting>
  <conditionalFormatting sqref="H26:N26">
    <cfRule type="cellIs" dxfId="9163" priority="158" operator="lessThan">
      <formula>50</formula>
    </cfRule>
  </conditionalFormatting>
  <conditionalFormatting sqref="P26">
    <cfRule type="cellIs" dxfId="9162" priority="157" operator="lessThan">
      <formula>50</formula>
    </cfRule>
  </conditionalFormatting>
  <conditionalFormatting sqref="H27:N27">
    <cfRule type="expression" dxfId="9161" priority="155">
      <formula>5</formula>
    </cfRule>
    <cfRule type="cellIs" dxfId="9160" priority="156" operator="lessThan">
      <formula>5</formula>
    </cfRule>
  </conditionalFormatting>
  <conditionalFormatting sqref="H27:N27">
    <cfRule type="cellIs" dxfId="9159" priority="154" operator="lessThan">
      <formula>50</formula>
    </cfRule>
  </conditionalFormatting>
  <conditionalFormatting sqref="P27">
    <cfRule type="cellIs" dxfId="9158" priority="153" operator="lessThan">
      <formula>50</formula>
    </cfRule>
  </conditionalFormatting>
  <conditionalFormatting sqref="H28:N28">
    <cfRule type="expression" dxfId="9157" priority="151">
      <formula>5</formula>
    </cfRule>
    <cfRule type="cellIs" dxfId="9156" priority="152" operator="lessThan">
      <formula>5</formula>
    </cfRule>
  </conditionalFormatting>
  <conditionalFormatting sqref="H28:N28">
    <cfRule type="cellIs" dxfId="9155" priority="150" operator="lessThan">
      <formula>50</formula>
    </cfRule>
  </conditionalFormatting>
  <conditionalFormatting sqref="P28">
    <cfRule type="cellIs" dxfId="9154" priority="149" operator="lessThan">
      <formula>50</formula>
    </cfRule>
  </conditionalFormatting>
  <conditionalFormatting sqref="H29:N29">
    <cfRule type="expression" dxfId="9153" priority="147">
      <formula>5</formula>
    </cfRule>
    <cfRule type="cellIs" dxfId="9152" priority="148" operator="lessThan">
      <formula>5</formula>
    </cfRule>
  </conditionalFormatting>
  <conditionalFormatting sqref="H29:N29">
    <cfRule type="cellIs" dxfId="9151" priority="146" operator="lessThan">
      <formula>50</formula>
    </cfRule>
  </conditionalFormatting>
  <conditionalFormatting sqref="P29">
    <cfRule type="cellIs" dxfId="9150" priority="145" operator="lessThan">
      <formula>50</formula>
    </cfRule>
  </conditionalFormatting>
  <conditionalFormatting sqref="H30:N30">
    <cfRule type="expression" dxfId="9149" priority="143">
      <formula>5</formula>
    </cfRule>
    <cfRule type="cellIs" dxfId="9148" priority="144" operator="lessThan">
      <formula>5</formula>
    </cfRule>
  </conditionalFormatting>
  <conditionalFormatting sqref="H30:N30">
    <cfRule type="cellIs" dxfId="9147" priority="142" operator="lessThan">
      <formula>50</formula>
    </cfRule>
  </conditionalFormatting>
  <conditionalFormatting sqref="P30">
    <cfRule type="cellIs" dxfId="9146" priority="141" operator="lessThan">
      <formula>50</formula>
    </cfRule>
  </conditionalFormatting>
  <conditionalFormatting sqref="H31:N31">
    <cfRule type="expression" dxfId="9145" priority="139">
      <formula>5</formula>
    </cfRule>
    <cfRule type="cellIs" dxfId="9144" priority="140" operator="lessThan">
      <formula>5</formula>
    </cfRule>
  </conditionalFormatting>
  <conditionalFormatting sqref="H31:N31">
    <cfRule type="cellIs" dxfId="9143" priority="138" operator="lessThan">
      <formula>50</formula>
    </cfRule>
  </conditionalFormatting>
  <conditionalFormatting sqref="P31">
    <cfRule type="cellIs" dxfId="9142" priority="137" operator="lessThan">
      <formula>50</formula>
    </cfRule>
  </conditionalFormatting>
  <conditionalFormatting sqref="H32:N32">
    <cfRule type="expression" dxfId="9141" priority="135">
      <formula>5</formula>
    </cfRule>
    <cfRule type="cellIs" dxfId="9140" priority="136" operator="lessThan">
      <formula>5</formula>
    </cfRule>
  </conditionalFormatting>
  <conditionalFormatting sqref="H32:N32">
    <cfRule type="cellIs" dxfId="9139" priority="134" operator="lessThan">
      <formula>50</formula>
    </cfRule>
  </conditionalFormatting>
  <conditionalFormatting sqref="P32">
    <cfRule type="cellIs" dxfId="9138" priority="133" operator="lessThan">
      <formula>50</formula>
    </cfRule>
  </conditionalFormatting>
  <conditionalFormatting sqref="H33:N33">
    <cfRule type="expression" dxfId="9137" priority="131">
      <formula>5</formula>
    </cfRule>
    <cfRule type="cellIs" dxfId="9136" priority="132" operator="lessThan">
      <formula>5</formula>
    </cfRule>
  </conditionalFormatting>
  <conditionalFormatting sqref="H33:N33">
    <cfRule type="cellIs" dxfId="9135" priority="130" operator="lessThan">
      <formula>50</formula>
    </cfRule>
  </conditionalFormatting>
  <conditionalFormatting sqref="P33">
    <cfRule type="cellIs" dxfId="9134" priority="129" operator="lessThan">
      <formula>50</formula>
    </cfRule>
  </conditionalFormatting>
  <conditionalFormatting sqref="H34:N34">
    <cfRule type="expression" dxfId="9133" priority="127">
      <formula>5</formula>
    </cfRule>
    <cfRule type="cellIs" dxfId="9132" priority="128" operator="lessThan">
      <formula>5</formula>
    </cfRule>
  </conditionalFormatting>
  <conditionalFormatting sqref="H34:N34">
    <cfRule type="cellIs" dxfId="9131" priority="126" operator="lessThan">
      <formula>50</formula>
    </cfRule>
  </conditionalFormatting>
  <conditionalFormatting sqref="P34">
    <cfRule type="cellIs" dxfId="9130" priority="125" operator="lessThan">
      <formula>50</formula>
    </cfRule>
  </conditionalFormatting>
  <conditionalFormatting sqref="H35:N35">
    <cfRule type="expression" dxfId="9129" priority="123">
      <formula>5</formula>
    </cfRule>
    <cfRule type="cellIs" dxfId="9128" priority="124" operator="lessThan">
      <formula>5</formula>
    </cfRule>
  </conditionalFormatting>
  <conditionalFormatting sqref="H35:N35">
    <cfRule type="cellIs" dxfId="9127" priority="122" operator="lessThan">
      <formula>50</formula>
    </cfRule>
  </conditionalFormatting>
  <conditionalFormatting sqref="P35">
    <cfRule type="cellIs" dxfId="9126" priority="121" operator="lessThan">
      <formula>50</formula>
    </cfRule>
  </conditionalFormatting>
  <conditionalFormatting sqref="H36:N36">
    <cfRule type="expression" dxfId="9125" priority="119">
      <formula>5</formula>
    </cfRule>
    <cfRule type="cellIs" dxfId="9124" priority="120" operator="lessThan">
      <formula>5</formula>
    </cfRule>
  </conditionalFormatting>
  <conditionalFormatting sqref="H36:N36">
    <cfRule type="cellIs" dxfId="9123" priority="118" operator="lessThan">
      <formula>50</formula>
    </cfRule>
  </conditionalFormatting>
  <conditionalFormatting sqref="P36">
    <cfRule type="cellIs" dxfId="9122" priority="117" operator="lessThan">
      <formula>50</formula>
    </cfRule>
  </conditionalFormatting>
  <conditionalFormatting sqref="H37:N37">
    <cfRule type="expression" dxfId="9121" priority="115">
      <formula>5</formula>
    </cfRule>
    <cfRule type="cellIs" dxfId="9120" priority="116" operator="lessThan">
      <formula>5</formula>
    </cfRule>
  </conditionalFormatting>
  <conditionalFormatting sqref="H37:N37">
    <cfRule type="cellIs" dxfId="9119" priority="114" operator="lessThan">
      <formula>50</formula>
    </cfRule>
  </conditionalFormatting>
  <conditionalFormatting sqref="P37">
    <cfRule type="cellIs" dxfId="9118" priority="113" operator="lessThan">
      <formula>50</formula>
    </cfRule>
  </conditionalFormatting>
  <conditionalFormatting sqref="H38:N38">
    <cfRule type="expression" dxfId="9117" priority="111">
      <formula>5</formula>
    </cfRule>
    <cfRule type="cellIs" dxfId="9116" priority="112" operator="lessThan">
      <formula>5</formula>
    </cfRule>
  </conditionalFormatting>
  <conditionalFormatting sqref="H38:N38">
    <cfRule type="cellIs" dxfId="9115" priority="110" operator="lessThan">
      <formula>50</formula>
    </cfRule>
  </conditionalFormatting>
  <conditionalFormatting sqref="P38">
    <cfRule type="cellIs" dxfId="9114" priority="109" operator="lessThan">
      <formula>50</formula>
    </cfRule>
  </conditionalFormatting>
  <conditionalFormatting sqref="H39:N39">
    <cfRule type="expression" dxfId="9113" priority="107">
      <formula>5</formula>
    </cfRule>
    <cfRule type="cellIs" dxfId="9112" priority="108" operator="lessThan">
      <formula>5</formula>
    </cfRule>
  </conditionalFormatting>
  <conditionalFormatting sqref="H39:N39">
    <cfRule type="cellIs" dxfId="9111" priority="106" operator="lessThan">
      <formula>50</formula>
    </cfRule>
  </conditionalFormatting>
  <conditionalFormatting sqref="P39">
    <cfRule type="cellIs" dxfId="9110" priority="105" operator="lessThan">
      <formula>50</formula>
    </cfRule>
  </conditionalFormatting>
  <conditionalFormatting sqref="H40:N40">
    <cfRule type="expression" dxfId="9109" priority="103">
      <formula>5</formula>
    </cfRule>
    <cfRule type="cellIs" dxfId="9108" priority="104" operator="lessThan">
      <formula>5</formula>
    </cfRule>
  </conditionalFormatting>
  <conditionalFormatting sqref="H40:N40">
    <cfRule type="cellIs" dxfId="9107" priority="102" operator="lessThan">
      <formula>50</formula>
    </cfRule>
  </conditionalFormatting>
  <conditionalFormatting sqref="P40">
    <cfRule type="cellIs" dxfId="9106" priority="101" operator="lessThan">
      <formula>50</formula>
    </cfRule>
  </conditionalFormatting>
  <conditionalFormatting sqref="H41:N41">
    <cfRule type="expression" dxfId="9105" priority="99">
      <formula>5</formula>
    </cfRule>
    <cfRule type="cellIs" dxfId="9104" priority="100" operator="lessThan">
      <formula>5</formula>
    </cfRule>
  </conditionalFormatting>
  <conditionalFormatting sqref="H41:N41">
    <cfRule type="cellIs" dxfId="9103" priority="98" operator="lessThan">
      <formula>50</formula>
    </cfRule>
  </conditionalFormatting>
  <conditionalFormatting sqref="P41">
    <cfRule type="cellIs" dxfId="9102" priority="97" operator="lessThan">
      <formula>50</formula>
    </cfRule>
  </conditionalFormatting>
  <conditionalFormatting sqref="H42:N42">
    <cfRule type="expression" dxfId="9101" priority="95">
      <formula>5</formula>
    </cfRule>
    <cfRule type="cellIs" dxfId="9100" priority="96" operator="lessThan">
      <formula>5</formula>
    </cfRule>
  </conditionalFormatting>
  <conditionalFormatting sqref="H42:N42">
    <cfRule type="cellIs" dxfId="9099" priority="94" operator="lessThan">
      <formula>50</formula>
    </cfRule>
  </conditionalFormatting>
  <conditionalFormatting sqref="P42">
    <cfRule type="cellIs" dxfId="9098" priority="93" operator="lessThan">
      <formula>50</formula>
    </cfRule>
  </conditionalFormatting>
  <conditionalFormatting sqref="H43:N43">
    <cfRule type="expression" dxfId="9097" priority="91">
      <formula>5</formula>
    </cfRule>
    <cfRule type="cellIs" dxfId="9096" priority="92" operator="lessThan">
      <formula>5</formula>
    </cfRule>
  </conditionalFormatting>
  <conditionalFormatting sqref="H43:N43">
    <cfRule type="cellIs" dxfId="9095" priority="90" operator="lessThan">
      <formula>50</formula>
    </cfRule>
  </conditionalFormatting>
  <conditionalFormatting sqref="P43">
    <cfRule type="cellIs" dxfId="9094" priority="89" operator="lessThan">
      <formula>50</formula>
    </cfRule>
  </conditionalFormatting>
  <conditionalFormatting sqref="H44:N44">
    <cfRule type="expression" dxfId="9093" priority="87">
      <formula>5</formula>
    </cfRule>
    <cfRule type="cellIs" dxfId="9092" priority="88" operator="lessThan">
      <formula>5</formula>
    </cfRule>
  </conditionalFormatting>
  <conditionalFormatting sqref="H44:N44">
    <cfRule type="cellIs" dxfId="9091" priority="86" operator="lessThan">
      <formula>50</formula>
    </cfRule>
  </conditionalFormatting>
  <conditionalFormatting sqref="P44">
    <cfRule type="cellIs" dxfId="9090" priority="85" operator="lessThan">
      <formula>50</formula>
    </cfRule>
  </conditionalFormatting>
  <conditionalFormatting sqref="H45:N45">
    <cfRule type="expression" dxfId="9089" priority="83">
      <formula>5</formula>
    </cfRule>
    <cfRule type="cellIs" dxfId="9088" priority="84" operator="lessThan">
      <formula>5</formula>
    </cfRule>
  </conditionalFormatting>
  <conditionalFormatting sqref="H45:N45">
    <cfRule type="cellIs" dxfId="9087" priority="82" operator="lessThan">
      <formula>50</formula>
    </cfRule>
  </conditionalFormatting>
  <conditionalFormatting sqref="P45">
    <cfRule type="cellIs" dxfId="9086" priority="81" operator="lessThan">
      <formula>50</formula>
    </cfRule>
  </conditionalFormatting>
  <conditionalFormatting sqref="H46:N46">
    <cfRule type="expression" dxfId="9085" priority="79">
      <formula>5</formula>
    </cfRule>
    <cfRule type="cellIs" dxfId="9084" priority="80" operator="lessThan">
      <formula>5</formula>
    </cfRule>
  </conditionalFormatting>
  <conditionalFormatting sqref="H46:N46">
    <cfRule type="cellIs" dxfId="9083" priority="78" operator="lessThan">
      <formula>50</formula>
    </cfRule>
  </conditionalFormatting>
  <conditionalFormatting sqref="P46">
    <cfRule type="cellIs" dxfId="9082" priority="77" operator="lessThan">
      <formula>50</formula>
    </cfRule>
  </conditionalFormatting>
  <conditionalFormatting sqref="H47:N47">
    <cfRule type="expression" dxfId="9081" priority="75">
      <formula>5</formula>
    </cfRule>
    <cfRule type="cellIs" dxfId="9080" priority="76" operator="lessThan">
      <formula>5</formula>
    </cfRule>
  </conditionalFormatting>
  <conditionalFormatting sqref="H47:N47">
    <cfRule type="cellIs" dxfId="9079" priority="74" operator="lessThan">
      <formula>50</formula>
    </cfRule>
  </conditionalFormatting>
  <conditionalFormatting sqref="P47">
    <cfRule type="cellIs" dxfId="9078" priority="73" operator="lessThan">
      <formula>50</formula>
    </cfRule>
  </conditionalFormatting>
  <conditionalFormatting sqref="H48:N48">
    <cfRule type="expression" dxfId="9077" priority="71">
      <formula>5</formula>
    </cfRule>
    <cfRule type="cellIs" dxfId="9076" priority="72" operator="lessThan">
      <formula>5</formula>
    </cfRule>
  </conditionalFormatting>
  <conditionalFormatting sqref="H48:N48">
    <cfRule type="cellIs" dxfId="9075" priority="70" operator="lessThan">
      <formula>50</formula>
    </cfRule>
  </conditionalFormatting>
  <conditionalFormatting sqref="P48">
    <cfRule type="cellIs" dxfId="9074" priority="69" operator="lessThan">
      <formula>50</formula>
    </cfRule>
  </conditionalFormatting>
  <conditionalFormatting sqref="H49:N49">
    <cfRule type="expression" dxfId="9073" priority="67">
      <formula>5</formula>
    </cfRule>
    <cfRule type="cellIs" dxfId="9072" priority="68" operator="lessThan">
      <formula>5</formula>
    </cfRule>
  </conditionalFormatting>
  <conditionalFormatting sqref="H49:N49">
    <cfRule type="cellIs" dxfId="9071" priority="66" operator="lessThan">
      <formula>50</formula>
    </cfRule>
  </conditionalFormatting>
  <conditionalFormatting sqref="P49">
    <cfRule type="cellIs" dxfId="9070" priority="65" operator="lessThan">
      <formula>50</formula>
    </cfRule>
  </conditionalFormatting>
  <conditionalFormatting sqref="H50:N50">
    <cfRule type="expression" dxfId="9069" priority="63">
      <formula>5</formula>
    </cfRule>
    <cfRule type="cellIs" dxfId="9068" priority="64" operator="lessThan">
      <formula>5</formula>
    </cfRule>
  </conditionalFormatting>
  <conditionalFormatting sqref="H50:N50">
    <cfRule type="cellIs" dxfId="9067" priority="62" operator="lessThan">
      <formula>50</formula>
    </cfRule>
  </conditionalFormatting>
  <conditionalFormatting sqref="P50">
    <cfRule type="cellIs" dxfId="9066" priority="61" operator="lessThan">
      <formula>50</formula>
    </cfRule>
  </conditionalFormatting>
  <conditionalFormatting sqref="H51:N51">
    <cfRule type="expression" dxfId="9065" priority="59">
      <formula>5</formula>
    </cfRule>
    <cfRule type="cellIs" dxfId="9064" priority="60" operator="lessThan">
      <formula>5</formula>
    </cfRule>
  </conditionalFormatting>
  <conditionalFormatting sqref="H51:N51">
    <cfRule type="cellIs" dxfId="9063" priority="58" operator="lessThan">
      <formula>50</formula>
    </cfRule>
  </conditionalFormatting>
  <conditionalFormatting sqref="P51">
    <cfRule type="cellIs" dxfId="9062" priority="57" operator="lessThan">
      <formula>50</formula>
    </cfRule>
  </conditionalFormatting>
  <conditionalFormatting sqref="H52:N52">
    <cfRule type="expression" dxfId="9061" priority="55">
      <formula>5</formula>
    </cfRule>
    <cfRule type="cellIs" dxfId="9060" priority="56" operator="lessThan">
      <formula>5</formula>
    </cfRule>
  </conditionalFormatting>
  <conditionalFormatting sqref="H52:N52">
    <cfRule type="cellIs" dxfId="9059" priority="54" operator="lessThan">
      <formula>50</formula>
    </cfRule>
  </conditionalFormatting>
  <conditionalFormatting sqref="P52">
    <cfRule type="cellIs" dxfId="9058" priority="53" operator="lessThan">
      <formula>50</formula>
    </cfRule>
  </conditionalFormatting>
  <conditionalFormatting sqref="H53:N53">
    <cfRule type="expression" dxfId="9057" priority="51">
      <formula>5</formula>
    </cfRule>
    <cfRule type="cellIs" dxfId="9056" priority="52" operator="lessThan">
      <formula>5</formula>
    </cfRule>
  </conditionalFormatting>
  <conditionalFormatting sqref="H53:N53">
    <cfRule type="cellIs" dxfId="9055" priority="50" operator="lessThan">
      <formula>50</formula>
    </cfRule>
  </conditionalFormatting>
  <conditionalFormatting sqref="P53">
    <cfRule type="cellIs" dxfId="9054" priority="49" operator="lessThan">
      <formula>50</formula>
    </cfRule>
  </conditionalFormatting>
  <conditionalFormatting sqref="H54:N54">
    <cfRule type="expression" dxfId="9053" priority="47">
      <formula>5</formula>
    </cfRule>
    <cfRule type="cellIs" dxfId="9052" priority="48" operator="lessThan">
      <formula>5</formula>
    </cfRule>
  </conditionalFormatting>
  <conditionalFormatting sqref="H54:N54">
    <cfRule type="cellIs" dxfId="9051" priority="46" operator="lessThan">
      <formula>50</formula>
    </cfRule>
  </conditionalFormatting>
  <conditionalFormatting sqref="P54">
    <cfRule type="cellIs" dxfId="9050" priority="45" operator="lessThan">
      <formula>50</formula>
    </cfRule>
  </conditionalFormatting>
  <conditionalFormatting sqref="H55:N55">
    <cfRule type="expression" dxfId="9049" priority="43">
      <formula>5</formula>
    </cfRule>
    <cfRule type="cellIs" dxfId="9048" priority="44" operator="lessThan">
      <formula>5</formula>
    </cfRule>
  </conditionalFormatting>
  <conditionalFormatting sqref="H55:N55">
    <cfRule type="cellIs" dxfId="9047" priority="42" operator="lessThan">
      <formula>50</formula>
    </cfRule>
  </conditionalFormatting>
  <conditionalFormatting sqref="P55">
    <cfRule type="cellIs" dxfId="9046" priority="41" operator="lessThan">
      <formula>50</formula>
    </cfRule>
  </conditionalFormatting>
  <conditionalFormatting sqref="H56:N56">
    <cfRule type="expression" dxfId="9045" priority="39">
      <formula>5</formula>
    </cfRule>
    <cfRule type="cellIs" dxfId="9044" priority="40" operator="lessThan">
      <formula>5</formula>
    </cfRule>
  </conditionalFormatting>
  <conditionalFormatting sqref="H56:N56">
    <cfRule type="cellIs" dxfId="9043" priority="38" operator="lessThan">
      <formula>50</formula>
    </cfRule>
  </conditionalFormatting>
  <conditionalFormatting sqref="P56">
    <cfRule type="cellIs" dxfId="9042" priority="37" operator="lessThan">
      <formula>50</formula>
    </cfRule>
  </conditionalFormatting>
  <conditionalFormatting sqref="H57:N57">
    <cfRule type="expression" dxfId="9041" priority="35">
      <formula>5</formula>
    </cfRule>
    <cfRule type="cellIs" dxfId="9040" priority="36" operator="lessThan">
      <formula>5</formula>
    </cfRule>
  </conditionalFormatting>
  <conditionalFormatting sqref="H57:N57">
    <cfRule type="cellIs" dxfId="9039" priority="34" operator="lessThan">
      <formula>50</formula>
    </cfRule>
  </conditionalFormatting>
  <conditionalFormatting sqref="P57">
    <cfRule type="cellIs" dxfId="9038" priority="33" operator="lessThan">
      <formula>50</formula>
    </cfRule>
  </conditionalFormatting>
  <conditionalFormatting sqref="H58:N58">
    <cfRule type="expression" dxfId="9037" priority="31">
      <formula>5</formula>
    </cfRule>
    <cfRule type="cellIs" dxfId="9036" priority="32" operator="lessThan">
      <formula>5</formula>
    </cfRule>
  </conditionalFormatting>
  <conditionalFormatting sqref="H58:N58">
    <cfRule type="cellIs" dxfId="9035" priority="30" operator="lessThan">
      <formula>50</formula>
    </cfRule>
  </conditionalFormatting>
  <conditionalFormatting sqref="P58">
    <cfRule type="cellIs" dxfId="9034" priority="29" operator="lessThan">
      <formula>50</formula>
    </cfRule>
  </conditionalFormatting>
  <conditionalFormatting sqref="H59:N59">
    <cfRule type="expression" dxfId="9033" priority="27">
      <formula>5</formula>
    </cfRule>
    <cfRule type="cellIs" dxfId="9032" priority="28" operator="lessThan">
      <formula>5</formula>
    </cfRule>
  </conditionalFormatting>
  <conditionalFormatting sqref="H59:N59">
    <cfRule type="cellIs" dxfId="9031" priority="26" operator="lessThan">
      <formula>50</formula>
    </cfRule>
  </conditionalFormatting>
  <conditionalFormatting sqref="P59">
    <cfRule type="cellIs" dxfId="9030" priority="25" operator="lessThan">
      <formula>50</formula>
    </cfRule>
  </conditionalFormatting>
  <conditionalFormatting sqref="H60:N60">
    <cfRule type="expression" dxfId="9029" priority="23">
      <formula>5</formula>
    </cfRule>
    <cfRule type="cellIs" dxfId="9028" priority="24" operator="lessThan">
      <formula>5</formula>
    </cfRule>
  </conditionalFormatting>
  <conditionalFormatting sqref="H60:N60">
    <cfRule type="cellIs" dxfId="9027" priority="22" operator="lessThan">
      <formula>50</formula>
    </cfRule>
  </conditionalFormatting>
  <conditionalFormatting sqref="P60">
    <cfRule type="cellIs" dxfId="9026" priority="21" operator="lessThan">
      <formula>50</formula>
    </cfRule>
  </conditionalFormatting>
  <conditionalFormatting sqref="H61:N61">
    <cfRule type="expression" dxfId="9025" priority="19">
      <formula>5</formula>
    </cfRule>
    <cfRule type="cellIs" dxfId="9024" priority="20" operator="lessThan">
      <formula>5</formula>
    </cfRule>
  </conditionalFormatting>
  <conditionalFormatting sqref="H61:N61">
    <cfRule type="cellIs" dxfId="9023" priority="18" operator="lessThan">
      <formula>50</formula>
    </cfRule>
  </conditionalFormatting>
  <conditionalFormatting sqref="P61">
    <cfRule type="cellIs" dxfId="9022" priority="17" operator="lessThan">
      <formula>50</formula>
    </cfRule>
  </conditionalFormatting>
  <conditionalFormatting sqref="H62:N62">
    <cfRule type="expression" dxfId="9021" priority="15">
      <formula>5</formula>
    </cfRule>
    <cfRule type="cellIs" dxfId="9020" priority="16" operator="lessThan">
      <formula>5</formula>
    </cfRule>
  </conditionalFormatting>
  <conditionalFormatting sqref="H62:N62">
    <cfRule type="cellIs" dxfId="9019" priority="14" operator="lessThan">
      <formula>50</formula>
    </cfRule>
  </conditionalFormatting>
  <conditionalFormatting sqref="P62">
    <cfRule type="cellIs" dxfId="9018" priority="13" operator="lessThan">
      <formula>50</formula>
    </cfRule>
  </conditionalFormatting>
  <conditionalFormatting sqref="H63:N63">
    <cfRule type="expression" dxfId="9017" priority="11">
      <formula>5</formula>
    </cfRule>
    <cfRule type="cellIs" dxfId="9016" priority="12" operator="lessThan">
      <formula>5</formula>
    </cfRule>
  </conditionalFormatting>
  <conditionalFormatting sqref="H63:N63">
    <cfRule type="cellIs" dxfId="9015" priority="10" operator="lessThan">
      <formula>50</formula>
    </cfRule>
  </conditionalFormatting>
  <conditionalFormatting sqref="P63">
    <cfRule type="cellIs" dxfId="9014" priority="9" operator="lessThan">
      <formula>50</formula>
    </cfRule>
  </conditionalFormatting>
  <conditionalFormatting sqref="H64:N64">
    <cfRule type="expression" dxfId="9013" priority="7">
      <formula>5</formula>
    </cfRule>
    <cfRule type="cellIs" dxfId="9012" priority="8" operator="lessThan">
      <formula>5</formula>
    </cfRule>
  </conditionalFormatting>
  <conditionalFormatting sqref="H64:N64">
    <cfRule type="cellIs" dxfId="9011" priority="6" operator="lessThan">
      <formula>50</formula>
    </cfRule>
  </conditionalFormatting>
  <conditionalFormatting sqref="P64">
    <cfRule type="cellIs" dxfId="9010" priority="5" operator="lessThan">
      <formula>50</formula>
    </cfRule>
  </conditionalFormatting>
  <conditionalFormatting sqref="H65:N65">
    <cfRule type="expression" dxfId="9009" priority="3">
      <formula>5</formula>
    </cfRule>
    <cfRule type="cellIs" dxfId="9008" priority="4" operator="lessThan">
      <formula>5</formula>
    </cfRule>
  </conditionalFormatting>
  <conditionalFormatting sqref="H65:N65">
    <cfRule type="cellIs" dxfId="9007" priority="2" operator="lessThan">
      <formula>50</formula>
    </cfRule>
  </conditionalFormatting>
  <conditionalFormatting sqref="P65">
    <cfRule type="cellIs" dxfId="9006" priority="1" operator="lessThan">
      <formula>50</formula>
    </cfRule>
  </conditionalFormatting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0F83-869D-4680-93CD-A1C63F217897}">
  <sheetPr codeName="Sheet86"/>
  <dimension ref="A1:Q60"/>
  <sheetViews>
    <sheetView showGridLines="0" workbookViewId="0">
      <selection activeCell="D5" sqref="D5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7" width="4.7109375" customWidth="1"/>
  </cols>
  <sheetData>
    <row r="1" spans="1:17" ht="18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8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8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8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</row>
    <row r="5" spans="1:17" ht="18" customHeight="1">
      <c r="A5" s="57" t="s">
        <v>5326</v>
      </c>
      <c r="B5" s="57"/>
      <c r="C5" s="17"/>
      <c r="D5" s="17" t="s">
        <v>5329</v>
      </c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7" t="s">
        <v>0</v>
      </c>
      <c r="I6" s="38" t="s">
        <v>1</v>
      </c>
      <c r="J6" s="37" t="s">
        <v>2</v>
      </c>
      <c r="K6" s="37" t="s">
        <v>3</v>
      </c>
      <c r="L6" s="37" t="s">
        <v>4</v>
      </c>
      <c r="M6" s="37" t="s">
        <v>5</v>
      </c>
      <c r="N6" s="37" t="s">
        <v>6</v>
      </c>
      <c r="O6" s="37" t="s">
        <v>5320</v>
      </c>
      <c r="P6" s="37" t="s">
        <v>5321</v>
      </c>
      <c r="Q6" s="39" t="s">
        <v>5324</v>
      </c>
    </row>
    <row r="7" spans="1:17" ht="18" customHeight="1" thickTop="1">
      <c r="A7" s="19">
        <v>1</v>
      </c>
      <c r="B7" s="2" t="s">
        <v>506</v>
      </c>
      <c r="C7" s="1" t="s">
        <v>507</v>
      </c>
      <c r="D7" s="3" t="s">
        <v>508</v>
      </c>
      <c r="E7" s="1" t="s">
        <v>55</v>
      </c>
      <c r="F7" s="10" t="s">
        <v>502</v>
      </c>
      <c r="G7" s="2">
        <v>24</v>
      </c>
      <c r="H7" s="8">
        <v>84</v>
      </c>
      <c r="I7" s="8">
        <v>100</v>
      </c>
      <c r="J7" s="8">
        <v>92</v>
      </c>
      <c r="K7" s="8">
        <v>80</v>
      </c>
      <c r="L7" s="8">
        <v>92</v>
      </c>
      <c r="M7" s="8">
        <v>92</v>
      </c>
      <c r="N7" s="8">
        <v>68</v>
      </c>
      <c r="O7" s="1">
        <f t="shared" ref="O7:O38" si="0">SUBTOTAL(9,H7:N7)</f>
        <v>608</v>
      </c>
      <c r="P7" s="14">
        <f t="shared" ref="P7:P38" si="1">O7/8</f>
        <v>76</v>
      </c>
      <c r="Q7" s="20">
        <f t="shared" ref="Q7:Q38" si="2">RANK(P7,P$7:P$282,0)</f>
        <v>1</v>
      </c>
    </row>
    <row r="8" spans="1:17" ht="18" customHeight="1">
      <c r="A8" s="19">
        <v>2</v>
      </c>
      <c r="B8" s="2" t="s">
        <v>566</v>
      </c>
      <c r="C8" s="1">
        <v>311260237</v>
      </c>
      <c r="D8" s="3" t="s">
        <v>567</v>
      </c>
      <c r="E8" s="1" t="s">
        <v>69</v>
      </c>
      <c r="F8" s="10" t="s">
        <v>502</v>
      </c>
      <c r="G8" s="2">
        <v>25</v>
      </c>
      <c r="H8" s="8">
        <v>88</v>
      </c>
      <c r="I8" s="8">
        <v>92</v>
      </c>
      <c r="J8" s="8">
        <v>100</v>
      </c>
      <c r="K8" s="8">
        <v>85</v>
      </c>
      <c r="L8" s="8">
        <v>52</v>
      </c>
      <c r="M8" s="8">
        <v>84</v>
      </c>
      <c r="N8" s="8">
        <v>60</v>
      </c>
      <c r="O8" s="1">
        <f t="shared" si="0"/>
        <v>561</v>
      </c>
      <c r="P8" s="14">
        <f t="shared" si="1"/>
        <v>70.125</v>
      </c>
      <c r="Q8" s="20">
        <f t="shared" si="2"/>
        <v>2</v>
      </c>
    </row>
    <row r="9" spans="1:17" ht="18" customHeight="1">
      <c r="A9" s="19">
        <v>3</v>
      </c>
      <c r="B9" s="2" t="s">
        <v>545</v>
      </c>
      <c r="C9" s="1" t="s">
        <v>546</v>
      </c>
      <c r="D9" s="3" t="s">
        <v>547</v>
      </c>
      <c r="E9" s="1" t="s">
        <v>63</v>
      </c>
      <c r="F9" s="10" t="s">
        <v>502</v>
      </c>
      <c r="G9" s="2">
        <v>24</v>
      </c>
      <c r="H9" s="8">
        <v>100</v>
      </c>
      <c r="I9" s="8">
        <v>73</v>
      </c>
      <c r="J9" s="8">
        <v>100</v>
      </c>
      <c r="K9" s="8">
        <v>90</v>
      </c>
      <c r="L9" s="8">
        <v>52</v>
      </c>
      <c r="M9" s="8">
        <v>68</v>
      </c>
      <c r="N9" s="8">
        <v>52</v>
      </c>
      <c r="O9" s="1">
        <f t="shared" si="0"/>
        <v>535</v>
      </c>
      <c r="P9" s="14">
        <f t="shared" si="1"/>
        <v>66.875</v>
      </c>
      <c r="Q9" s="20">
        <f t="shared" si="2"/>
        <v>3</v>
      </c>
    </row>
    <row r="10" spans="1:17" ht="18" customHeight="1">
      <c r="A10" s="19">
        <v>4</v>
      </c>
      <c r="B10" s="2" t="s">
        <v>554</v>
      </c>
      <c r="C10" s="1" t="s">
        <v>555</v>
      </c>
      <c r="D10" s="3" t="s">
        <v>556</v>
      </c>
      <c r="E10" s="1" t="s">
        <v>66</v>
      </c>
      <c r="F10" s="10" t="s">
        <v>502</v>
      </c>
      <c r="G10" s="2">
        <v>24</v>
      </c>
      <c r="H10" s="8">
        <v>84</v>
      </c>
      <c r="I10" s="8">
        <v>85</v>
      </c>
      <c r="J10" s="8">
        <v>100</v>
      </c>
      <c r="K10" s="8">
        <v>90</v>
      </c>
      <c r="L10" s="8">
        <v>60</v>
      </c>
      <c r="M10" s="8">
        <v>44</v>
      </c>
      <c r="N10" s="8">
        <v>68</v>
      </c>
      <c r="O10" s="1">
        <f t="shared" si="0"/>
        <v>531</v>
      </c>
      <c r="P10" s="14">
        <f t="shared" si="1"/>
        <v>66.375</v>
      </c>
      <c r="Q10" s="20">
        <f t="shared" si="2"/>
        <v>4</v>
      </c>
    </row>
    <row r="11" spans="1:17" ht="18" customHeight="1">
      <c r="A11" s="19">
        <v>5</v>
      </c>
      <c r="B11" s="2" t="s">
        <v>503</v>
      </c>
      <c r="C11" s="1" t="s">
        <v>504</v>
      </c>
      <c r="D11" s="3" t="s">
        <v>505</v>
      </c>
      <c r="E11" s="1" t="s">
        <v>55</v>
      </c>
      <c r="F11" s="10" t="s">
        <v>502</v>
      </c>
      <c r="G11" s="2">
        <v>24</v>
      </c>
      <c r="H11" s="8">
        <v>92</v>
      </c>
      <c r="I11" s="8">
        <v>85</v>
      </c>
      <c r="J11" s="8">
        <v>100</v>
      </c>
      <c r="K11" s="8">
        <v>65</v>
      </c>
      <c r="L11" s="8">
        <v>84</v>
      </c>
      <c r="M11" s="8">
        <v>44</v>
      </c>
      <c r="N11" s="8">
        <v>60</v>
      </c>
      <c r="O11" s="1">
        <f t="shared" si="0"/>
        <v>530</v>
      </c>
      <c r="P11" s="14">
        <f t="shared" si="1"/>
        <v>66.25</v>
      </c>
      <c r="Q11" s="20">
        <f t="shared" si="2"/>
        <v>5</v>
      </c>
    </row>
    <row r="12" spans="1:17" ht="18" customHeight="1">
      <c r="A12" s="19">
        <v>6</v>
      </c>
      <c r="B12" s="2" t="s">
        <v>512</v>
      </c>
      <c r="C12" s="1" t="s">
        <v>513</v>
      </c>
      <c r="D12" s="3" t="s">
        <v>514</v>
      </c>
      <c r="E12" s="1" t="s">
        <v>57</v>
      </c>
      <c r="F12" s="10" t="s">
        <v>502</v>
      </c>
      <c r="G12" s="2">
        <v>24</v>
      </c>
      <c r="H12" s="8">
        <v>76</v>
      </c>
      <c r="I12" s="8">
        <v>85</v>
      </c>
      <c r="J12" s="8">
        <v>100</v>
      </c>
      <c r="K12" s="8">
        <v>45</v>
      </c>
      <c r="L12" s="8">
        <v>84</v>
      </c>
      <c r="M12" s="8">
        <v>60</v>
      </c>
      <c r="N12" s="8">
        <v>76</v>
      </c>
      <c r="O12" s="1">
        <f t="shared" si="0"/>
        <v>526</v>
      </c>
      <c r="P12" s="14">
        <f t="shared" si="1"/>
        <v>65.75</v>
      </c>
      <c r="Q12" s="20">
        <f t="shared" si="2"/>
        <v>6</v>
      </c>
    </row>
    <row r="13" spans="1:17" ht="18" customHeight="1">
      <c r="A13" s="19">
        <v>7</v>
      </c>
      <c r="B13" s="2" t="s">
        <v>518</v>
      </c>
      <c r="C13" s="1" t="s">
        <v>519</v>
      </c>
      <c r="D13" s="3" t="s">
        <v>520</v>
      </c>
      <c r="E13" s="1" t="s">
        <v>58</v>
      </c>
      <c r="F13" s="10" t="s">
        <v>502</v>
      </c>
      <c r="G13" s="2">
        <v>24</v>
      </c>
      <c r="H13" s="8">
        <v>84</v>
      </c>
      <c r="I13" s="8">
        <v>100</v>
      </c>
      <c r="J13" s="8">
        <v>68</v>
      </c>
      <c r="K13" s="8">
        <v>65</v>
      </c>
      <c r="L13" s="8">
        <v>76</v>
      </c>
      <c r="M13" s="8">
        <v>68</v>
      </c>
      <c r="N13" s="8">
        <v>52</v>
      </c>
      <c r="O13" s="1">
        <f t="shared" si="0"/>
        <v>513</v>
      </c>
      <c r="P13" s="14">
        <f t="shared" si="1"/>
        <v>64.125</v>
      </c>
      <c r="Q13" s="20">
        <f t="shared" si="2"/>
        <v>7</v>
      </c>
    </row>
    <row r="14" spans="1:17" ht="18" customHeight="1">
      <c r="A14" s="19">
        <v>8</v>
      </c>
      <c r="B14" s="2" t="s">
        <v>499</v>
      </c>
      <c r="C14" s="1" t="s">
        <v>500</v>
      </c>
      <c r="D14" s="3" t="s">
        <v>501</v>
      </c>
      <c r="E14" s="1" t="s">
        <v>55</v>
      </c>
      <c r="F14" s="10" t="s">
        <v>502</v>
      </c>
      <c r="G14" s="2">
        <v>24</v>
      </c>
      <c r="H14" s="8">
        <v>92</v>
      </c>
      <c r="I14" s="8">
        <v>66</v>
      </c>
      <c r="J14" s="8">
        <v>84</v>
      </c>
      <c r="K14" s="8">
        <v>50</v>
      </c>
      <c r="L14" s="8">
        <v>84</v>
      </c>
      <c r="M14" s="8">
        <v>68</v>
      </c>
      <c r="N14" s="8">
        <v>68</v>
      </c>
      <c r="O14" s="1">
        <f t="shared" si="0"/>
        <v>512</v>
      </c>
      <c r="P14" s="14">
        <f t="shared" si="1"/>
        <v>64</v>
      </c>
      <c r="Q14" s="20">
        <f t="shared" si="2"/>
        <v>8</v>
      </c>
    </row>
    <row r="15" spans="1:17" ht="18" customHeight="1">
      <c r="A15" s="19">
        <v>9</v>
      </c>
      <c r="B15" s="2" t="s">
        <v>610</v>
      </c>
      <c r="C15" s="1">
        <v>311260347</v>
      </c>
      <c r="D15" s="3" t="s">
        <v>611</v>
      </c>
      <c r="E15" s="1" t="s">
        <v>79</v>
      </c>
      <c r="F15" s="10" t="s">
        <v>502</v>
      </c>
      <c r="G15" s="2">
        <v>26</v>
      </c>
      <c r="H15" s="8">
        <v>76</v>
      </c>
      <c r="I15" s="8">
        <v>92</v>
      </c>
      <c r="J15" s="8">
        <v>100</v>
      </c>
      <c r="K15" s="8">
        <v>45</v>
      </c>
      <c r="L15" s="8">
        <v>84</v>
      </c>
      <c r="M15" s="8">
        <v>48</v>
      </c>
      <c r="N15" s="8">
        <v>60</v>
      </c>
      <c r="O15" s="1">
        <f t="shared" si="0"/>
        <v>505</v>
      </c>
      <c r="P15" s="14">
        <f t="shared" si="1"/>
        <v>63.125</v>
      </c>
      <c r="Q15" s="20">
        <f t="shared" si="2"/>
        <v>9</v>
      </c>
    </row>
    <row r="16" spans="1:17" ht="18" customHeight="1">
      <c r="A16" s="19">
        <v>10</v>
      </c>
      <c r="B16" s="2" t="s">
        <v>539</v>
      </c>
      <c r="C16" s="1" t="s">
        <v>540</v>
      </c>
      <c r="D16" s="3" t="s">
        <v>541</v>
      </c>
      <c r="E16" s="1" t="s">
        <v>62</v>
      </c>
      <c r="F16" s="10" t="s">
        <v>502</v>
      </c>
      <c r="G16" s="2">
        <v>24</v>
      </c>
      <c r="H16" s="8">
        <v>72</v>
      </c>
      <c r="I16" s="8">
        <v>89</v>
      </c>
      <c r="J16" s="8">
        <v>76</v>
      </c>
      <c r="K16" s="8">
        <v>75</v>
      </c>
      <c r="L16" s="8">
        <v>76</v>
      </c>
      <c r="M16" s="8">
        <v>48</v>
      </c>
      <c r="N16" s="8">
        <v>60</v>
      </c>
      <c r="O16" s="1">
        <f t="shared" si="0"/>
        <v>496</v>
      </c>
      <c r="P16" s="14">
        <f t="shared" si="1"/>
        <v>62</v>
      </c>
      <c r="Q16" s="20">
        <f t="shared" si="2"/>
        <v>10</v>
      </c>
    </row>
    <row r="17" spans="1:17" ht="18" customHeight="1">
      <c r="A17" s="19">
        <v>11</v>
      </c>
      <c r="B17" s="2" t="s">
        <v>580</v>
      </c>
      <c r="C17" s="1">
        <v>311260244</v>
      </c>
      <c r="D17" s="3" t="s">
        <v>581</v>
      </c>
      <c r="E17" s="1" t="s">
        <v>71</v>
      </c>
      <c r="F17" s="10" t="s">
        <v>502</v>
      </c>
      <c r="G17" s="2">
        <v>25</v>
      </c>
      <c r="H17" s="8">
        <v>76</v>
      </c>
      <c r="I17" s="8">
        <v>92</v>
      </c>
      <c r="J17" s="8">
        <v>52</v>
      </c>
      <c r="K17" s="8">
        <v>80</v>
      </c>
      <c r="L17" s="8">
        <v>84</v>
      </c>
      <c r="M17" s="8">
        <v>36</v>
      </c>
      <c r="N17" s="8">
        <v>56</v>
      </c>
      <c r="O17" s="1">
        <f t="shared" si="0"/>
        <v>476</v>
      </c>
      <c r="P17" s="14">
        <f t="shared" si="1"/>
        <v>59.5</v>
      </c>
      <c r="Q17" s="20">
        <f t="shared" si="2"/>
        <v>11</v>
      </c>
    </row>
    <row r="18" spans="1:17" ht="18" customHeight="1">
      <c r="A18" s="19">
        <v>12</v>
      </c>
      <c r="B18" s="2" t="s">
        <v>551</v>
      </c>
      <c r="C18" s="1" t="s">
        <v>552</v>
      </c>
      <c r="D18" s="3" t="s">
        <v>553</v>
      </c>
      <c r="E18" s="1" t="s">
        <v>65</v>
      </c>
      <c r="F18" s="10" t="s">
        <v>502</v>
      </c>
      <c r="G18" s="2">
        <v>24</v>
      </c>
      <c r="H18" s="8">
        <v>80</v>
      </c>
      <c r="I18" s="8">
        <v>85</v>
      </c>
      <c r="J18" s="8">
        <v>76</v>
      </c>
      <c r="K18" s="8">
        <v>30</v>
      </c>
      <c r="L18" s="8">
        <v>76</v>
      </c>
      <c r="M18" s="8">
        <v>76</v>
      </c>
      <c r="N18" s="8">
        <v>52</v>
      </c>
      <c r="O18" s="1">
        <f t="shared" si="0"/>
        <v>475</v>
      </c>
      <c r="P18" s="14">
        <f t="shared" si="1"/>
        <v>59.375</v>
      </c>
      <c r="Q18" s="20">
        <f t="shared" si="2"/>
        <v>12</v>
      </c>
    </row>
    <row r="19" spans="1:17" ht="18" customHeight="1">
      <c r="A19" s="19">
        <v>13</v>
      </c>
      <c r="B19" s="2" t="s">
        <v>588</v>
      </c>
      <c r="C19" s="1">
        <v>311260336</v>
      </c>
      <c r="D19" s="3" t="s">
        <v>589</v>
      </c>
      <c r="E19" s="1" t="s">
        <v>55</v>
      </c>
      <c r="F19" s="10" t="s">
        <v>502</v>
      </c>
      <c r="G19" s="2">
        <v>25</v>
      </c>
      <c r="H19" s="8">
        <v>92</v>
      </c>
      <c r="I19" s="8">
        <v>77</v>
      </c>
      <c r="J19" s="8">
        <v>44</v>
      </c>
      <c r="K19" s="8">
        <v>75</v>
      </c>
      <c r="L19" s="8">
        <v>44</v>
      </c>
      <c r="M19" s="8">
        <v>72</v>
      </c>
      <c r="N19" s="8">
        <v>64</v>
      </c>
      <c r="O19" s="1">
        <f t="shared" si="0"/>
        <v>468</v>
      </c>
      <c r="P19" s="14">
        <f t="shared" si="1"/>
        <v>58.5</v>
      </c>
      <c r="Q19" s="20">
        <f t="shared" si="2"/>
        <v>13</v>
      </c>
    </row>
    <row r="20" spans="1:17" ht="18" customHeight="1">
      <c r="A20" s="19">
        <v>14</v>
      </c>
      <c r="B20" s="2" t="s">
        <v>592</v>
      </c>
      <c r="C20" s="1">
        <v>311260338</v>
      </c>
      <c r="D20" s="3" t="s">
        <v>593</v>
      </c>
      <c r="E20" s="1" t="s">
        <v>79</v>
      </c>
      <c r="F20" s="10" t="s">
        <v>502</v>
      </c>
      <c r="G20" s="2">
        <v>25</v>
      </c>
      <c r="H20" s="8">
        <v>84</v>
      </c>
      <c r="I20" s="8">
        <v>89</v>
      </c>
      <c r="J20" s="8">
        <v>60</v>
      </c>
      <c r="K20" s="8">
        <v>60</v>
      </c>
      <c r="L20" s="8">
        <v>52</v>
      </c>
      <c r="M20" s="8">
        <v>48</v>
      </c>
      <c r="N20" s="8">
        <v>60</v>
      </c>
      <c r="O20" s="1">
        <f t="shared" si="0"/>
        <v>453</v>
      </c>
      <c r="P20" s="14">
        <f t="shared" si="1"/>
        <v>56.625</v>
      </c>
      <c r="Q20" s="20">
        <f t="shared" si="2"/>
        <v>14</v>
      </c>
    </row>
    <row r="21" spans="1:17" ht="18" customHeight="1">
      <c r="A21" s="19">
        <v>15</v>
      </c>
      <c r="B21" s="2" t="s">
        <v>618</v>
      </c>
      <c r="C21" s="1">
        <v>311260351</v>
      </c>
      <c r="D21" s="3" t="s">
        <v>619</v>
      </c>
      <c r="E21" s="1" t="s">
        <v>71</v>
      </c>
      <c r="F21" s="10" t="s">
        <v>502</v>
      </c>
      <c r="G21" s="2">
        <v>26</v>
      </c>
      <c r="H21" s="8">
        <v>92</v>
      </c>
      <c r="I21" s="8">
        <v>51</v>
      </c>
      <c r="J21" s="8">
        <v>100</v>
      </c>
      <c r="K21" s="8">
        <v>25</v>
      </c>
      <c r="L21" s="8">
        <v>84</v>
      </c>
      <c r="M21" s="8">
        <v>52</v>
      </c>
      <c r="N21" s="8">
        <v>44</v>
      </c>
      <c r="O21" s="1">
        <f t="shared" si="0"/>
        <v>448</v>
      </c>
      <c r="P21" s="14">
        <f t="shared" si="1"/>
        <v>56</v>
      </c>
      <c r="Q21" s="20">
        <f t="shared" si="2"/>
        <v>15</v>
      </c>
    </row>
    <row r="22" spans="1:17" ht="18" customHeight="1">
      <c r="A22" s="19">
        <v>16</v>
      </c>
      <c r="B22" s="2" t="s">
        <v>542</v>
      </c>
      <c r="C22" s="1" t="s">
        <v>543</v>
      </c>
      <c r="D22" s="3" t="s">
        <v>544</v>
      </c>
      <c r="E22" s="1" t="s">
        <v>62</v>
      </c>
      <c r="F22" s="10" t="s">
        <v>502</v>
      </c>
      <c r="G22" s="2">
        <v>24</v>
      </c>
      <c r="H22" s="8">
        <v>68</v>
      </c>
      <c r="I22" s="8">
        <v>89</v>
      </c>
      <c r="J22" s="8">
        <v>76</v>
      </c>
      <c r="K22" s="8">
        <v>75</v>
      </c>
      <c r="L22" s="8">
        <v>52</v>
      </c>
      <c r="M22" s="8">
        <v>36</v>
      </c>
      <c r="N22" s="8">
        <v>52</v>
      </c>
      <c r="O22" s="1">
        <f t="shared" si="0"/>
        <v>448</v>
      </c>
      <c r="P22" s="14">
        <f t="shared" si="1"/>
        <v>56</v>
      </c>
      <c r="Q22" s="20">
        <f t="shared" si="2"/>
        <v>15</v>
      </c>
    </row>
    <row r="23" spans="1:17" ht="18" customHeight="1">
      <c r="A23" s="19">
        <v>17</v>
      </c>
      <c r="B23" s="2" t="s">
        <v>572</v>
      </c>
      <c r="C23" s="1">
        <v>311260240</v>
      </c>
      <c r="D23" s="3" t="s">
        <v>573</v>
      </c>
      <c r="E23" s="1" t="s">
        <v>79</v>
      </c>
      <c r="F23" s="10" t="s">
        <v>502</v>
      </c>
      <c r="G23" s="2">
        <v>25</v>
      </c>
      <c r="H23" s="8">
        <v>64</v>
      </c>
      <c r="I23" s="8">
        <v>58</v>
      </c>
      <c r="J23" s="8">
        <v>76</v>
      </c>
      <c r="K23" s="8">
        <v>65</v>
      </c>
      <c r="L23" s="8">
        <v>68</v>
      </c>
      <c r="M23" s="8">
        <v>44</v>
      </c>
      <c r="N23" s="8">
        <v>72</v>
      </c>
      <c r="O23" s="1">
        <f t="shared" si="0"/>
        <v>447</v>
      </c>
      <c r="P23" s="14">
        <f t="shared" si="1"/>
        <v>55.875</v>
      </c>
      <c r="Q23" s="20">
        <f t="shared" si="2"/>
        <v>17</v>
      </c>
    </row>
    <row r="24" spans="1:17" ht="18" customHeight="1">
      <c r="A24" s="19">
        <v>18</v>
      </c>
      <c r="B24" s="2" t="s">
        <v>533</v>
      </c>
      <c r="C24" s="1" t="s">
        <v>534</v>
      </c>
      <c r="D24" s="3" t="s">
        <v>535</v>
      </c>
      <c r="E24" s="1" t="s">
        <v>61</v>
      </c>
      <c r="F24" s="10" t="s">
        <v>502</v>
      </c>
      <c r="G24" s="2">
        <v>24</v>
      </c>
      <c r="H24" s="8">
        <v>84</v>
      </c>
      <c r="I24" s="8">
        <v>85</v>
      </c>
      <c r="J24" s="8">
        <v>68</v>
      </c>
      <c r="K24" s="8">
        <v>85</v>
      </c>
      <c r="L24" s="8">
        <v>36</v>
      </c>
      <c r="M24" s="8">
        <v>28</v>
      </c>
      <c r="N24" s="8">
        <v>60</v>
      </c>
      <c r="O24" s="1">
        <f t="shared" si="0"/>
        <v>446</v>
      </c>
      <c r="P24" s="14">
        <f t="shared" si="1"/>
        <v>55.75</v>
      </c>
      <c r="Q24" s="20">
        <f t="shared" si="2"/>
        <v>18</v>
      </c>
    </row>
    <row r="25" spans="1:17" ht="18" customHeight="1">
      <c r="A25" s="19">
        <v>19</v>
      </c>
      <c r="B25" s="2" t="s">
        <v>521</v>
      </c>
      <c r="C25" s="1" t="s">
        <v>522</v>
      </c>
      <c r="D25" s="3" t="s">
        <v>523</v>
      </c>
      <c r="E25" s="1" t="s">
        <v>58</v>
      </c>
      <c r="F25" s="10" t="s">
        <v>502</v>
      </c>
      <c r="G25" s="2">
        <v>24</v>
      </c>
      <c r="H25" s="8">
        <v>72</v>
      </c>
      <c r="I25" s="8">
        <v>73</v>
      </c>
      <c r="J25" s="8">
        <v>76</v>
      </c>
      <c r="K25" s="8">
        <v>40</v>
      </c>
      <c r="L25" s="8">
        <v>76</v>
      </c>
      <c r="M25" s="8">
        <v>44</v>
      </c>
      <c r="N25" s="8">
        <v>52</v>
      </c>
      <c r="O25" s="1">
        <f t="shared" si="0"/>
        <v>433</v>
      </c>
      <c r="P25" s="14">
        <f t="shared" si="1"/>
        <v>54.125</v>
      </c>
      <c r="Q25" s="20">
        <f t="shared" si="2"/>
        <v>19</v>
      </c>
    </row>
    <row r="26" spans="1:17" ht="18" customHeight="1">
      <c r="A26" s="19">
        <v>20</v>
      </c>
      <c r="B26" s="2" t="s">
        <v>530</v>
      </c>
      <c r="C26" s="1" t="s">
        <v>531</v>
      </c>
      <c r="D26" s="3" t="s">
        <v>532</v>
      </c>
      <c r="E26" s="1" t="s">
        <v>60</v>
      </c>
      <c r="F26" s="10" t="s">
        <v>502</v>
      </c>
      <c r="G26" s="2">
        <v>24</v>
      </c>
      <c r="H26" s="8">
        <v>84</v>
      </c>
      <c r="I26" s="8">
        <v>81</v>
      </c>
      <c r="J26" s="8">
        <v>60</v>
      </c>
      <c r="K26" s="8">
        <v>65</v>
      </c>
      <c r="L26" s="8">
        <v>76</v>
      </c>
      <c r="M26" s="8">
        <v>20</v>
      </c>
      <c r="N26" s="8">
        <v>44</v>
      </c>
      <c r="O26" s="1">
        <f t="shared" si="0"/>
        <v>430</v>
      </c>
      <c r="P26" s="14">
        <f t="shared" si="1"/>
        <v>53.75</v>
      </c>
      <c r="Q26" s="20">
        <f t="shared" si="2"/>
        <v>20</v>
      </c>
    </row>
    <row r="27" spans="1:17" ht="18" customHeight="1">
      <c r="A27" s="19">
        <v>21</v>
      </c>
      <c r="B27" s="2" t="s">
        <v>524</v>
      </c>
      <c r="C27" s="1" t="s">
        <v>525</v>
      </c>
      <c r="D27" s="3" t="s">
        <v>526</v>
      </c>
      <c r="E27" s="1" t="s">
        <v>58</v>
      </c>
      <c r="F27" s="10" t="s">
        <v>502</v>
      </c>
      <c r="G27" s="2">
        <v>24</v>
      </c>
      <c r="H27" s="8">
        <v>60</v>
      </c>
      <c r="I27" s="8">
        <v>85</v>
      </c>
      <c r="J27" s="8">
        <v>92</v>
      </c>
      <c r="K27" s="8">
        <v>75</v>
      </c>
      <c r="L27" s="8">
        <v>52</v>
      </c>
      <c r="M27" s="8">
        <v>20</v>
      </c>
      <c r="N27" s="8">
        <v>36</v>
      </c>
      <c r="O27" s="1">
        <f t="shared" si="0"/>
        <v>420</v>
      </c>
      <c r="P27" s="14">
        <f t="shared" si="1"/>
        <v>52.5</v>
      </c>
      <c r="Q27" s="20">
        <f t="shared" si="2"/>
        <v>21</v>
      </c>
    </row>
    <row r="28" spans="1:17" ht="18" customHeight="1">
      <c r="A28" s="19">
        <v>22</v>
      </c>
      <c r="B28" s="2" t="s">
        <v>620</v>
      </c>
      <c r="C28" s="1">
        <v>311260813</v>
      </c>
      <c r="D28" s="3" t="s">
        <v>621</v>
      </c>
      <c r="E28" s="1" t="s">
        <v>69</v>
      </c>
      <c r="F28" s="10" t="s">
        <v>502</v>
      </c>
      <c r="G28" s="2">
        <v>26</v>
      </c>
      <c r="H28" s="8">
        <v>84</v>
      </c>
      <c r="I28" s="8">
        <v>77</v>
      </c>
      <c r="J28" s="8">
        <v>68</v>
      </c>
      <c r="K28" s="8">
        <v>60</v>
      </c>
      <c r="L28" s="8">
        <v>44</v>
      </c>
      <c r="M28" s="8">
        <v>32</v>
      </c>
      <c r="N28" s="8">
        <v>36</v>
      </c>
      <c r="O28" s="1">
        <f t="shared" si="0"/>
        <v>401</v>
      </c>
      <c r="P28" s="14">
        <f t="shared" si="1"/>
        <v>50.125</v>
      </c>
      <c r="Q28" s="20">
        <f t="shared" si="2"/>
        <v>22</v>
      </c>
    </row>
    <row r="29" spans="1:17" ht="18" customHeight="1">
      <c r="A29" s="19">
        <v>23</v>
      </c>
      <c r="B29" s="2" t="s">
        <v>594</v>
      </c>
      <c r="C29" s="1">
        <v>311260339</v>
      </c>
      <c r="D29" s="3" t="s">
        <v>595</v>
      </c>
      <c r="E29" s="1" t="s">
        <v>79</v>
      </c>
      <c r="F29" s="10" t="s">
        <v>502</v>
      </c>
      <c r="G29" s="2">
        <v>25</v>
      </c>
      <c r="H29" s="8">
        <v>76</v>
      </c>
      <c r="I29" s="8">
        <v>85</v>
      </c>
      <c r="J29" s="8">
        <v>68</v>
      </c>
      <c r="K29" s="8">
        <v>75</v>
      </c>
      <c r="L29" s="8">
        <v>44</v>
      </c>
      <c r="M29" s="8">
        <v>16</v>
      </c>
      <c r="N29" s="8">
        <v>36</v>
      </c>
      <c r="O29" s="1">
        <f t="shared" si="0"/>
        <v>400</v>
      </c>
      <c r="P29" s="14">
        <f t="shared" si="1"/>
        <v>50</v>
      </c>
      <c r="Q29" s="20">
        <f t="shared" si="2"/>
        <v>23</v>
      </c>
    </row>
    <row r="30" spans="1:17" ht="18" customHeight="1">
      <c r="A30" s="19">
        <v>24</v>
      </c>
      <c r="B30" s="2" t="s">
        <v>604</v>
      </c>
      <c r="C30" s="1">
        <v>311260344</v>
      </c>
      <c r="D30" s="3" t="s">
        <v>605</v>
      </c>
      <c r="E30" s="1" t="s">
        <v>79</v>
      </c>
      <c r="F30" s="10" t="s">
        <v>502</v>
      </c>
      <c r="G30" s="2">
        <v>25</v>
      </c>
      <c r="H30" s="8">
        <v>56</v>
      </c>
      <c r="I30" s="8">
        <v>73</v>
      </c>
      <c r="J30" s="8">
        <v>100</v>
      </c>
      <c r="K30" s="8">
        <v>30</v>
      </c>
      <c r="L30" s="8">
        <v>36</v>
      </c>
      <c r="M30" s="8">
        <v>28</v>
      </c>
      <c r="N30" s="8">
        <v>76</v>
      </c>
      <c r="O30" s="1">
        <f t="shared" si="0"/>
        <v>399</v>
      </c>
      <c r="P30" s="14">
        <f t="shared" si="1"/>
        <v>49.875</v>
      </c>
      <c r="Q30" s="20">
        <f t="shared" si="2"/>
        <v>24</v>
      </c>
    </row>
    <row r="31" spans="1:17" ht="18" customHeight="1">
      <c r="A31" s="19">
        <v>25</v>
      </c>
      <c r="B31" s="2" t="s">
        <v>568</v>
      </c>
      <c r="C31" s="1">
        <v>311260238</v>
      </c>
      <c r="D31" s="3" t="s">
        <v>569</v>
      </c>
      <c r="E31" s="1" t="s">
        <v>69</v>
      </c>
      <c r="F31" s="10" t="s">
        <v>502</v>
      </c>
      <c r="G31" s="2">
        <v>25</v>
      </c>
      <c r="H31" s="8">
        <v>56</v>
      </c>
      <c r="I31" s="8">
        <v>81</v>
      </c>
      <c r="J31" s="8">
        <v>48</v>
      </c>
      <c r="K31" s="8">
        <v>50</v>
      </c>
      <c r="L31" s="8">
        <v>60</v>
      </c>
      <c r="M31" s="8">
        <v>20</v>
      </c>
      <c r="N31" s="8">
        <v>76</v>
      </c>
      <c r="O31" s="1">
        <f t="shared" si="0"/>
        <v>391</v>
      </c>
      <c r="P31" s="14">
        <f t="shared" si="1"/>
        <v>48.875</v>
      </c>
      <c r="Q31" s="20">
        <f t="shared" si="2"/>
        <v>25</v>
      </c>
    </row>
    <row r="32" spans="1:17" ht="18" customHeight="1">
      <c r="A32" s="19">
        <v>26</v>
      </c>
      <c r="B32" s="2" t="s">
        <v>557</v>
      </c>
      <c r="C32" s="1" t="s">
        <v>558</v>
      </c>
      <c r="D32" s="3" t="s">
        <v>559</v>
      </c>
      <c r="E32" s="1" t="s">
        <v>67</v>
      </c>
      <c r="F32" s="10" t="s">
        <v>502</v>
      </c>
      <c r="G32" s="2">
        <v>24</v>
      </c>
      <c r="H32" s="8">
        <v>68</v>
      </c>
      <c r="I32" s="8">
        <v>81</v>
      </c>
      <c r="J32" s="8">
        <v>44</v>
      </c>
      <c r="K32" s="8">
        <v>65</v>
      </c>
      <c r="L32" s="8">
        <v>68</v>
      </c>
      <c r="M32" s="8">
        <v>28</v>
      </c>
      <c r="N32" s="8">
        <v>36</v>
      </c>
      <c r="O32" s="1">
        <f t="shared" si="0"/>
        <v>390</v>
      </c>
      <c r="P32" s="14">
        <f t="shared" si="1"/>
        <v>48.75</v>
      </c>
      <c r="Q32" s="20">
        <f t="shared" si="2"/>
        <v>26</v>
      </c>
    </row>
    <row r="33" spans="1:17" ht="18" customHeight="1">
      <c r="A33" s="19">
        <v>27</v>
      </c>
      <c r="B33" s="2" t="s">
        <v>574</v>
      </c>
      <c r="C33" s="1">
        <v>311260241</v>
      </c>
      <c r="D33" s="3" t="s">
        <v>575</v>
      </c>
      <c r="E33" s="1" t="s">
        <v>79</v>
      </c>
      <c r="F33" s="10" t="s">
        <v>502</v>
      </c>
      <c r="G33" s="2">
        <v>25</v>
      </c>
      <c r="H33" s="8">
        <v>68</v>
      </c>
      <c r="I33" s="8">
        <v>77</v>
      </c>
      <c r="J33" s="8">
        <v>76</v>
      </c>
      <c r="K33" s="8">
        <v>40</v>
      </c>
      <c r="L33" s="8">
        <v>44</v>
      </c>
      <c r="M33" s="8">
        <v>48</v>
      </c>
      <c r="N33" s="8">
        <v>36</v>
      </c>
      <c r="O33" s="1">
        <f t="shared" si="0"/>
        <v>389</v>
      </c>
      <c r="P33" s="14">
        <f t="shared" si="1"/>
        <v>48.625</v>
      </c>
      <c r="Q33" s="20">
        <f t="shared" si="2"/>
        <v>27</v>
      </c>
    </row>
    <row r="34" spans="1:17" ht="18" customHeight="1">
      <c r="A34" s="19">
        <v>28</v>
      </c>
      <c r="B34" s="2" t="s">
        <v>624</v>
      </c>
      <c r="C34" s="1">
        <v>311260815</v>
      </c>
      <c r="D34" s="3" t="s">
        <v>625</v>
      </c>
      <c r="E34" s="1" t="s">
        <v>57</v>
      </c>
      <c r="F34" s="10" t="s">
        <v>502</v>
      </c>
      <c r="G34" s="2">
        <v>26</v>
      </c>
      <c r="H34" s="8">
        <v>84</v>
      </c>
      <c r="I34" s="8">
        <v>54</v>
      </c>
      <c r="J34" s="8">
        <v>96</v>
      </c>
      <c r="K34" s="8">
        <v>30</v>
      </c>
      <c r="L34" s="8">
        <v>44</v>
      </c>
      <c r="M34" s="8">
        <v>20</v>
      </c>
      <c r="N34" s="8">
        <v>60</v>
      </c>
      <c r="O34" s="1">
        <f t="shared" si="0"/>
        <v>388</v>
      </c>
      <c r="P34" s="14">
        <f t="shared" si="1"/>
        <v>48.5</v>
      </c>
      <c r="Q34" s="20">
        <f t="shared" si="2"/>
        <v>28</v>
      </c>
    </row>
    <row r="35" spans="1:17" ht="18" customHeight="1">
      <c r="A35" s="19">
        <v>29</v>
      </c>
      <c r="B35" s="2" t="s">
        <v>570</v>
      </c>
      <c r="C35" s="1">
        <v>311260239</v>
      </c>
      <c r="D35" s="3" t="s">
        <v>571</v>
      </c>
      <c r="E35" s="1" t="s">
        <v>69</v>
      </c>
      <c r="F35" s="10" t="s">
        <v>502</v>
      </c>
      <c r="G35" s="2">
        <v>25</v>
      </c>
      <c r="H35" s="8">
        <v>52</v>
      </c>
      <c r="I35" s="8">
        <v>85</v>
      </c>
      <c r="J35" s="8">
        <v>92</v>
      </c>
      <c r="K35" s="8">
        <v>25</v>
      </c>
      <c r="L35" s="8">
        <v>60</v>
      </c>
      <c r="M35" s="8">
        <v>28</v>
      </c>
      <c r="N35" s="8">
        <v>44</v>
      </c>
      <c r="O35" s="1">
        <f t="shared" si="0"/>
        <v>386</v>
      </c>
      <c r="P35" s="14">
        <f t="shared" si="1"/>
        <v>48.25</v>
      </c>
      <c r="Q35" s="20">
        <f t="shared" si="2"/>
        <v>29</v>
      </c>
    </row>
    <row r="36" spans="1:17" ht="18" customHeight="1">
      <c r="A36" s="19">
        <v>30</v>
      </c>
      <c r="B36" s="2" t="s">
        <v>628</v>
      </c>
      <c r="C36" s="1">
        <v>311260817</v>
      </c>
      <c r="D36" s="3" t="s">
        <v>629</v>
      </c>
      <c r="E36" s="1" t="s">
        <v>64</v>
      </c>
      <c r="F36" s="10" t="s">
        <v>502</v>
      </c>
      <c r="G36" s="2">
        <v>26</v>
      </c>
      <c r="H36" s="8">
        <v>52</v>
      </c>
      <c r="I36" s="8">
        <v>77</v>
      </c>
      <c r="J36" s="8">
        <v>56</v>
      </c>
      <c r="K36" s="8">
        <v>35</v>
      </c>
      <c r="L36" s="8">
        <v>52</v>
      </c>
      <c r="M36" s="8">
        <v>52</v>
      </c>
      <c r="N36" s="8">
        <v>60</v>
      </c>
      <c r="O36" s="1">
        <f t="shared" si="0"/>
        <v>384</v>
      </c>
      <c r="P36" s="14">
        <f t="shared" si="1"/>
        <v>48</v>
      </c>
      <c r="Q36" s="20">
        <f t="shared" si="2"/>
        <v>30</v>
      </c>
    </row>
    <row r="37" spans="1:17" ht="18" customHeight="1">
      <c r="A37" s="19">
        <v>31</v>
      </c>
      <c r="B37" s="2" t="s">
        <v>582</v>
      </c>
      <c r="C37" s="1">
        <v>311260245</v>
      </c>
      <c r="D37" s="3" t="s">
        <v>583</v>
      </c>
      <c r="E37" s="1" t="s">
        <v>71</v>
      </c>
      <c r="F37" s="10" t="s">
        <v>502</v>
      </c>
      <c r="G37" s="2">
        <v>25</v>
      </c>
      <c r="H37" s="8">
        <v>76</v>
      </c>
      <c r="I37" s="8">
        <v>58</v>
      </c>
      <c r="J37" s="8">
        <v>64</v>
      </c>
      <c r="K37" s="8">
        <v>40</v>
      </c>
      <c r="L37" s="8">
        <v>36</v>
      </c>
      <c r="M37" s="8">
        <v>36</v>
      </c>
      <c r="N37" s="8">
        <v>60</v>
      </c>
      <c r="O37" s="1">
        <f t="shared" si="0"/>
        <v>370</v>
      </c>
      <c r="P37" s="14">
        <f t="shared" si="1"/>
        <v>46.25</v>
      </c>
      <c r="Q37" s="20">
        <f t="shared" si="2"/>
        <v>31</v>
      </c>
    </row>
    <row r="38" spans="1:17" ht="18" customHeight="1">
      <c r="A38" s="19">
        <v>32</v>
      </c>
      <c r="B38" s="2" t="s">
        <v>590</v>
      </c>
      <c r="C38" s="1">
        <v>311260337</v>
      </c>
      <c r="D38" s="3" t="s">
        <v>591</v>
      </c>
      <c r="E38" s="1" t="s">
        <v>55</v>
      </c>
      <c r="F38" s="10" t="s">
        <v>502</v>
      </c>
      <c r="G38" s="2">
        <v>25</v>
      </c>
      <c r="H38" s="8">
        <v>80</v>
      </c>
      <c r="I38" s="8">
        <v>58</v>
      </c>
      <c r="J38" s="8">
        <v>60</v>
      </c>
      <c r="K38" s="8">
        <v>35</v>
      </c>
      <c r="L38" s="8">
        <v>36</v>
      </c>
      <c r="M38" s="8">
        <v>48</v>
      </c>
      <c r="N38" s="8">
        <v>52</v>
      </c>
      <c r="O38" s="1">
        <f t="shared" si="0"/>
        <v>369</v>
      </c>
      <c r="P38" s="14">
        <f t="shared" si="1"/>
        <v>46.125</v>
      </c>
      <c r="Q38" s="20">
        <f t="shared" si="2"/>
        <v>32</v>
      </c>
    </row>
    <row r="39" spans="1:17" ht="18" customHeight="1">
      <c r="A39" s="19">
        <v>33</v>
      </c>
      <c r="B39" s="2" t="s">
        <v>612</v>
      </c>
      <c r="C39" s="1">
        <v>311260348</v>
      </c>
      <c r="D39" s="3" t="s">
        <v>613</v>
      </c>
      <c r="E39" s="1" t="s">
        <v>56</v>
      </c>
      <c r="F39" s="10" t="s">
        <v>502</v>
      </c>
      <c r="G39" s="2">
        <v>26</v>
      </c>
      <c r="H39" s="8">
        <v>68</v>
      </c>
      <c r="I39" s="8">
        <v>51</v>
      </c>
      <c r="J39" s="8">
        <v>36</v>
      </c>
      <c r="K39" s="8">
        <v>40</v>
      </c>
      <c r="L39" s="8">
        <v>36</v>
      </c>
      <c r="M39" s="8">
        <v>52</v>
      </c>
      <c r="N39" s="8">
        <v>60</v>
      </c>
      <c r="O39" s="1">
        <f t="shared" ref="O39:O60" si="3">SUBTOTAL(9,H39:N39)</f>
        <v>343</v>
      </c>
      <c r="P39" s="14">
        <f t="shared" ref="P39:P60" si="4">O39/8</f>
        <v>42.875</v>
      </c>
      <c r="Q39" s="20">
        <f t="shared" ref="Q39:Q60" si="5">RANK(P39,P$7:P$282,0)</f>
        <v>33</v>
      </c>
    </row>
    <row r="40" spans="1:17" ht="18" customHeight="1">
      <c r="A40" s="19">
        <v>34</v>
      </c>
      <c r="B40" s="2" t="s">
        <v>608</v>
      </c>
      <c r="C40" s="1">
        <v>311260346</v>
      </c>
      <c r="D40" s="3" t="s">
        <v>609</v>
      </c>
      <c r="E40" s="1" t="s">
        <v>79</v>
      </c>
      <c r="F40" s="10" t="s">
        <v>502</v>
      </c>
      <c r="G40" s="2">
        <v>26</v>
      </c>
      <c r="H40" s="8">
        <v>80</v>
      </c>
      <c r="I40" s="8">
        <v>16</v>
      </c>
      <c r="J40" s="8">
        <v>60</v>
      </c>
      <c r="K40" s="8">
        <v>25</v>
      </c>
      <c r="L40" s="8">
        <v>52</v>
      </c>
      <c r="M40" s="8">
        <v>44</v>
      </c>
      <c r="N40" s="8">
        <v>60</v>
      </c>
      <c r="O40" s="1">
        <f t="shared" si="3"/>
        <v>337</v>
      </c>
      <c r="P40" s="14">
        <f t="shared" si="4"/>
        <v>42.125</v>
      </c>
      <c r="Q40" s="20">
        <f t="shared" si="5"/>
        <v>34</v>
      </c>
    </row>
    <row r="41" spans="1:17" ht="18" customHeight="1">
      <c r="A41" s="19">
        <v>35</v>
      </c>
      <c r="B41" s="2" t="s">
        <v>616</v>
      </c>
      <c r="C41" s="1">
        <v>311260350</v>
      </c>
      <c r="D41" s="3" t="s">
        <v>617</v>
      </c>
      <c r="E41" s="1" t="s">
        <v>71</v>
      </c>
      <c r="F41" s="10" t="s">
        <v>502</v>
      </c>
      <c r="G41" s="2">
        <v>26</v>
      </c>
      <c r="H41" s="8">
        <v>56</v>
      </c>
      <c r="I41" s="8">
        <v>43</v>
      </c>
      <c r="J41" s="8">
        <v>78</v>
      </c>
      <c r="K41" s="8">
        <v>20</v>
      </c>
      <c r="L41" s="8">
        <v>36</v>
      </c>
      <c r="M41" s="8">
        <v>52</v>
      </c>
      <c r="N41" s="8">
        <v>52</v>
      </c>
      <c r="O41" s="1">
        <f t="shared" si="3"/>
        <v>337</v>
      </c>
      <c r="P41" s="14">
        <f t="shared" si="4"/>
        <v>42.125</v>
      </c>
      <c r="Q41" s="20">
        <f t="shared" si="5"/>
        <v>34</v>
      </c>
    </row>
    <row r="42" spans="1:17" ht="18" customHeight="1">
      <c r="A42" s="19">
        <v>36</v>
      </c>
      <c r="B42" s="2" t="s">
        <v>622</v>
      </c>
      <c r="C42" s="1">
        <v>311260814</v>
      </c>
      <c r="D42" s="3" t="s">
        <v>623</v>
      </c>
      <c r="E42" s="1" t="s">
        <v>55</v>
      </c>
      <c r="F42" s="10" t="s">
        <v>502</v>
      </c>
      <c r="G42" s="2">
        <v>26</v>
      </c>
      <c r="H42" s="8">
        <v>84</v>
      </c>
      <c r="I42" s="8">
        <v>28</v>
      </c>
      <c r="J42" s="8">
        <v>68</v>
      </c>
      <c r="K42" s="8">
        <v>30</v>
      </c>
      <c r="L42" s="8">
        <v>44</v>
      </c>
      <c r="M42" s="8">
        <v>52</v>
      </c>
      <c r="N42" s="8">
        <v>28</v>
      </c>
      <c r="O42" s="1">
        <f t="shared" si="3"/>
        <v>334</v>
      </c>
      <c r="P42" s="14">
        <f t="shared" si="4"/>
        <v>41.75</v>
      </c>
      <c r="Q42" s="20">
        <f t="shared" si="5"/>
        <v>36</v>
      </c>
    </row>
    <row r="43" spans="1:17" ht="18" customHeight="1">
      <c r="A43" s="19">
        <v>37</v>
      </c>
      <c r="B43" s="2" t="s">
        <v>578</v>
      </c>
      <c r="C43" s="1">
        <v>311260243</v>
      </c>
      <c r="D43" s="3" t="s">
        <v>579</v>
      </c>
      <c r="E43" s="1" t="s">
        <v>71</v>
      </c>
      <c r="F43" s="10" t="s">
        <v>502</v>
      </c>
      <c r="G43" s="2">
        <v>25</v>
      </c>
      <c r="H43" s="8">
        <v>56</v>
      </c>
      <c r="I43" s="8">
        <v>58</v>
      </c>
      <c r="J43" s="8">
        <v>56</v>
      </c>
      <c r="K43" s="8">
        <v>35</v>
      </c>
      <c r="L43" s="8">
        <v>52</v>
      </c>
      <c r="M43" s="8">
        <v>24</v>
      </c>
      <c r="N43" s="8">
        <v>44</v>
      </c>
      <c r="O43" s="1">
        <f t="shared" si="3"/>
        <v>325</v>
      </c>
      <c r="P43" s="14">
        <f t="shared" si="4"/>
        <v>40.625</v>
      </c>
      <c r="Q43" s="20">
        <f t="shared" si="5"/>
        <v>37</v>
      </c>
    </row>
    <row r="44" spans="1:17" ht="18" customHeight="1">
      <c r="A44" s="19">
        <v>38</v>
      </c>
      <c r="B44" s="2" t="s">
        <v>586</v>
      </c>
      <c r="C44" s="1">
        <v>311260335</v>
      </c>
      <c r="D44" s="3" t="s">
        <v>587</v>
      </c>
      <c r="E44" s="1" t="s">
        <v>55</v>
      </c>
      <c r="F44" s="10" t="s">
        <v>502</v>
      </c>
      <c r="G44" s="2">
        <v>25</v>
      </c>
      <c r="H44" s="8">
        <v>68</v>
      </c>
      <c r="I44" s="8">
        <v>89</v>
      </c>
      <c r="J44" s="8">
        <v>28</v>
      </c>
      <c r="K44" s="8">
        <v>25</v>
      </c>
      <c r="L44" s="8">
        <v>14</v>
      </c>
      <c r="M44" s="8">
        <v>60</v>
      </c>
      <c r="N44" s="8">
        <v>40</v>
      </c>
      <c r="O44" s="1">
        <f t="shared" si="3"/>
        <v>324</v>
      </c>
      <c r="P44" s="14">
        <f t="shared" si="4"/>
        <v>40.5</v>
      </c>
      <c r="Q44" s="20">
        <f t="shared" si="5"/>
        <v>38</v>
      </c>
    </row>
    <row r="45" spans="1:17" ht="18" customHeight="1">
      <c r="A45" s="19">
        <v>39</v>
      </c>
      <c r="B45" s="2" t="s">
        <v>536</v>
      </c>
      <c r="C45" s="1" t="s">
        <v>537</v>
      </c>
      <c r="D45" s="3" t="s">
        <v>538</v>
      </c>
      <c r="E45" s="1" t="s">
        <v>62</v>
      </c>
      <c r="F45" s="10" t="s">
        <v>502</v>
      </c>
      <c r="G45" s="2">
        <v>24</v>
      </c>
      <c r="H45" s="8">
        <v>48</v>
      </c>
      <c r="I45" s="8">
        <v>39</v>
      </c>
      <c r="J45" s="8">
        <v>84</v>
      </c>
      <c r="K45" s="8">
        <v>20</v>
      </c>
      <c r="L45" s="8">
        <v>36</v>
      </c>
      <c r="M45" s="8">
        <v>24</v>
      </c>
      <c r="N45" s="8">
        <v>68</v>
      </c>
      <c r="O45" s="1">
        <f t="shared" si="3"/>
        <v>319</v>
      </c>
      <c r="P45" s="14">
        <f t="shared" si="4"/>
        <v>39.875</v>
      </c>
      <c r="Q45" s="20">
        <f t="shared" si="5"/>
        <v>39</v>
      </c>
    </row>
    <row r="46" spans="1:17" ht="18" customHeight="1">
      <c r="A46" s="19">
        <v>40</v>
      </c>
      <c r="B46" s="2" t="s">
        <v>563</v>
      </c>
      <c r="C46" s="1" t="s">
        <v>564</v>
      </c>
      <c r="D46" s="3" t="s">
        <v>565</v>
      </c>
      <c r="E46" s="1" t="s">
        <v>68</v>
      </c>
      <c r="F46" s="10" t="s">
        <v>502</v>
      </c>
      <c r="G46" s="2">
        <v>25</v>
      </c>
      <c r="H46" s="8">
        <v>84</v>
      </c>
      <c r="I46" s="8">
        <v>85</v>
      </c>
      <c r="J46" s="8">
        <v>100</v>
      </c>
      <c r="K46" s="8"/>
      <c r="L46" s="8"/>
      <c r="M46" s="8">
        <v>44</v>
      </c>
      <c r="N46" s="8"/>
      <c r="O46" s="1">
        <f t="shared" si="3"/>
        <v>313</v>
      </c>
      <c r="P46" s="14">
        <f t="shared" si="4"/>
        <v>39.125</v>
      </c>
      <c r="Q46" s="20">
        <f t="shared" si="5"/>
        <v>40</v>
      </c>
    </row>
    <row r="47" spans="1:17" ht="18" customHeight="1">
      <c r="A47" s="19">
        <v>41</v>
      </c>
      <c r="B47" s="2" t="s">
        <v>596</v>
      </c>
      <c r="C47" s="1">
        <v>311260340</v>
      </c>
      <c r="D47" s="3" t="s">
        <v>597</v>
      </c>
      <c r="E47" s="1" t="s">
        <v>79</v>
      </c>
      <c r="F47" s="10" t="s">
        <v>502</v>
      </c>
      <c r="G47" s="2">
        <v>25</v>
      </c>
      <c r="H47" s="8">
        <v>40</v>
      </c>
      <c r="I47" s="8">
        <v>51</v>
      </c>
      <c r="J47" s="8">
        <v>44</v>
      </c>
      <c r="K47" s="8">
        <v>30</v>
      </c>
      <c r="L47" s="8">
        <v>52</v>
      </c>
      <c r="M47" s="8">
        <v>32</v>
      </c>
      <c r="N47" s="8">
        <v>60</v>
      </c>
      <c r="O47" s="1">
        <f t="shared" si="3"/>
        <v>309</v>
      </c>
      <c r="P47" s="14">
        <f t="shared" si="4"/>
        <v>38.625</v>
      </c>
      <c r="Q47" s="20">
        <f t="shared" si="5"/>
        <v>41</v>
      </c>
    </row>
    <row r="48" spans="1:17" ht="18" customHeight="1">
      <c r="A48" s="19">
        <v>42</v>
      </c>
      <c r="B48" s="2" t="s">
        <v>614</v>
      </c>
      <c r="C48" s="1">
        <v>311260349</v>
      </c>
      <c r="D48" s="3" t="s">
        <v>615</v>
      </c>
      <c r="E48" s="1" t="s">
        <v>56</v>
      </c>
      <c r="F48" s="10" t="s">
        <v>502</v>
      </c>
      <c r="G48" s="2">
        <v>26</v>
      </c>
      <c r="H48" s="8">
        <v>56</v>
      </c>
      <c r="I48" s="8">
        <v>77</v>
      </c>
      <c r="J48" s="8">
        <v>28</v>
      </c>
      <c r="K48" s="8">
        <v>20</v>
      </c>
      <c r="L48" s="8">
        <v>24</v>
      </c>
      <c r="M48" s="8">
        <v>44</v>
      </c>
      <c r="N48" s="8">
        <v>52</v>
      </c>
      <c r="O48" s="1">
        <f t="shared" si="3"/>
        <v>301</v>
      </c>
      <c r="P48" s="14">
        <f t="shared" si="4"/>
        <v>37.625</v>
      </c>
      <c r="Q48" s="20">
        <f t="shared" si="5"/>
        <v>42</v>
      </c>
    </row>
    <row r="49" spans="1:17" ht="18" customHeight="1">
      <c r="A49" s="19">
        <v>43</v>
      </c>
      <c r="B49" s="2" t="s">
        <v>626</v>
      </c>
      <c r="C49" s="1">
        <v>311260816</v>
      </c>
      <c r="D49" s="3" t="s">
        <v>627</v>
      </c>
      <c r="E49" s="1" t="s">
        <v>71</v>
      </c>
      <c r="F49" s="10" t="s">
        <v>502</v>
      </c>
      <c r="G49" s="2">
        <v>26</v>
      </c>
      <c r="H49" s="8">
        <v>72</v>
      </c>
      <c r="I49" s="8">
        <v>43</v>
      </c>
      <c r="J49" s="8">
        <v>64</v>
      </c>
      <c r="K49" s="8"/>
      <c r="L49" s="8"/>
      <c r="M49" s="8">
        <v>52</v>
      </c>
      <c r="N49" s="8">
        <v>68</v>
      </c>
      <c r="O49" s="1">
        <f t="shared" si="3"/>
        <v>299</v>
      </c>
      <c r="P49" s="14">
        <f t="shared" si="4"/>
        <v>37.375</v>
      </c>
      <c r="Q49" s="20">
        <f t="shared" si="5"/>
        <v>43</v>
      </c>
    </row>
    <row r="50" spans="1:17" ht="18" customHeight="1">
      <c r="A50" s="19">
        <v>44</v>
      </c>
      <c r="B50" s="2" t="s">
        <v>548</v>
      </c>
      <c r="C50" s="1" t="s">
        <v>549</v>
      </c>
      <c r="D50" s="3" t="s">
        <v>550</v>
      </c>
      <c r="E50" s="1" t="s">
        <v>64</v>
      </c>
      <c r="F50" s="10" t="s">
        <v>502</v>
      </c>
      <c r="G50" s="2">
        <v>24</v>
      </c>
      <c r="H50" s="8">
        <v>52</v>
      </c>
      <c r="I50" s="8">
        <v>62</v>
      </c>
      <c r="J50" s="8">
        <v>28</v>
      </c>
      <c r="K50" s="8">
        <v>25</v>
      </c>
      <c r="L50" s="8">
        <v>36</v>
      </c>
      <c r="M50" s="8">
        <v>44</v>
      </c>
      <c r="N50" s="8">
        <v>52</v>
      </c>
      <c r="O50" s="1">
        <f t="shared" si="3"/>
        <v>299</v>
      </c>
      <c r="P50" s="14">
        <f t="shared" si="4"/>
        <v>37.375</v>
      </c>
      <c r="Q50" s="20">
        <f t="shared" si="5"/>
        <v>43</v>
      </c>
    </row>
    <row r="51" spans="1:17" ht="18" customHeight="1">
      <c r="A51" s="19">
        <v>45</v>
      </c>
      <c r="B51" s="2" t="s">
        <v>606</v>
      </c>
      <c r="C51" s="1">
        <v>311260345</v>
      </c>
      <c r="D51" s="3" t="s">
        <v>607</v>
      </c>
      <c r="E51" s="1" t="s">
        <v>79</v>
      </c>
      <c r="F51" s="10" t="s">
        <v>502</v>
      </c>
      <c r="G51" s="2">
        <v>26</v>
      </c>
      <c r="H51" s="8">
        <v>84</v>
      </c>
      <c r="I51" s="8">
        <v>8</v>
      </c>
      <c r="J51" s="8">
        <v>52</v>
      </c>
      <c r="K51" s="8">
        <v>15</v>
      </c>
      <c r="L51" s="8">
        <v>52</v>
      </c>
      <c r="M51" s="8">
        <v>24</v>
      </c>
      <c r="N51" s="8">
        <v>60</v>
      </c>
      <c r="O51" s="1">
        <f t="shared" si="3"/>
        <v>295</v>
      </c>
      <c r="P51" s="14">
        <f t="shared" si="4"/>
        <v>36.875</v>
      </c>
      <c r="Q51" s="20">
        <f t="shared" si="5"/>
        <v>45</v>
      </c>
    </row>
    <row r="52" spans="1:17" ht="18" customHeight="1">
      <c r="A52" s="19">
        <v>46</v>
      </c>
      <c r="B52" s="2" t="s">
        <v>576</v>
      </c>
      <c r="C52" s="1">
        <v>311260242</v>
      </c>
      <c r="D52" s="3" t="s">
        <v>577</v>
      </c>
      <c r="E52" s="1" t="s">
        <v>56</v>
      </c>
      <c r="F52" s="10" t="s">
        <v>502</v>
      </c>
      <c r="G52" s="2">
        <v>25</v>
      </c>
      <c r="H52" s="8">
        <v>56</v>
      </c>
      <c r="I52" s="8">
        <v>66</v>
      </c>
      <c r="J52" s="8">
        <v>32</v>
      </c>
      <c r="K52" s="8">
        <v>60</v>
      </c>
      <c r="L52" s="8">
        <v>36</v>
      </c>
      <c r="M52" s="8">
        <v>20</v>
      </c>
      <c r="N52" s="8">
        <v>24</v>
      </c>
      <c r="O52" s="1">
        <f t="shared" si="3"/>
        <v>294</v>
      </c>
      <c r="P52" s="14">
        <f t="shared" si="4"/>
        <v>36.75</v>
      </c>
      <c r="Q52" s="20">
        <f t="shared" si="5"/>
        <v>46</v>
      </c>
    </row>
    <row r="53" spans="1:17" ht="18" customHeight="1">
      <c r="A53" s="19">
        <v>47</v>
      </c>
      <c r="B53" s="2" t="s">
        <v>602</v>
      </c>
      <c r="C53" s="1">
        <v>311260343</v>
      </c>
      <c r="D53" s="3" t="s">
        <v>603</v>
      </c>
      <c r="E53" s="1" t="s">
        <v>79</v>
      </c>
      <c r="F53" s="10" t="s">
        <v>502</v>
      </c>
      <c r="G53" s="2">
        <v>25</v>
      </c>
      <c r="H53" s="8">
        <v>68</v>
      </c>
      <c r="I53" s="8">
        <v>24</v>
      </c>
      <c r="J53" s="8">
        <v>44</v>
      </c>
      <c r="K53" s="8">
        <v>25</v>
      </c>
      <c r="L53" s="8">
        <v>60</v>
      </c>
      <c r="M53" s="8">
        <v>12</v>
      </c>
      <c r="N53" s="8">
        <v>60</v>
      </c>
      <c r="O53" s="1">
        <f t="shared" si="3"/>
        <v>293</v>
      </c>
      <c r="P53" s="14">
        <f t="shared" si="4"/>
        <v>36.625</v>
      </c>
      <c r="Q53" s="20">
        <f t="shared" si="5"/>
        <v>47</v>
      </c>
    </row>
    <row r="54" spans="1:17" ht="18" customHeight="1">
      <c r="A54" s="19">
        <v>48</v>
      </c>
      <c r="B54" s="2" t="s">
        <v>584</v>
      </c>
      <c r="C54" s="1">
        <v>311260246</v>
      </c>
      <c r="D54" s="3" t="s">
        <v>585</v>
      </c>
      <c r="E54" s="1" t="s">
        <v>75</v>
      </c>
      <c r="F54" s="10" t="s">
        <v>502</v>
      </c>
      <c r="G54" s="2">
        <v>25</v>
      </c>
      <c r="H54" s="8">
        <v>52</v>
      </c>
      <c r="I54" s="8">
        <v>43</v>
      </c>
      <c r="J54" s="8">
        <v>44</v>
      </c>
      <c r="K54" s="8">
        <v>35</v>
      </c>
      <c r="L54" s="8">
        <v>36</v>
      </c>
      <c r="M54" s="8">
        <v>28</v>
      </c>
      <c r="N54" s="8">
        <v>44</v>
      </c>
      <c r="O54" s="1">
        <f t="shared" si="3"/>
        <v>282</v>
      </c>
      <c r="P54" s="14">
        <f t="shared" si="4"/>
        <v>35.25</v>
      </c>
      <c r="Q54" s="20">
        <f t="shared" si="5"/>
        <v>48</v>
      </c>
    </row>
    <row r="55" spans="1:17" ht="18" customHeight="1">
      <c r="A55" s="19">
        <v>49</v>
      </c>
      <c r="B55" s="2" t="s">
        <v>527</v>
      </c>
      <c r="C55" s="1" t="s">
        <v>528</v>
      </c>
      <c r="D55" s="3" t="s">
        <v>529</v>
      </c>
      <c r="E55" s="1" t="s">
        <v>59</v>
      </c>
      <c r="F55" s="10" t="s">
        <v>502</v>
      </c>
      <c r="G55" s="2">
        <v>24</v>
      </c>
      <c r="H55" s="8">
        <v>20</v>
      </c>
      <c r="I55" s="8">
        <v>66</v>
      </c>
      <c r="J55" s="8">
        <v>60</v>
      </c>
      <c r="K55" s="8">
        <v>10</v>
      </c>
      <c r="L55" s="8">
        <v>28</v>
      </c>
      <c r="M55" s="8">
        <v>44</v>
      </c>
      <c r="N55" s="8">
        <v>52</v>
      </c>
      <c r="O55" s="1">
        <f t="shared" si="3"/>
        <v>280</v>
      </c>
      <c r="P55" s="14">
        <f t="shared" si="4"/>
        <v>35</v>
      </c>
      <c r="Q55" s="20">
        <f t="shared" si="5"/>
        <v>49</v>
      </c>
    </row>
    <row r="56" spans="1:17" ht="18" customHeight="1">
      <c r="A56" s="19">
        <v>50</v>
      </c>
      <c r="B56" s="2" t="s">
        <v>598</v>
      </c>
      <c r="C56" s="1">
        <v>311260341</v>
      </c>
      <c r="D56" s="3" t="s">
        <v>599</v>
      </c>
      <c r="E56" s="1" t="s">
        <v>79</v>
      </c>
      <c r="F56" s="10" t="s">
        <v>502</v>
      </c>
      <c r="G56" s="2">
        <v>25</v>
      </c>
      <c r="H56" s="8">
        <v>60</v>
      </c>
      <c r="I56" s="8">
        <v>8</v>
      </c>
      <c r="J56" s="8">
        <v>64</v>
      </c>
      <c r="K56" s="8">
        <v>20</v>
      </c>
      <c r="L56" s="8">
        <v>36</v>
      </c>
      <c r="M56" s="8">
        <v>44</v>
      </c>
      <c r="N56" s="8">
        <v>36</v>
      </c>
      <c r="O56" s="1">
        <f t="shared" si="3"/>
        <v>268</v>
      </c>
      <c r="P56" s="14">
        <f t="shared" si="4"/>
        <v>33.5</v>
      </c>
      <c r="Q56" s="20">
        <f t="shared" si="5"/>
        <v>50</v>
      </c>
    </row>
    <row r="57" spans="1:17" ht="18" customHeight="1">
      <c r="A57" s="19">
        <v>51</v>
      </c>
      <c r="B57" s="2" t="s">
        <v>560</v>
      </c>
      <c r="C57" s="1" t="s">
        <v>561</v>
      </c>
      <c r="D57" s="3" t="s">
        <v>562</v>
      </c>
      <c r="E57" s="1" t="s">
        <v>68</v>
      </c>
      <c r="F57" s="10" t="s">
        <v>502</v>
      </c>
      <c r="G57" s="2">
        <v>24</v>
      </c>
      <c r="H57" s="8">
        <v>40</v>
      </c>
      <c r="I57" s="8">
        <v>51</v>
      </c>
      <c r="J57" s="8">
        <v>32</v>
      </c>
      <c r="K57" s="8">
        <v>5</v>
      </c>
      <c r="L57" s="8">
        <v>44</v>
      </c>
      <c r="M57" s="8">
        <v>28</v>
      </c>
      <c r="N57" s="8">
        <v>32</v>
      </c>
      <c r="O57" s="1">
        <f t="shared" si="3"/>
        <v>232</v>
      </c>
      <c r="P57" s="14">
        <f t="shared" si="4"/>
        <v>29</v>
      </c>
      <c r="Q57" s="20">
        <f t="shared" si="5"/>
        <v>51</v>
      </c>
    </row>
    <row r="58" spans="1:17" ht="18" customHeight="1">
      <c r="A58" s="19">
        <v>52</v>
      </c>
      <c r="B58" s="2" t="s">
        <v>509</v>
      </c>
      <c r="C58" s="1" t="s">
        <v>510</v>
      </c>
      <c r="D58" s="3" t="s">
        <v>511</v>
      </c>
      <c r="E58" s="1" t="s">
        <v>56</v>
      </c>
      <c r="F58" s="10" t="s">
        <v>502</v>
      </c>
      <c r="G58" s="2">
        <v>24</v>
      </c>
      <c r="H58" s="8">
        <v>16</v>
      </c>
      <c r="I58" s="8">
        <v>28</v>
      </c>
      <c r="J58" s="8">
        <v>21</v>
      </c>
      <c r="K58" s="8">
        <v>10</v>
      </c>
      <c r="L58" s="8">
        <v>32</v>
      </c>
      <c r="M58" s="8">
        <v>12</v>
      </c>
      <c r="N58" s="8">
        <v>32</v>
      </c>
      <c r="O58" s="1">
        <f t="shared" si="3"/>
        <v>151</v>
      </c>
      <c r="P58" s="14">
        <f t="shared" si="4"/>
        <v>18.875</v>
      </c>
      <c r="Q58" s="20">
        <f t="shared" si="5"/>
        <v>52</v>
      </c>
    </row>
    <row r="59" spans="1:17" ht="18" customHeight="1">
      <c r="A59" s="19">
        <v>53</v>
      </c>
      <c r="B59" s="2" t="s">
        <v>600</v>
      </c>
      <c r="C59" s="1">
        <v>311260342</v>
      </c>
      <c r="D59" s="3" t="s">
        <v>601</v>
      </c>
      <c r="E59" s="1" t="s">
        <v>79</v>
      </c>
      <c r="F59" s="10" t="s">
        <v>502</v>
      </c>
      <c r="G59" s="2">
        <v>25</v>
      </c>
      <c r="H59" s="8"/>
      <c r="I59" s="8"/>
      <c r="J59" s="8"/>
      <c r="K59" s="8"/>
      <c r="L59" s="8"/>
      <c r="M59" s="8"/>
      <c r="N59" s="8"/>
      <c r="O59" s="1">
        <f t="shared" si="3"/>
        <v>0</v>
      </c>
      <c r="P59" s="14">
        <f t="shared" si="4"/>
        <v>0</v>
      </c>
      <c r="Q59" s="20">
        <f t="shared" si="5"/>
        <v>53</v>
      </c>
    </row>
    <row r="60" spans="1:17" ht="18" customHeight="1">
      <c r="A60" s="19">
        <v>54</v>
      </c>
      <c r="B60" s="28" t="s">
        <v>515</v>
      </c>
      <c r="C60" s="29" t="s">
        <v>516</v>
      </c>
      <c r="D60" s="30" t="s">
        <v>517</v>
      </c>
      <c r="E60" s="29" t="s">
        <v>58</v>
      </c>
      <c r="F60" s="31" t="s">
        <v>502</v>
      </c>
      <c r="G60" s="28">
        <v>24</v>
      </c>
      <c r="H60" s="40"/>
      <c r="I60" s="40"/>
      <c r="J60" s="40"/>
      <c r="K60" s="40"/>
      <c r="L60" s="40"/>
      <c r="M60" s="40"/>
      <c r="N60" s="40"/>
      <c r="O60" s="29">
        <f t="shared" si="3"/>
        <v>0</v>
      </c>
      <c r="P60" s="41">
        <f t="shared" si="4"/>
        <v>0</v>
      </c>
      <c r="Q60" s="33">
        <f t="shared" si="5"/>
        <v>53</v>
      </c>
    </row>
  </sheetData>
  <mergeCells count="4">
    <mergeCell ref="A1:P1"/>
    <mergeCell ref="A2:P2"/>
    <mergeCell ref="A3:P3"/>
    <mergeCell ref="A5:B5"/>
  </mergeCells>
  <conditionalFormatting sqref="H7:N7">
    <cfRule type="expression" dxfId="8985" priority="215">
      <formula>5</formula>
    </cfRule>
    <cfRule type="cellIs" dxfId="8984" priority="216" operator="lessThan">
      <formula>5</formula>
    </cfRule>
  </conditionalFormatting>
  <conditionalFormatting sqref="H7:N7">
    <cfRule type="cellIs" dxfId="8983" priority="214" operator="lessThan">
      <formula>50</formula>
    </cfRule>
  </conditionalFormatting>
  <conditionalFormatting sqref="P7">
    <cfRule type="cellIs" dxfId="8982" priority="213" operator="lessThan">
      <formula>50</formula>
    </cfRule>
  </conditionalFormatting>
  <conditionalFormatting sqref="H8:N8">
    <cfRule type="expression" dxfId="8981" priority="211">
      <formula>5</formula>
    </cfRule>
    <cfRule type="cellIs" dxfId="8980" priority="212" operator="lessThan">
      <formula>5</formula>
    </cfRule>
  </conditionalFormatting>
  <conditionalFormatting sqref="H8:N8">
    <cfRule type="cellIs" dxfId="8979" priority="210" operator="lessThan">
      <formula>50</formula>
    </cfRule>
  </conditionalFormatting>
  <conditionalFormatting sqref="P8">
    <cfRule type="cellIs" dxfId="8978" priority="209" operator="lessThan">
      <formula>50</formula>
    </cfRule>
  </conditionalFormatting>
  <conditionalFormatting sqref="H9:N9">
    <cfRule type="expression" dxfId="8977" priority="207">
      <formula>5</formula>
    </cfRule>
    <cfRule type="cellIs" dxfId="8976" priority="208" operator="lessThan">
      <formula>5</formula>
    </cfRule>
  </conditionalFormatting>
  <conditionalFormatting sqref="H9:N9">
    <cfRule type="cellIs" dxfId="8975" priority="206" operator="lessThan">
      <formula>50</formula>
    </cfRule>
  </conditionalFormatting>
  <conditionalFormatting sqref="P9">
    <cfRule type="cellIs" dxfId="8974" priority="205" operator="lessThan">
      <formula>50</formula>
    </cfRule>
  </conditionalFormatting>
  <conditionalFormatting sqref="H10:N10">
    <cfRule type="expression" dxfId="8973" priority="203">
      <formula>5</formula>
    </cfRule>
    <cfRule type="cellIs" dxfId="8972" priority="204" operator="lessThan">
      <formula>5</formula>
    </cfRule>
  </conditionalFormatting>
  <conditionalFormatting sqref="H10:N10">
    <cfRule type="cellIs" dxfId="8971" priority="202" operator="lessThan">
      <formula>50</formula>
    </cfRule>
  </conditionalFormatting>
  <conditionalFormatting sqref="P10">
    <cfRule type="cellIs" dxfId="8970" priority="201" operator="lessThan">
      <formula>50</formula>
    </cfRule>
  </conditionalFormatting>
  <conditionalFormatting sqref="H11:N11">
    <cfRule type="expression" dxfId="8969" priority="199">
      <formula>5</formula>
    </cfRule>
    <cfRule type="cellIs" dxfId="8968" priority="200" operator="lessThan">
      <formula>5</formula>
    </cfRule>
  </conditionalFormatting>
  <conditionalFormatting sqref="H11:N11">
    <cfRule type="cellIs" dxfId="8967" priority="198" operator="lessThan">
      <formula>50</formula>
    </cfRule>
  </conditionalFormatting>
  <conditionalFormatting sqref="P11">
    <cfRule type="cellIs" dxfId="8966" priority="197" operator="lessThan">
      <formula>50</formula>
    </cfRule>
  </conditionalFormatting>
  <conditionalFormatting sqref="H12:N12">
    <cfRule type="expression" dxfId="8965" priority="195">
      <formula>5</formula>
    </cfRule>
    <cfRule type="cellIs" dxfId="8964" priority="196" operator="lessThan">
      <formula>5</formula>
    </cfRule>
  </conditionalFormatting>
  <conditionalFormatting sqref="H12:N12">
    <cfRule type="cellIs" dxfId="8963" priority="194" operator="lessThan">
      <formula>50</formula>
    </cfRule>
  </conditionalFormatting>
  <conditionalFormatting sqref="P12">
    <cfRule type="cellIs" dxfId="8962" priority="193" operator="lessThan">
      <formula>50</formula>
    </cfRule>
  </conditionalFormatting>
  <conditionalFormatting sqref="H13:N13">
    <cfRule type="expression" dxfId="8961" priority="191">
      <formula>5</formula>
    </cfRule>
    <cfRule type="cellIs" dxfId="8960" priority="192" operator="lessThan">
      <formula>5</formula>
    </cfRule>
  </conditionalFormatting>
  <conditionalFormatting sqref="H13:N13">
    <cfRule type="cellIs" dxfId="8959" priority="190" operator="lessThan">
      <formula>50</formula>
    </cfRule>
  </conditionalFormatting>
  <conditionalFormatting sqref="P13">
    <cfRule type="cellIs" dxfId="8958" priority="189" operator="lessThan">
      <formula>50</formula>
    </cfRule>
  </conditionalFormatting>
  <conditionalFormatting sqref="H14:N14">
    <cfRule type="expression" dxfId="8957" priority="187">
      <formula>5</formula>
    </cfRule>
    <cfRule type="cellIs" dxfId="8956" priority="188" operator="lessThan">
      <formula>5</formula>
    </cfRule>
  </conditionalFormatting>
  <conditionalFormatting sqref="H14:N14">
    <cfRule type="cellIs" dxfId="8955" priority="186" operator="lessThan">
      <formula>50</formula>
    </cfRule>
  </conditionalFormatting>
  <conditionalFormatting sqref="P14">
    <cfRule type="cellIs" dxfId="8954" priority="185" operator="lessThan">
      <formula>50</formula>
    </cfRule>
  </conditionalFormatting>
  <conditionalFormatting sqref="H15:N15">
    <cfRule type="expression" dxfId="8953" priority="183">
      <formula>5</formula>
    </cfRule>
    <cfRule type="cellIs" dxfId="8952" priority="184" operator="lessThan">
      <formula>5</formula>
    </cfRule>
  </conditionalFormatting>
  <conditionalFormatting sqref="H15:N15">
    <cfRule type="cellIs" dxfId="8951" priority="182" operator="lessThan">
      <formula>50</formula>
    </cfRule>
  </conditionalFormatting>
  <conditionalFormatting sqref="P15">
    <cfRule type="cellIs" dxfId="8950" priority="181" operator="lessThan">
      <formula>50</formula>
    </cfRule>
  </conditionalFormatting>
  <conditionalFormatting sqref="H16:N16">
    <cfRule type="expression" dxfId="8949" priority="179">
      <formula>5</formula>
    </cfRule>
    <cfRule type="cellIs" dxfId="8948" priority="180" operator="lessThan">
      <formula>5</formula>
    </cfRule>
  </conditionalFormatting>
  <conditionalFormatting sqref="H16:N16">
    <cfRule type="cellIs" dxfId="8947" priority="178" operator="lessThan">
      <formula>50</formula>
    </cfRule>
  </conditionalFormatting>
  <conditionalFormatting sqref="P16">
    <cfRule type="cellIs" dxfId="8946" priority="177" operator="lessThan">
      <formula>50</formula>
    </cfRule>
  </conditionalFormatting>
  <conditionalFormatting sqref="H17:N17">
    <cfRule type="expression" dxfId="8945" priority="175">
      <formula>5</formula>
    </cfRule>
    <cfRule type="cellIs" dxfId="8944" priority="176" operator="lessThan">
      <formula>5</formula>
    </cfRule>
  </conditionalFormatting>
  <conditionalFormatting sqref="H17:N17">
    <cfRule type="cellIs" dxfId="8943" priority="174" operator="lessThan">
      <formula>50</formula>
    </cfRule>
  </conditionalFormatting>
  <conditionalFormatting sqref="P17">
    <cfRule type="cellIs" dxfId="8942" priority="173" operator="lessThan">
      <formula>50</formula>
    </cfRule>
  </conditionalFormatting>
  <conditionalFormatting sqref="H18:N18">
    <cfRule type="expression" dxfId="8941" priority="171">
      <formula>5</formula>
    </cfRule>
    <cfRule type="cellIs" dxfId="8940" priority="172" operator="lessThan">
      <formula>5</formula>
    </cfRule>
  </conditionalFormatting>
  <conditionalFormatting sqref="H18:N18">
    <cfRule type="cellIs" dxfId="8939" priority="170" operator="lessThan">
      <formula>50</formula>
    </cfRule>
  </conditionalFormatting>
  <conditionalFormatting sqref="P18">
    <cfRule type="cellIs" dxfId="8938" priority="169" operator="lessThan">
      <formula>50</formula>
    </cfRule>
  </conditionalFormatting>
  <conditionalFormatting sqref="H19:N19">
    <cfRule type="expression" dxfId="8937" priority="167">
      <formula>5</formula>
    </cfRule>
    <cfRule type="cellIs" dxfId="8936" priority="168" operator="lessThan">
      <formula>5</formula>
    </cfRule>
  </conditionalFormatting>
  <conditionalFormatting sqref="H19:N19">
    <cfRule type="cellIs" dxfId="8935" priority="166" operator="lessThan">
      <formula>50</formula>
    </cfRule>
  </conditionalFormatting>
  <conditionalFormatting sqref="P19">
    <cfRule type="cellIs" dxfId="8934" priority="165" operator="lessThan">
      <formula>50</formula>
    </cfRule>
  </conditionalFormatting>
  <conditionalFormatting sqref="H20:N20">
    <cfRule type="expression" dxfId="8933" priority="163">
      <formula>5</formula>
    </cfRule>
    <cfRule type="cellIs" dxfId="8932" priority="164" operator="lessThan">
      <formula>5</formula>
    </cfRule>
  </conditionalFormatting>
  <conditionalFormatting sqref="H20:N20">
    <cfRule type="cellIs" dxfId="8931" priority="162" operator="lessThan">
      <formula>50</formula>
    </cfRule>
  </conditionalFormatting>
  <conditionalFormatting sqref="P20">
    <cfRule type="cellIs" dxfId="8930" priority="161" operator="lessThan">
      <formula>50</formula>
    </cfRule>
  </conditionalFormatting>
  <conditionalFormatting sqref="H21:N21">
    <cfRule type="expression" dxfId="8929" priority="159">
      <formula>5</formula>
    </cfRule>
    <cfRule type="cellIs" dxfId="8928" priority="160" operator="lessThan">
      <formula>5</formula>
    </cfRule>
  </conditionalFormatting>
  <conditionalFormatting sqref="H21:N21">
    <cfRule type="cellIs" dxfId="8927" priority="158" operator="lessThan">
      <formula>50</formula>
    </cfRule>
  </conditionalFormatting>
  <conditionalFormatting sqref="P21">
    <cfRule type="cellIs" dxfId="8926" priority="157" operator="lessThan">
      <formula>50</formula>
    </cfRule>
  </conditionalFormatting>
  <conditionalFormatting sqref="H22:N22">
    <cfRule type="expression" dxfId="8925" priority="155">
      <formula>5</formula>
    </cfRule>
    <cfRule type="cellIs" dxfId="8924" priority="156" operator="lessThan">
      <formula>5</formula>
    </cfRule>
  </conditionalFormatting>
  <conditionalFormatting sqref="H22:N22">
    <cfRule type="cellIs" dxfId="8923" priority="154" operator="lessThan">
      <formula>50</formula>
    </cfRule>
  </conditionalFormatting>
  <conditionalFormatting sqref="P22">
    <cfRule type="cellIs" dxfId="8922" priority="153" operator="lessThan">
      <formula>50</formula>
    </cfRule>
  </conditionalFormatting>
  <conditionalFormatting sqref="H23:N23">
    <cfRule type="expression" dxfId="8921" priority="151">
      <formula>5</formula>
    </cfRule>
    <cfRule type="cellIs" dxfId="8920" priority="152" operator="lessThan">
      <formula>5</formula>
    </cfRule>
  </conditionalFormatting>
  <conditionalFormatting sqref="H23:N23">
    <cfRule type="cellIs" dxfId="8919" priority="150" operator="lessThan">
      <formula>50</formula>
    </cfRule>
  </conditionalFormatting>
  <conditionalFormatting sqref="P23">
    <cfRule type="cellIs" dxfId="8918" priority="149" operator="lessThan">
      <formula>50</formula>
    </cfRule>
  </conditionalFormatting>
  <conditionalFormatting sqref="H24:N24">
    <cfRule type="expression" dxfId="8917" priority="147">
      <formula>5</formula>
    </cfRule>
    <cfRule type="cellIs" dxfId="8916" priority="148" operator="lessThan">
      <formula>5</formula>
    </cfRule>
  </conditionalFormatting>
  <conditionalFormatting sqref="H24:N24">
    <cfRule type="cellIs" dxfId="8915" priority="146" operator="lessThan">
      <formula>50</formula>
    </cfRule>
  </conditionalFormatting>
  <conditionalFormatting sqref="P24">
    <cfRule type="cellIs" dxfId="8914" priority="145" operator="lessThan">
      <formula>50</formula>
    </cfRule>
  </conditionalFormatting>
  <conditionalFormatting sqref="H25:N25">
    <cfRule type="expression" dxfId="8913" priority="143">
      <formula>5</formula>
    </cfRule>
    <cfRule type="cellIs" dxfId="8912" priority="144" operator="lessThan">
      <formula>5</formula>
    </cfRule>
  </conditionalFormatting>
  <conditionalFormatting sqref="H25:N25">
    <cfRule type="cellIs" dxfId="8911" priority="142" operator="lessThan">
      <formula>50</formula>
    </cfRule>
  </conditionalFormatting>
  <conditionalFormatting sqref="P25">
    <cfRule type="cellIs" dxfId="8910" priority="141" operator="lessThan">
      <formula>50</formula>
    </cfRule>
  </conditionalFormatting>
  <conditionalFormatting sqref="H26:N26">
    <cfRule type="expression" dxfId="8909" priority="139">
      <formula>5</formula>
    </cfRule>
    <cfRule type="cellIs" dxfId="8908" priority="140" operator="lessThan">
      <formula>5</formula>
    </cfRule>
  </conditionalFormatting>
  <conditionalFormatting sqref="H26:N26">
    <cfRule type="cellIs" dxfId="8907" priority="138" operator="lessThan">
      <formula>50</formula>
    </cfRule>
  </conditionalFormatting>
  <conditionalFormatting sqref="P26">
    <cfRule type="cellIs" dxfId="8906" priority="137" operator="lessThan">
      <formula>50</formula>
    </cfRule>
  </conditionalFormatting>
  <conditionalFormatting sqref="H27:N27">
    <cfRule type="expression" dxfId="8905" priority="135">
      <formula>5</formula>
    </cfRule>
    <cfRule type="cellIs" dxfId="8904" priority="136" operator="lessThan">
      <formula>5</formula>
    </cfRule>
  </conditionalFormatting>
  <conditionalFormatting sqref="H27:N27">
    <cfRule type="cellIs" dxfId="8903" priority="134" operator="lessThan">
      <formula>50</formula>
    </cfRule>
  </conditionalFormatting>
  <conditionalFormatting sqref="P27">
    <cfRule type="cellIs" dxfId="8902" priority="133" operator="lessThan">
      <formula>50</formula>
    </cfRule>
  </conditionalFormatting>
  <conditionalFormatting sqref="H28:N28">
    <cfRule type="expression" dxfId="8901" priority="131">
      <formula>5</formula>
    </cfRule>
    <cfRule type="cellIs" dxfId="8900" priority="132" operator="lessThan">
      <formula>5</formula>
    </cfRule>
  </conditionalFormatting>
  <conditionalFormatting sqref="H28:N28">
    <cfRule type="cellIs" dxfId="8899" priority="130" operator="lessThan">
      <formula>50</formula>
    </cfRule>
  </conditionalFormatting>
  <conditionalFormatting sqref="P28">
    <cfRule type="cellIs" dxfId="8898" priority="129" operator="lessThan">
      <formula>50</formula>
    </cfRule>
  </conditionalFormatting>
  <conditionalFormatting sqref="H29:N29">
    <cfRule type="expression" dxfId="8897" priority="127">
      <formula>5</formula>
    </cfRule>
    <cfRule type="cellIs" dxfId="8896" priority="128" operator="lessThan">
      <formula>5</formula>
    </cfRule>
  </conditionalFormatting>
  <conditionalFormatting sqref="H29:N29">
    <cfRule type="cellIs" dxfId="8895" priority="126" operator="lessThan">
      <formula>50</formula>
    </cfRule>
  </conditionalFormatting>
  <conditionalFormatting sqref="P29">
    <cfRule type="cellIs" dxfId="8894" priority="125" operator="lessThan">
      <formula>50</formula>
    </cfRule>
  </conditionalFormatting>
  <conditionalFormatting sqref="H30:N30">
    <cfRule type="expression" dxfId="8893" priority="123">
      <formula>5</formula>
    </cfRule>
    <cfRule type="cellIs" dxfId="8892" priority="124" operator="lessThan">
      <formula>5</formula>
    </cfRule>
  </conditionalFormatting>
  <conditionalFormatting sqref="H30:N30">
    <cfRule type="cellIs" dxfId="8891" priority="122" operator="lessThan">
      <formula>50</formula>
    </cfRule>
  </conditionalFormatting>
  <conditionalFormatting sqref="P30">
    <cfRule type="cellIs" dxfId="8890" priority="121" operator="lessThan">
      <formula>50</formula>
    </cfRule>
  </conditionalFormatting>
  <conditionalFormatting sqref="H31:N31">
    <cfRule type="expression" dxfId="8889" priority="119">
      <formula>5</formula>
    </cfRule>
    <cfRule type="cellIs" dxfId="8888" priority="120" operator="lessThan">
      <formula>5</formula>
    </cfRule>
  </conditionalFormatting>
  <conditionalFormatting sqref="H31:N31">
    <cfRule type="cellIs" dxfId="8887" priority="118" operator="lessThan">
      <formula>50</formula>
    </cfRule>
  </conditionalFormatting>
  <conditionalFormatting sqref="P31">
    <cfRule type="cellIs" dxfId="8886" priority="117" operator="lessThan">
      <formula>50</formula>
    </cfRule>
  </conditionalFormatting>
  <conditionalFormatting sqref="H32:N32">
    <cfRule type="expression" dxfId="8885" priority="115">
      <formula>5</formula>
    </cfRule>
    <cfRule type="cellIs" dxfId="8884" priority="116" operator="lessThan">
      <formula>5</formula>
    </cfRule>
  </conditionalFormatting>
  <conditionalFormatting sqref="H32:N32">
    <cfRule type="cellIs" dxfId="8883" priority="114" operator="lessThan">
      <formula>50</formula>
    </cfRule>
  </conditionalFormatting>
  <conditionalFormatting sqref="P32">
    <cfRule type="cellIs" dxfId="8882" priority="113" operator="lessThan">
      <formula>50</formula>
    </cfRule>
  </conditionalFormatting>
  <conditionalFormatting sqref="H33:N33">
    <cfRule type="expression" dxfId="8881" priority="111">
      <formula>5</formula>
    </cfRule>
    <cfRule type="cellIs" dxfId="8880" priority="112" operator="lessThan">
      <formula>5</formula>
    </cfRule>
  </conditionalFormatting>
  <conditionalFormatting sqref="H33:N33">
    <cfRule type="cellIs" dxfId="8879" priority="110" operator="lessThan">
      <formula>50</formula>
    </cfRule>
  </conditionalFormatting>
  <conditionalFormatting sqref="P33">
    <cfRule type="cellIs" dxfId="8878" priority="109" operator="lessThan">
      <formula>50</formula>
    </cfRule>
  </conditionalFormatting>
  <conditionalFormatting sqref="H34:N34">
    <cfRule type="expression" dxfId="8877" priority="107">
      <formula>5</formula>
    </cfRule>
    <cfRule type="cellIs" dxfId="8876" priority="108" operator="lessThan">
      <formula>5</formula>
    </cfRule>
  </conditionalFormatting>
  <conditionalFormatting sqref="H34:N34">
    <cfRule type="cellIs" dxfId="8875" priority="106" operator="lessThan">
      <formula>50</formula>
    </cfRule>
  </conditionalFormatting>
  <conditionalFormatting sqref="P34">
    <cfRule type="cellIs" dxfId="8874" priority="105" operator="lessThan">
      <formula>50</formula>
    </cfRule>
  </conditionalFormatting>
  <conditionalFormatting sqref="H35:N35">
    <cfRule type="expression" dxfId="8873" priority="103">
      <formula>5</formula>
    </cfRule>
    <cfRule type="cellIs" dxfId="8872" priority="104" operator="lessThan">
      <formula>5</formula>
    </cfRule>
  </conditionalFormatting>
  <conditionalFormatting sqref="H35:N35">
    <cfRule type="cellIs" dxfId="8871" priority="102" operator="lessThan">
      <formula>50</formula>
    </cfRule>
  </conditionalFormatting>
  <conditionalFormatting sqref="P35">
    <cfRule type="cellIs" dxfId="8870" priority="101" operator="lessThan">
      <formula>50</formula>
    </cfRule>
  </conditionalFormatting>
  <conditionalFormatting sqref="H36:N36">
    <cfRule type="expression" dxfId="8869" priority="99">
      <formula>5</formula>
    </cfRule>
    <cfRule type="cellIs" dxfId="8868" priority="100" operator="lessThan">
      <formula>5</formula>
    </cfRule>
  </conditionalFormatting>
  <conditionalFormatting sqref="H36:N36">
    <cfRule type="cellIs" dxfId="8867" priority="98" operator="lessThan">
      <formula>50</formula>
    </cfRule>
  </conditionalFormatting>
  <conditionalFormatting sqref="P36">
    <cfRule type="cellIs" dxfId="8866" priority="97" operator="lessThan">
      <formula>50</formula>
    </cfRule>
  </conditionalFormatting>
  <conditionalFormatting sqref="H37:N37">
    <cfRule type="expression" dxfId="8865" priority="95">
      <formula>5</formula>
    </cfRule>
    <cfRule type="cellIs" dxfId="8864" priority="96" operator="lessThan">
      <formula>5</formula>
    </cfRule>
  </conditionalFormatting>
  <conditionalFormatting sqref="H37:N37">
    <cfRule type="cellIs" dxfId="8863" priority="94" operator="lessThan">
      <formula>50</formula>
    </cfRule>
  </conditionalFormatting>
  <conditionalFormatting sqref="P37">
    <cfRule type="cellIs" dxfId="8862" priority="93" operator="lessThan">
      <formula>50</formula>
    </cfRule>
  </conditionalFormatting>
  <conditionalFormatting sqref="H38:N38">
    <cfRule type="expression" dxfId="8861" priority="91">
      <formula>5</formula>
    </cfRule>
    <cfRule type="cellIs" dxfId="8860" priority="92" operator="lessThan">
      <formula>5</formula>
    </cfRule>
  </conditionalFormatting>
  <conditionalFormatting sqref="H38:N38">
    <cfRule type="cellIs" dxfId="8859" priority="90" operator="lessThan">
      <formula>50</formula>
    </cfRule>
  </conditionalFormatting>
  <conditionalFormatting sqref="P38">
    <cfRule type="cellIs" dxfId="8858" priority="89" operator="lessThan">
      <formula>50</formula>
    </cfRule>
  </conditionalFormatting>
  <conditionalFormatting sqref="H39:N39">
    <cfRule type="expression" dxfId="8857" priority="87">
      <formula>5</formula>
    </cfRule>
    <cfRule type="cellIs" dxfId="8856" priority="88" operator="lessThan">
      <formula>5</formula>
    </cfRule>
  </conditionalFormatting>
  <conditionalFormatting sqref="H39:N39">
    <cfRule type="cellIs" dxfId="8855" priority="86" operator="lessThan">
      <formula>50</formula>
    </cfRule>
  </conditionalFormatting>
  <conditionalFormatting sqref="P39">
    <cfRule type="cellIs" dxfId="8854" priority="85" operator="lessThan">
      <formula>50</formula>
    </cfRule>
  </conditionalFormatting>
  <conditionalFormatting sqref="H40:N40">
    <cfRule type="expression" dxfId="8853" priority="83">
      <formula>5</formula>
    </cfRule>
    <cfRule type="cellIs" dxfId="8852" priority="84" operator="lessThan">
      <formula>5</formula>
    </cfRule>
  </conditionalFormatting>
  <conditionalFormatting sqref="H40:N40">
    <cfRule type="cellIs" dxfId="8851" priority="82" operator="lessThan">
      <formula>50</formula>
    </cfRule>
  </conditionalFormatting>
  <conditionalFormatting sqref="P40">
    <cfRule type="cellIs" dxfId="8850" priority="81" operator="lessThan">
      <formula>50</formula>
    </cfRule>
  </conditionalFormatting>
  <conditionalFormatting sqref="H41:N41">
    <cfRule type="expression" dxfId="8849" priority="79">
      <formula>5</formula>
    </cfRule>
    <cfRule type="cellIs" dxfId="8848" priority="80" operator="lessThan">
      <formula>5</formula>
    </cfRule>
  </conditionalFormatting>
  <conditionalFormatting sqref="H41:N41">
    <cfRule type="cellIs" dxfId="8847" priority="78" operator="lessThan">
      <formula>50</formula>
    </cfRule>
  </conditionalFormatting>
  <conditionalFormatting sqref="P41">
    <cfRule type="cellIs" dxfId="8846" priority="77" operator="lessThan">
      <formula>50</formula>
    </cfRule>
  </conditionalFormatting>
  <conditionalFormatting sqref="H42:N42">
    <cfRule type="expression" dxfId="8845" priority="75">
      <formula>5</formula>
    </cfRule>
    <cfRule type="cellIs" dxfId="8844" priority="76" operator="lessThan">
      <formula>5</formula>
    </cfRule>
  </conditionalFormatting>
  <conditionalFormatting sqref="H42:N42">
    <cfRule type="cellIs" dxfId="8843" priority="74" operator="lessThan">
      <formula>50</formula>
    </cfRule>
  </conditionalFormatting>
  <conditionalFormatting sqref="P42">
    <cfRule type="cellIs" dxfId="8842" priority="73" operator="lessThan">
      <formula>50</formula>
    </cfRule>
  </conditionalFormatting>
  <conditionalFormatting sqref="H43:N43">
    <cfRule type="expression" dxfId="8841" priority="71">
      <formula>5</formula>
    </cfRule>
    <cfRule type="cellIs" dxfId="8840" priority="72" operator="lessThan">
      <formula>5</formula>
    </cfRule>
  </conditionalFormatting>
  <conditionalFormatting sqref="H43:N43">
    <cfRule type="cellIs" dxfId="8839" priority="70" operator="lessThan">
      <formula>50</formula>
    </cfRule>
  </conditionalFormatting>
  <conditionalFormatting sqref="P43">
    <cfRule type="cellIs" dxfId="8838" priority="69" operator="lessThan">
      <formula>50</formula>
    </cfRule>
  </conditionalFormatting>
  <conditionalFormatting sqref="H44:N44">
    <cfRule type="expression" dxfId="8837" priority="67">
      <formula>5</formula>
    </cfRule>
    <cfRule type="cellIs" dxfId="8836" priority="68" operator="lessThan">
      <formula>5</formula>
    </cfRule>
  </conditionalFormatting>
  <conditionalFormatting sqref="H44:N44">
    <cfRule type="cellIs" dxfId="8835" priority="66" operator="lessThan">
      <formula>50</formula>
    </cfRule>
  </conditionalFormatting>
  <conditionalFormatting sqref="P44">
    <cfRule type="cellIs" dxfId="8834" priority="65" operator="lessThan">
      <formula>50</formula>
    </cfRule>
  </conditionalFormatting>
  <conditionalFormatting sqref="H45:N45">
    <cfRule type="expression" dxfId="8833" priority="63">
      <formula>5</formula>
    </cfRule>
    <cfRule type="cellIs" dxfId="8832" priority="64" operator="lessThan">
      <formula>5</formula>
    </cfRule>
  </conditionalFormatting>
  <conditionalFormatting sqref="H45:N45">
    <cfRule type="cellIs" dxfId="8831" priority="62" operator="lessThan">
      <formula>50</formula>
    </cfRule>
  </conditionalFormatting>
  <conditionalFormatting sqref="P45">
    <cfRule type="cellIs" dxfId="8830" priority="61" operator="lessThan">
      <formula>50</formula>
    </cfRule>
  </conditionalFormatting>
  <conditionalFormatting sqref="H46:N46">
    <cfRule type="expression" dxfId="8829" priority="59">
      <formula>5</formula>
    </cfRule>
    <cfRule type="cellIs" dxfId="8828" priority="60" operator="lessThan">
      <formula>5</formula>
    </cfRule>
  </conditionalFormatting>
  <conditionalFormatting sqref="H46:N46">
    <cfRule type="cellIs" dxfId="8827" priority="58" operator="lessThan">
      <formula>50</formula>
    </cfRule>
  </conditionalFormatting>
  <conditionalFormatting sqref="P46">
    <cfRule type="cellIs" dxfId="8826" priority="57" operator="lessThan">
      <formula>50</formula>
    </cfRule>
  </conditionalFormatting>
  <conditionalFormatting sqref="H47:N47">
    <cfRule type="expression" dxfId="8825" priority="55">
      <formula>5</formula>
    </cfRule>
    <cfRule type="cellIs" dxfId="8824" priority="56" operator="lessThan">
      <formula>5</formula>
    </cfRule>
  </conditionalFormatting>
  <conditionalFormatting sqref="H47:N47">
    <cfRule type="cellIs" dxfId="8823" priority="54" operator="lessThan">
      <formula>50</formula>
    </cfRule>
  </conditionalFormatting>
  <conditionalFormatting sqref="P47">
    <cfRule type="cellIs" dxfId="8822" priority="53" operator="lessThan">
      <formula>50</formula>
    </cfRule>
  </conditionalFormatting>
  <conditionalFormatting sqref="H48:N48">
    <cfRule type="expression" dxfId="8821" priority="51">
      <formula>5</formula>
    </cfRule>
    <cfRule type="cellIs" dxfId="8820" priority="52" operator="lessThan">
      <formula>5</formula>
    </cfRule>
  </conditionalFormatting>
  <conditionalFormatting sqref="H48:N48">
    <cfRule type="cellIs" dxfId="8819" priority="50" operator="lessThan">
      <formula>50</formula>
    </cfRule>
  </conditionalFormatting>
  <conditionalFormatting sqref="P48">
    <cfRule type="cellIs" dxfId="8818" priority="49" operator="lessThan">
      <formula>50</formula>
    </cfRule>
  </conditionalFormatting>
  <conditionalFormatting sqref="H49:N49">
    <cfRule type="expression" dxfId="8817" priority="47">
      <formula>5</formula>
    </cfRule>
    <cfRule type="cellIs" dxfId="8816" priority="48" operator="lessThan">
      <formula>5</formula>
    </cfRule>
  </conditionalFormatting>
  <conditionalFormatting sqref="H49:N49">
    <cfRule type="cellIs" dxfId="8815" priority="46" operator="lessThan">
      <formula>50</formula>
    </cfRule>
  </conditionalFormatting>
  <conditionalFormatting sqref="P49">
    <cfRule type="cellIs" dxfId="8814" priority="45" operator="lessThan">
      <formula>50</formula>
    </cfRule>
  </conditionalFormatting>
  <conditionalFormatting sqref="H50:N50">
    <cfRule type="expression" dxfId="8813" priority="43">
      <formula>5</formula>
    </cfRule>
    <cfRule type="cellIs" dxfId="8812" priority="44" operator="lessThan">
      <formula>5</formula>
    </cfRule>
  </conditionalFormatting>
  <conditionalFormatting sqref="H50:N50">
    <cfRule type="cellIs" dxfId="8811" priority="42" operator="lessThan">
      <formula>50</formula>
    </cfRule>
  </conditionalFormatting>
  <conditionalFormatting sqref="P50">
    <cfRule type="cellIs" dxfId="8810" priority="41" operator="lessThan">
      <formula>50</formula>
    </cfRule>
  </conditionalFormatting>
  <conditionalFormatting sqref="H51:N51">
    <cfRule type="expression" dxfId="8809" priority="39">
      <formula>5</formula>
    </cfRule>
    <cfRule type="cellIs" dxfId="8808" priority="40" operator="lessThan">
      <formula>5</formula>
    </cfRule>
  </conditionalFormatting>
  <conditionalFormatting sqref="H51:N51">
    <cfRule type="cellIs" dxfId="8807" priority="38" operator="lessThan">
      <formula>50</formula>
    </cfRule>
  </conditionalFormatting>
  <conditionalFormatting sqref="P51">
    <cfRule type="cellIs" dxfId="8806" priority="37" operator="lessThan">
      <formula>50</formula>
    </cfRule>
  </conditionalFormatting>
  <conditionalFormatting sqref="H52:N52">
    <cfRule type="expression" dxfId="8805" priority="35">
      <formula>5</formula>
    </cfRule>
    <cfRule type="cellIs" dxfId="8804" priority="36" operator="lessThan">
      <formula>5</formula>
    </cfRule>
  </conditionalFormatting>
  <conditionalFormatting sqref="H52:N52">
    <cfRule type="cellIs" dxfId="8803" priority="34" operator="lessThan">
      <formula>50</formula>
    </cfRule>
  </conditionalFormatting>
  <conditionalFormatting sqref="P52">
    <cfRule type="cellIs" dxfId="8802" priority="33" operator="lessThan">
      <formula>50</formula>
    </cfRule>
  </conditionalFormatting>
  <conditionalFormatting sqref="H53:N53">
    <cfRule type="expression" dxfId="8801" priority="31">
      <formula>5</formula>
    </cfRule>
    <cfRule type="cellIs" dxfId="8800" priority="32" operator="lessThan">
      <formula>5</formula>
    </cfRule>
  </conditionalFormatting>
  <conditionalFormatting sqref="H53:N53">
    <cfRule type="cellIs" dxfId="8799" priority="30" operator="lessThan">
      <formula>50</formula>
    </cfRule>
  </conditionalFormatting>
  <conditionalFormatting sqref="P53">
    <cfRule type="cellIs" dxfId="8798" priority="29" operator="lessThan">
      <formula>50</formula>
    </cfRule>
  </conditionalFormatting>
  <conditionalFormatting sqref="H54:N54">
    <cfRule type="expression" dxfId="8797" priority="27">
      <formula>5</formula>
    </cfRule>
    <cfRule type="cellIs" dxfId="8796" priority="28" operator="lessThan">
      <formula>5</formula>
    </cfRule>
  </conditionalFormatting>
  <conditionalFormatting sqref="H54:N54">
    <cfRule type="cellIs" dxfId="8795" priority="26" operator="lessThan">
      <formula>50</formula>
    </cfRule>
  </conditionalFormatting>
  <conditionalFormatting sqref="P54">
    <cfRule type="cellIs" dxfId="8794" priority="25" operator="lessThan">
      <formula>50</formula>
    </cfRule>
  </conditionalFormatting>
  <conditionalFormatting sqref="H55:N55">
    <cfRule type="expression" dxfId="8793" priority="23">
      <formula>5</formula>
    </cfRule>
    <cfRule type="cellIs" dxfId="8792" priority="24" operator="lessThan">
      <formula>5</formula>
    </cfRule>
  </conditionalFormatting>
  <conditionalFormatting sqref="H55:N55">
    <cfRule type="cellIs" dxfId="8791" priority="22" operator="lessThan">
      <formula>50</formula>
    </cfRule>
  </conditionalFormatting>
  <conditionalFormatting sqref="P55">
    <cfRule type="cellIs" dxfId="8790" priority="21" operator="lessThan">
      <formula>50</formula>
    </cfRule>
  </conditionalFormatting>
  <conditionalFormatting sqref="H56:N56">
    <cfRule type="expression" dxfId="8789" priority="19">
      <formula>5</formula>
    </cfRule>
    <cfRule type="cellIs" dxfId="8788" priority="20" operator="lessThan">
      <formula>5</formula>
    </cfRule>
  </conditionalFormatting>
  <conditionalFormatting sqref="H56:N56">
    <cfRule type="cellIs" dxfId="8787" priority="18" operator="lessThan">
      <formula>50</formula>
    </cfRule>
  </conditionalFormatting>
  <conditionalFormatting sqref="P56">
    <cfRule type="cellIs" dxfId="8786" priority="17" operator="lessThan">
      <formula>50</formula>
    </cfRule>
  </conditionalFormatting>
  <conditionalFormatting sqref="H57:N57">
    <cfRule type="expression" dxfId="8785" priority="15">
      <formula>5</formula>
    </cfRule>
    <cfRule type="cellIs" dxfId="8784" priority="16" operator="lessThan">
      <formula>5</formula>
    </cfRule>
  </conditionalFormatting>
  <conditionalFormatting sqref="H57:N57">
    <cfRule type="cellIs" dxfId="8783" priority="14" operator="lessThan">
      <formula>50</formula>
    </cfRule>
  </conditionalFormatting>
  <conditionalFormatting sqref="P57">
    <cfRule type="cellIs" dxfId="8782" priority="13" operator="lessThan">
      <formula>50</formula>
    </cfRule>
  </conditionalFormatting>
  <conditionalFormatting sqref="H58:N58">
    <cfRule type="expression" dxfId="8781" priority="11">
      <formula>5</formula>
    </cfRule>
    <cfRule type="cellIs" dxfId="8780" priority="12" operator="lessThan">
      <formula>5</formula>
    </cfRule>
  </conditionalFormatting>
  <conditionalFormatting sqref="H58:N58">
    <cfRule type="cellIs" dxfId="8779" priority="10" operator="lessThan">
      <formula>50</formula>
    </cfRule>
  </conditionalFormatting>
  <conditionalFormatting sqref="P58">
    <cfRule type="cellIs" dxfId="8778" priority="9" operator="lessThan">
      <formula>50</formula>
    </cfRule>
  </conditionalFormatting>
  <conditionalFormatting sqref="H59:N59">
    <cfRule type="expression" dxfId="8777" priority="7">
      <formula>5</formula>
    </cfRule>
    <cfRule type="cellIs" dxfId="8776" priority="8" operator="lessThan">
      <formula>5</formula>
    </cfRule>
  </conditionalFormatting>
  <conditionalFormatting sqref="H59:N59">
    <cfRule type="cellIs" dxfId="8775" priority="6" operator="lessThan">
      <formula>50</formula>
    </cfRule>
  </conditionalFormatting>
  <conditionalFormatting sqref="P59">
    <cfRule type="cellIs" dxfId="8774" priority="5" operator="lessThan">
      <formula>50</formula>
    </cfRule>
  </conditionalFormatting>
  <conditionalFormatting sqref="H60:N60">
    <cfRule type="expression" dxfId="8773" priority="3">
      <formula>5</formula>
    </cfRule>
    <cfRule type="cellIs" dxfId="8772" priority="4" operator="lessThan">
      <formula>5</formula>
    </cfRule>
  </conditionalFormatting>
  <conditionalFormatting sqref="H60:N60">
    <cfRule type="cellIs" dxfId="8771" priority="2" operator="lessThan">
      <formula>50</formula>
    </cfRule>
  </conditionalFormatting>
  <conditionalFormatting sqref="P60">
    <cfRule type="cellIs" dxfId="8770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0:E12 D15:E16 D18:E21 D24:E24 D26:E29" xr:uid="{B7125986-A691-43B7-A578-E06D2FA1FA14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38DC-8611-418D-AB55-783D10E48A37}">
  <sheetPr codeName="Sheet87"/>
  <dimension ref="A1:Q60"/>
  <sheetViews>
    <sheetView showGridLines="0" workbookViewId="0">
      <selection activeCell="D5" sqref="D5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7" width="4.7109375" customWidth="1"/>
  </cols>
  <sheetData>
    <row r="1" spans="1:17" ht="18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8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8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8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</row>
    <row r="5" spans="1:17" ht="18" customHeight="1">
      <c r="A5" s="57" t="s">
        <v>5326</v>
      </c>
      <c r="B5" s="57"/>
      <c r="C5" s="17"/>
      <c r="D5" s="17" t="s">
        <v>5331</v>
      </c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7" t="s">
        <v>0</v>
      </c>
      <c r="I6" s="38" t="s">
        <v>1</v>
      </c>
      <c r="J6" s="37" t="s">
        <v>2</v>
      </c>
      <c r="K6" s="37" t="s">
        <v>3</v>
      </c>
      <c r="L6" s="37" t="s">
        <v>4</v>
      </c>
      <c r="M6" s="37" t="s">
        <v>5</v>
      </c>
      <c r="N6" s="37" t="s">
        <v>6</v>
      </c>
      <c r="O6" s="37" t="s">
        <v>5320</v>
      </c>
      <c r="P6" s="37" t="s">
        <v>5321</v>
      </c>
      <c r="Q6" s="39" t="s">
        <v>5324</v>
      </c>
    </row>
    <row r="7" spans="1:17" ht="18" customHeight="1" thickTop="1">
      <c r="A7" s="19">
        <v>1</v>
      </c>
      <c r="B7" s="2" t="s">
        <v>649</v>
      </c>
      <c r="C7" s="1" t="s">
        <v>650</v>
      </c>
      <c r="D7" s="3" t="s">
        <v>651</v>
      </c>
      <c r="E7" s="1" t="s">
        <v>61</v>
      </c>
      <c r="F7" s="10" t="s">
        <v>633</v>
      </c>
      <c r="G7" s="2">
        <v>26</v>
      </c>
      <c r="H7" s="8">
        <v>92</v>
      </c>
      <c r="I7" s="8">
        <v>89</v>
      </c>
      <c r="J7" s="8">
        <v>100</v>
      </c>
      <c r="K7" s="8">
        <v>60</v>
      </c>
      <c r="L7" s="8">
        <v>92</v>
      </c>
      <c r="M7" s="8">
        <v>100</v>
      </c>
      <c r="N7" s="8">
        <v>52</v>
      </c>
      <c r="O7" s="1">
        <f t="shared" ref="O7:O38" si="0">SUBTOTAL(9,H7:N7)</f>
        <v>585</v>
      </c>
      <c r="P7" s="14">
        <f t="shared" ref="P7:P38" si="1">O7/8</f>
        <v>73.125</v>
      </c>
      <c r="Q7" s="20">
        <f t="shared" ref="Q7:Q38" si="2">RANK(P7,P$7:P$282,0)</f>
        <v>1</v>
      </c>
    </row>
    <row r="8" spans="1:17" ht="18" customHeight="1">
      <c r="A8" s="19">
        <v>2</v>
      </c>
      <c r="B8" s="2" t="s">
        <v>735</v>
      </c>
      <c r="C8" s="1">
        <v>311260364</v>
      </c>
      <c r="D8" s="3" t="s">
        <v>736</v>
      </c>
      <c r="E8" s="1" t="s">
        <v>62</v>
      </c>
      <c r="F8" s="10" t="s">
        <v>633</v>
      </c>
      <c r="G8" s="2">
        <v>28</v>
      </c>
      <c r="H8" s="8">
        <v>96</v>
      </c>
      <c r="I8" s="8">
        <v>77</v>
      </c>
      <c r="J8" s="8">
        <v>92</v>
      </c>
      <c r="K8" s="8">
        <v>65</v>
      </c>
      <c r="L8" s="8">
        <v>76</v>
      </c>
      <c r="M8" s="8">
        <v>84</v>
      </c>
      <c r="N8" s="8">
        <v>60</v>
      </c>
      <c r="O8" s="1">
        <f t="shared" si="0"/>
        <v>550</v>
      </c>
      <c r="P8" s="14">
        <f t="shared" si="1"/>
        <v>68.75</v>
      </c>
      <c r="Q8" s="20">
        <f t="shared" si="2"/>
        <v>2</v>
      </c>
    </row>
    <row r="9" spans="1:17" ht="18" customHeight="1">
      <c r="A9" s="19">
        <v>3</v>
      </c>
      <c r="B9" s="2" t="s">
        <v>729</v>
      </c>
      <c r="C9" s="1">
        <v>311260361</v>
      </c>
      <c r="D9" s="3" t="s">
        <v>730</v>
      </c>
      <c r="E9" s="1" t="s">
        <v>58</v>
      </c>
      <c r="F9" s="10" t="s">
        <v>633</v>
      </c>
      <c r="G9" s="2">
        <v>28</v>
      </c>
      <c r="H9" s="8">
        <v>92</v>
      </c>
      <c r="I9" s="8">
        <v>81</v>
      </c>
      <c r="J9" s="8">
        <v>92</v>
      </c>
      <c r="K9" s="8">
        <v>60</v>
      </c>
      <c r="L9" s="8">
        <v>60</v>
      </c>
      <c r="M9" s="8">
        <v>92</v>
      </c>
      <c r="N9" s="8">
        <v>60</v>
      </c>
      <c r="O9" s="1">
        <f t="shared" si="0"/>
        <v>537</v>
      </c>
      <c r="P9" s="14">
        <f t="shared" si="1"/>
        <v>67.125</v>
      </c>
      <c r="Q9" s="20">
        <f t="shared" si="2"/>
        <v>3</v>
      </c>
    </row>
    <row r="10" spans="1:17" ht="18" customHeight="1">
      <c r="A10" s="19">
        <v>4</v>
      </c>
      <c r="B10" s="2" t="s">
        <v>658</v>
      </c>
      <c r="C10" s="1" t="s">
        <v>659</v>
      </c>
      <c r="D10" s="3" t="s">
        <v>660</v>
      </c>
      <c r="E10" s="1" t="s">
        <v>74</v>
      </c>
      <c r="F10" s="10" t="s">
        <v>633</v>
      </c>
      <c r="G10" s="2">
        <v>27</v>
      </c>
      <c r="H10" s="8">
        <v>92</v>
      </c>
      <c r="I10" s="8">
        <v>92</v>
      </c>
      <c r="J10" s="8">
        <v>100</v>
      </c>
      <c r="K10" s="8">
        <v>60</v>
      </c>
      <c r="L10" s="8">
        <v>64</v>
      </c>
      <c r="M10" s="8">
        <v>52</v>
      </c>
      <c r="N10" s="8">
        <v>76</v>
      </c>
      <c r="O10" s="1">
        <f t="shared" si="0"/>
        <v>536</v>
      </c>
      <c r="P10" s="14">
        <f t="shared" si="1"/>
        <v>67</v>
      </c>
      <c r="Q10" s="20">
        <f t="shared" si="2"/>
        <v>4</v>
      </c>
    </row>
    <row r="11" spans="1:17" ht="18" customHeight="1">
      <c r="A11" s="19">
        <v>5</v>
      </c>
      <c r="B11" s="2" t="s">
        <v>682</v>
      </c>
      <c r="C11" s="1" t="s">
        <v>683</v>
      </c>
      <c r="D11" s="3" t="s">
        <v>684</v>
      </c>
      <c r="E11" s="1" t="s">
        <v>685</v>
      </c>
      <c r="F11" s="10" t="s">
        <v>633</v>
      </c>
      <c r="G11" s="2">
        <v>27</v>
      </c>
      <c r="H11" s="8">
        <v>92</v>
      </c>
      <c r="I11" s="8">
        <v>89</v>
      </c>
      <c r="J11" s="8">
        <v>76</v>
      </c>
      <c r="K11" s="8">
        <v>65</v>
      </c>
      <c r="L11" s="8">
        <v>76</v>
      </c>
      <c r="M11" s="8">
        <v>52</v>
      </c>
      <c r="N11" s="8">
        <v>68</v>
      </c>
      <c r="O11" s="1">
        <f t="shared" si="0"/>
        <v>518</v>
      </c>
      <c r="P11" s="14">
        <f t="shared" si="1"/>
        <v>64.75</v>
      </c>
      <c r="Q11" s="20">
        <f t="shared" si="2"/>
        <v>5</v>
      </c>
    </row>
    <row r="12" spans="1:17" ht="18" customHeight="1">
      <c r="A12" s="19">
        <v>6</v>
      </c>
      <c r="B12" s="2" t="s">
        <v>686</v>
      </c>
      <c r="C12" s="1" t="s">
        <v>687</v>
      </c>
      <c r="D12" s="3" t="s">
        <v>688</v>
      </c>
      <c r="E12" s="1" t="s">
        <v>685</v>
      </c>
      <c r="F12" s="10" t="s">
        <v>633</v>
      </c>
      <c r="G12" s="2">
        <v>27</v>
      </c>
      <c r="H12" s="8">
        <v>76</v>
      </c>
      <c r="I12" s="8">
        <v>89</v>
      </c>
      <c r="J12" s="8">
        <v>92</v>
      </c>
      <c r="K12" s="8">
        <v>50</v>
      </c>
      <c r="L12" s="8">
        <v>68</v>
      </c>
      <c r="M12" s="8">
        <v>60</v>
      </c>
      <c r="N12" s="8">
        <v>76</v>
      </c>
      <c r="O12" s="1">
        <f t="shared" si="0"/>
        <v>511</v>
      </c>
      <c r="P12" s="14">
        <f t="shared" si="1"/>
        <v>63.875</v>
      </c>
      <c r="Q12" s="20">
        <f t="shared" si="2"/>
        <v>6</v>
      </c>
    </row>
    <row r="13" spans="1:17" ht="18" customHeight="1">
      <c r="A13" s="19">
        <v>7</v>
      </c>
      <c r="B13" s="2" t="s">
        <v>697</v>
      </c>
      <c r="C13" s="1">
        <v>311260251</v>
      </c>
      <c r="D13" s="3" t="s">
        <v>698</v>
      </c>
      <c r="E13" s="1" t="s">
        <v>73</v>
      </c>
      <c r="F13" s="10" t="s">
        <v>633</v>
      </c>
      <c r="G13" s="2">
        <v>27</v>
      </c>
      <c r="H13" s="8">
        <v>100</v>
      </c>
      <c r="I13" s="8">
        <v>85</v>
      </c>
      <c r="J13" s="8">
        <v>92</v>
      </c>
      <c r="K13" s="8">
        <v>20</v>
      </c>
      <c r="L13" s="8">
        <v>84</v>
      </c>
      <c r="M13" s="8">
        <v>48</v>
      </c>
      <c r="N13" s="8">
        <v>76</v>
      </c>
      <c r="O13" s="1">
        <f t="shared" si="0"/>
        <v>505</v>
      </c>
      <c r="P13" s="14">
        <f t="shared" si="1"/>
        <v>63.125</v>
      </c>
      <c r="Q13" s="20">
        <f t="shared" si="2"/>
        <v>7</v>
      </c>
    </row>
    <row r="14" spans="1:17" ht="18" customHeight="1">
      <c r="A14" s="19">
        <v>8</v>
      </c>
      <c r="B14" s="2" t="s">
        <v>679</v>
      </c>
      <c r="C14" s="1" t="s">
        <v>680</v>
      </c>
      <c r="D14" s="3" t="s">
        <v>681</v>
      </c>
      <c r="E14" s="1" t="s">
        <v>76</v>
      </c>
      <c r="F14" s="10" t="s">
        <v>633</v>
      </c>
      <c r="G14" s="2">
        <v>27</v>
      </c>
      <c r="H14" s="8">
        <v>92</v>
      </c>
      <c r="I14" s="8">
        <v>77</v>
      </c>
      <c r="J14" s="8">
        <v>100</v>
      </c>
      <c r="K14" s="8">
        <v>60</v>
      </c>
      <c r="L14" s="8">
        <v>68</v>
      </c>
      <c r="M14" s="8">
        <v>44</v>
      </c>
      <c r="N14" s="8">
        <v>60</v>
      </c>
      <c r="O14" s="1">
        <f t="shared" si="0"/>
        <v>501</v>
      </c>
      <c r="P14" s="14">
        <f t="shared" si="1"/>
        <v>62.625</v>
      </c>
      <c r="Q14" s="20">
        <f t="shared" si="2"/>
        <v>8</v>
      </c>
    </row>
    <row r="15" spans="1:17" ht="18" customHeight="1">
      <c r="A15" s="19">
        <v>9</v>
      </c>
      <c r="B15" s="2" t="s">
        <v>634</v>
      </c>
      <c r="C15" s="1" t="s">
        <v>635</v>
      </c>
      <c r="D15" s="3" t="s">
        <v>636</v>
      </c>
      <c r="E15" s="1" t="s">
        <v>70</v>
      </c>
      <c r="F15" s="10" t="s">
        <v>633</v>
      </c>
      <c r="G15" s="2">
        <v>26</v>
      </c>
      <c r="H15" s="8">
        <v>68</v>
      </c>
      <c r="I15" s="8">
        <v>96</v>
      </c>
      <c r="J15" s="8">
        <v>100</v>
      </c>
      <c r="K15" s="8">
        <v>55</v>
      </c>
      <c r="L15" s="8">
        <v>76</v>
      </c>
      <c r="M15" s="8">
        <v>28</v>
      </c>
      <c r="N15" s="8">
        <v>68</v>
      </c>
      <c r="O15" s="1">
        <f t="shared" si="0"/>
        <v>491</v>
      </c>
      <c r="P15" s="14">
        <f t="shared" si="1"/>
        <v>61.375</v>
      </c>
      <c r="Q15" s="20">
        <f t="shared" si="2"/>
        <v>9</v>
      </c>
    </row>
    <row r="16" spans="1:17" ht="18" customHeight="1">
      <c r="A16" s="19">
        <v>10</v>
      </c>
      <c r="B16" s="2" t="s">
        <v>757</v>
      </c>
      <c r="C16" s="1">
        <v>311260823</v>
      </c>
      <c r="D16" s="3" t="s">
        <v>758</v>
      </c>
      <c r="E16" s="1" t="s">
        <v>76</v>
      </c>
      <c r="F16" s="10" t="s">
        <v>633</v>
      </c>
      <c r="G16" s="2">
        <v>29</v>
      </c>
      <c r="H16" s="8">
        <v>92</v>
      </c>
      <c r="I16" s="8">
        <v>89</v>
      </c>
      <c r="J16" s="8">
        <v>76</v>
      </c>
      <c r="K16" s="8">
        <v>45</v>
      </c>
      <c r="L16" s="8">
        <v>76</v>
      </c>
      <c r="M16" s="8">
        <v>44</v>
      </c>
      <c r="N16" s="8">
        <v>68</v>
      </c>
      <c r="O16" s="1">
        <f t="shared" si="0"/>
        <v>490</v>
      </c>
      <c r="P16" s="14">
        <f t="shared" si="1"/>
        <v>61.25</v>
      </c>
      <c r="Q16" s="20">
        <f t="shared" si="2"/>
        <v>10</v>
      </c>
    </row>
    <row r="17" spans="1:17" ht="18" customHeight="1">
      <c r="A17" s="19">
        <v>11</v>
      </c>
      <c r="B17" s="2" t="s">
        <v>673</v>
      </c>
      <c r="C17" s="1" t="s">
        <v>674</v>
      </c>
      <c r="D17" s="3" t="s">
        <v>675</v>
      </c>
      <c r="E17" s="1" t="s">
        <v>76</v>
      </c>
      <c r="F17" s="10" t="s">
        <v>633</v>
      </c>
      <c r="G17" s="2">
        <v>27</v>
      </c>
      <c r="H17" s="8">
        <v>92</v>
      </c>
      <c r="I17" s="8">
        <v>85</v>
      </c>
      <c r="J17" s="8">
        <v>76</v>
      </c>
      <c r="K17" s="8">
        <v>45</v>
      </c>
      <c r="L17" s="8">
        <v>84</v>
      </c>
      <c r="M17" s="8">
        <v>40</v>
      </c>
      <c r="N17" s="8">
        <v>68</v>
      </c>
      <c r="O17" s="1">
        <f t="shared" si="0"/>
        <v>490</v>
      </c>
      <c r="P17" s="14">
        <f t="shared" si="1"/>
        <v>61.25</v>
      </c>
      <c r="Q17" s="20">
        <f t="shared" si="2"/>
        <v>10</v>
      </c>
    </row>
    <row r="18" spans="1:17" ht="18" customHeight="1">
      <c r="A18" s="19">
        <v>12</v>
      </c>
      <c r="B18" s="2" t="s">
        <v>705</v>
      </c>
      <c r="C18" s="1">
        <v>311260255</v>
      </c>
      <c r="D18" s="3" t="s">
        <v>706</v>
      </c>
      <c r="E18" s="1" t="s">
        <v>74</v>
      </c>
      <c r="F18" s="10" t="s">
        <v>633</v>
      </c>
      <c r="G18" s="2">
        <v>27</v>
      </c>
      <c r="H18" s="8">
        <v>92</v>
      </c>
      <c r="I18" s="8">
        <v>89</v>
      </c>
      <c r="J18" s="8">
        <v>76</v>
      </c>
      <c r="K18" s="8">
        <v>35</v>
      </c>
      <c r="L18" s="8">
        <v>68</v>
      </c>
      <c r="M18" s="8">
        <v>60</v>
      </c>
      <c r="N18" s="8">
        <v>68</v>
      </c>
      <c r="O18" s="1">
        <f t="shared" si="0"/>
        <v>488</v>
      </c>
      <c r="P18" s="14">
        <f t="shared" si="1"/>
        <v>61</v>
      </c>
      <c r="Q18" s="20">
        <f t="shared" si="2"/>
        <v>12</v>
      </c>
    </row>
    <row r="19" spans="1:17" ht="18" customHeight="1">
      <c r="A19" s="19">
        <v>13</v>
      </c>
      <c r="B19" s="2" t="s">
        <v>713</v>
      </c>
      <c r="C19" s="1">
        <v>311260353</v>
      </c>
      <c r="D19" s="3" t="s">
        <v>714</v>
      </c>
      <c r="E19" s="1" t="s">
        <v>71</v>
      </c>
      <c r="F19" s="10" t="s">
        <v>633</v>
      </c>
      <c r="G19" s="2">
        <v>28</v>
      </c>
      <c r="H19" s="8">
        <v>84</v>
      </c>
      <c r="I19" s="8">
        <v>85</v>
      </c>
      <c r="J19" s="8">
        <v>76</v>
      </c>
      <c r="K19" s="8">
        <v>45</v>
      </c>
      <c r="L19" s="8">
        <v>60</v>
      </c>
      <c r="M19" s="8">
        <v>68</v>
      </c>
      <c r="N19" s="8">
        <v>68</v>
      </c>
      <c r="O19" s="1">
        <f t="shared" si="0"/>
        <v>486</v>
      </c>
      <c r="P19" s="14">
        <f t="shared" si="1"/>
        <v>60.75</v>
      </c>
      <c r="Q19" s="20">
        <f t="shared" si="2"/>
        <v>13</v>
      </c>
    </row>
    <row r="20" spans="1:17" ht="18" customHeight="1">
      <c r="A20" s="19">
        <v>14</v>
      </c>
      <c r="B20" s="2" t="s">
        <v>707</v>
      </c>
      <c r="C20" s="1">
        <v>311260256</v>
      </c>
      <c r="D20" s="3" t="s">
        <v>708</v>
      </c>
      <c r="E20" s="1" t="s">
        <v>64</v>
      </c>
      <c r="F20" s="10" t="s">
        <v>633</v>
      </c>
      <c r="G20" s="2">
        <v>27</v>
      </c>
      <c r="H20" s="8">
        <v>76</v>
      </c>
      <c r="I20" s="8">
        <v>81</v>
      </c>
      <c r="J20" s="8">
        <v>76</v>
      </c>
      <c r="K20" s="8">
        <v>10</v>
      </c>
      <c r="L20" s="8">
        <v>60</v>
      </c>
      <c r="M20" s="8">
        <v>84</v>
      </c>
      <c r="N20" s="8">
        <v>76</v>
      </c>
      <c r="O20" s="1">
        <f t="shared" si="0"/>
        <v>463</v>
      </c>
      <c r="P20" s="14">
        <f t="shared" si="1"/>
        <v>57.875</v>
      </c>
      <c r="Q20" s="20">
        <f t="shared" si="2"/>
        <v>14</v>
      </c>
    </row>
    <row r="21" spans="1:17" ht="18" customHeight="1">
      <c r="A21" s="19">
        <v>15</v>
      </c>
      <c r="B21" s="2" t="s">
        <v>745</v>
      </c>
      <c r="C21" s="1">
        <v>311260369</v>
      </c>
      <c r="D21" s="3" t="s">
        <v>746</v>
      </c>
      <c r="E21" s="1" t="s">
        <v>81</v>
      </c>
      <c r="F21" s="10" t="s">
        <v>633</v>
      </c>
      <c r="G21" s="2">
        <v>28</v>
      </c>
      <c r="H21" s="8">
        <v>84</v>
      </c>
      <c r="I21" s="8">
        <v>51</v>
      </c>
      <c r="J21" s="8">
        <v>68</v>
      </c>
      <c r="K21" s="8">
        <v>60</v>
      </c>
      <c r="L21" s="8">
        <v>84</v>
      </c>
      <c r="M21" s="8">
        <v>60</v>
      </c>
      <c r="N21" s="8">
        <v>44</v>
      </c>
      <c r="O21" s="1">
        <f t="shared" si="0"/>
        <v>451</v>
      </c>
      <c r="P21" s="14">
        <f t="shared" si="1"/>
        <v>56.375</v>
      </c>
      <c r="Q21" s="20">
        <f t="shared" si="2"/>
        <v>15</v>
      </c>
    </row>
    <row r="22" spans="1:17" ht="18" customHeight="1">
      <c r="A22" s="19">
        <v>16</v>
      </c>
      <c r="B22" s="2" t="s">
        <v>753</v>
      </c>
      <c r="C22" s="1">
        <v>311260821</v>
      </c>
      <c r="D22" s="3" t="s">
        <v>754</v>
      </c>
      <c r="E22" s="1" t="s">
        <v>66</v>
      </c>
      <c r="F22" s="10" t="s">
        <v>633</v>
      </c>
      <c r="G22" s="2">
        <v>29</v>
      </c>
      <c r="H22" s="8">
        <v>68</v>
      </c>
      <c r="I22" s="8">
        <v>66</v>
      </c>
      <c r="J22" s="8">
        <v>76</v>
      </c>
      <c r="K22" s="8">
        <v>45</v>
      </c>
      <c r="L22" s="8">
        <v>92</v>
      </c>
      <c r="M22" s="8">
        <v>52</v>
      </c>
      <c r="N22" s="8">
        <v>52</v>
      </c>
      <c r="O22" s="1">
        <f t="shared" si="0"/>
        <v>451</v>
      </c>
      <c r="P22" s="14">
        <f t="shared" si="1"/>
        <v>56.375</v>
      </c>
      <c r="Q22" s="20">
        <f t="shared" si="2"/>
        <v>15</v>
      </c>
    </row>
    <row r="23" spans="1:17" ht="18" customHeight="1">
      <c r="A23" s="19">
        <v>17</v>
      </c>
      <c r="B23" s="2" t="s">
        <v>749</v>
      </c>
      <c r="C23" s="1">
        <v>311260819</v>
      </c>
      <c r="D23" s="3" t="s">
        <v>750</v>
      </c>
      <c r="E23" s="1" t="s">
        <v>69</v>
      </c>
      <c r="F23" s="10" t="s">
        <v>633</v>
      </c>
      <c r="G23" s="2">
        <v>28</v>
      </c>
      <c r="H23" s="8">
        <v>92</v>
      </c>
      <c r="I23" s="8">
        <v>58</v>
      </c>
      <c r="J23" s="8">
        <v>52</v>
      </c>
      <c r="K23" s="8">
        <v>35</v>
      </c>
      <c r="L23" s="8">
        <v>92</v>
      </c>
      <c r="M23" s="8">
        <v>44</v>
      </c>
      <c r="N23" s="8">
        <v>60</v>
      </c>
      <c r="O23" s="1">
        <f t="shared" si="0"/>
        <v>433</v>
      </c>
      <c r="P23" s="14">
        <f t="shared" si="1"/>
        <v>54.125</v>
      </c>
      <c r="Q23" s="20">
        <f t="shared" si="2"/>
        <v>17</v>
      </c>
    </row>
    <row r="24" spans="1:17" ht="18" customHeight="1">
      <c r="A24" s="19">
        <v>18</v>
      </c>
      <c r="B24" s="2" t="s">
        <v>701</v>
      </c>
      <c r="C24" s="1">
        <v>311260253</v>
      </c>
      <c r="D24" s="3" t="s">
        <v>702</v>
      </c>
      <c r="E24" s="1" t="s">
        <v>84</v>
      </c>
      <c r="F24" s="10" t="s">
        <v>633</v>
      </c>
      <c r="G24" s="2">
        <v>27</v>
      </c>
      <c r="H24" s="8">
        <v>84</v>
      </c>
      <c r="I24" s="8">
        <v>89</v>
      </c>
      <c r="J24" s="8">
        <v>60</v>
      </c>
      <c r="K24" s="8">
        <v>30</v>
      </c>
      <c r="L24" s="8">
        <v>84</v>
      </c>
      <c r="M24" s="8">
        <v>24</v>
      </c>
      <c r="N24" s="8">
        <v>60</v>
      </c>
      <c r="O24" s="1">
        <f t="shared" si="0"/>
        <v>431</v>
      </c>
      <c r="P24" s="14">
        <f t="shared" si="1"/>
        <v>53.875</v>
      </c>
      <c r="Q24" s="20">
        <f t="shared" si="2"/>
        <v>18</v>
      </c>
    </row>
    <row r="25" spans="1:17" ht="18" customHeight="1">
      <c r="A25" s="19">
        <v>19</v>
      </c>
      <c r="B25" s="2" t="s">
        <v>643</v>
      </c>
      <c r="C25" s="1" t="s">
        <v>644</v>
      </c>
      <c r="D25" s="3" t="s">
        <v>645</v>
      </c>
      <c r="E25" s="1" t="s">
        <v>71</v>
      </c>
      <c r="F25" s="10" t="s">
        <v>633</v>
      </c>
      <c r="G25" s="2">
        <v>26</v>
      </c>
      <c r="H25" s="8">
        <v>68</v>
      </c>
      <c r="I25" s="8">
        <v>85</v>
      </c>
      <c r="J25" s="8">
        <v>84</v>
      </c>
      <c r="K25" s="8">
        <v>60</v>
      </c>
      <c r="L25" s="8">
        <v>60</v>
      </c>
      <c r="M25" s="8">
        <v>20</v>
      </c>
      <c r="N25" s="8">
        <v>52</v>
      </c>
      <c r="O25" s="1">
        <f t="shared" si="0"/>
        <v>429</v>
      </c>
      <c r="P25" s="14">
        <f t="shared" si="1"/>
        <v>53.625</v>
      </c>
      <c r="Q25" s="20">
        <f t="shared" si="2"/>
        <v>19</v>
      </c>
    </row>
    <row r="26" spans="1:17" ht="18" customHeight="1">
      <c r="A26" s="19">
        <v>20</v>
      </c>
      <c r="B26" s="2" t="s">
        <v>741</v>
      </c>
      <c r="C26" s="1">
        <v>311260367</v>
      </c>
      <c r="D26" s="3" t="s">
        <v>742</v>
      </c>
      <c r="E26" s="1" t="s">
        <v>81</v>
      </c>
      <c r="F26" s="10" t="s">
        <v>633</v>
      </c>
      <c r="G26" s="2">
        <v>28</v>
      </c>
      <c r="H26" s="8">
        <v>80</v>
      </c>
      <c r="I26" s="8">
        <v>81</v>
      </c>
      <c r="J26" s="8">
        <v>44</v>
      </c>
      <c r="K26" s="8">
        <v>40</v>
      </c>
      <c r="L26" s="8">
        <v>68</v>
      </c>
      <c r="M26" s="8">
        <v>52</v>
      </c>
      <c r="N26" s="8">
        <v>64</v>
      </c>
      <c r="O26" s="1">
        <f t="shared" si="0"/>
        <v>429</v>
      </c>
      <c r="P26" s="14">
        <f t="shared" si="1"/>
        <v>53.625</v>
      </c>
      <c r="Q26" s="20">
        <f t="shared" si="2"/>
        <v>19</v>
      </c>
    </row>
    <row r="27" spans="1:17" ht="18" customHeight="1">
      <c r="A27" s="19">
        <v>21</v>
      </c>
      <c r="B27" s="2" t="s">
        <v>646</v>
      </c>
      <c r="C27" s="1" t="s">
        <v>647</v>
      </c>
      <c r="D27" s="3" t="s">
        <v>648</v>
      </c>
      <c r="E27" s="1" t="s">
        <v>72</v>
      </c>
      <c r="F27" s="10" t="s">
        <v>633</v>
      </c>
      <c r="G27" s="2">
        <v>26</v>
      </c>
      <c r="H27" s="8">
        <v>76</v>
      </c>
      <c r="I27" s="8">
        <v>81</v>
      </c>
      <c r="J27" s="8">
        <v>68</v>
      </c>
      <c r="K27" s="8">
        <v>45</v>
      </c>
      <c r="L27" s="8">
        <v>60</v>
      </c>
      <c r="M27" s="8">
        <v>52</v>
      </c>
      <c r="N27" s="8">
        <v>44</v>
      </c>
      <c r="O27" s="1">
        <f t="shared" si="0"/>
        <v>426</v>
      </c>
      <c r="P27" s="14">
        <f t="shared" si="1"/>
        <v>53.25</v>
      </c>
      <c r="Q27" s="20">
        <f t="shared" si="2"/>
        <v>21</v>
      </c>
    </row>
    <row r="28" spans="1:17" ht="18" customHeight="1">
      <c r="A28" s="19">
        <v>22</v>
      </c>
      <c r="B28" s="2" t="s">
        <v>637</v>
      </c>
      <c r="C28" s="1" t="s">
        <v>638</v>
      </c>
      <c r="D28" s="3" t="s">
        <v>639</v>
      </c>
      <c r="E28" s="1" t="s">
        <v>56</v>
      </c>
      <c r="F28" s="10" t="s">
        <v>633</v>
      </c>
      <c r="G28" s="2">
        <v>26</v>
      </c>
      <c r="H28" s="8">
        <v>76</v>
      </c>
      <c r="I28" s="8">
        <v>96</v>
      </c>
      <c r="J28" s="8">
        <v>92</v>
      </c>
      <c r="K28" s="8">
        <v>20</v>
      </c>
      <c r="L28" s="8">
        <v>76</v>
      </c>
      <c r="M28" s="8">
        <v>36</v>
      </c>
      <c r="N28" s="8">
        <v>28</v>
      </c>
      <c r="O28" s="1">
        <f t="shared" si="0"/>
        <v>424</v>
      </c>
      <c r="P28" s="14">
        <f t="shared" si="1"/>
        <v>53</v>
      </c>
      <c r="Q28" s="20">
        <f t="shared" si="2"/>
        <v>22</v>
      </c>
    </row>
    <row r="29" spans="1:17" ht="18" customHeight="1">
      <c r="A29" s="19">
        <v>23</v>
      </c>
      <c r="B29" s="2" t="s">
        <v>691</v>
      </c>
      <c r="C29" s="1">
        <v>311260248</v>
      </c>
      <c r="D29" s="3" t="s">
        <v>692</v>
      </c>
      <c r="E29" s="1" t="s">
        <v>60</v>
      </c>
      <c r="F29" s="10" t="s">
        <v>633</v>
      </c>
      <c r="G29" s="2">
        <v>27</v>
      </c>
      <c r="H29" s="8">
        <v>76</v>
      </c>
      <c r="I29" s="8">
        <v>62</v>
      </c>
      <c r="J29" s="8">
        <v>60</v>
      </c>
      <c r="K29" s="8">
        <v>35</v>
      </c>
      <c r="L29" s="8">
        <v>68</v>
      </c>
      <c r="M29" s="8">
        <v>68</v>
      </c>
      <c r="N29" s="8">
        <v>52</v>
      </c>
      <c r="O29" s="1">
        <f t="shared" si="0"/>
        <v>421</v>
      </c>
      <c r="P29" s="14">
        <f t="shared" si="1"/>
        <v>52.625</v>
      </c>
      <c r="Q29" s="20">
        <f t="shared" si="2"/>
        <v>23</v>
      </c>
    </row>
    <row r="30" spans="1:17" ht="18" customHeight="1">
      <c r="A30" s="19">
        <v>24</v>
      </c>
      <c r="B30" s="2" t="s">
        <v>711</v>
      </c>
      <c r="C30" s="1">
        <v>311260352</v>
      </c>
      <c r="D30" s="3" t="s">
        <v>712</v>
      </c>
      <c r="E30" s="1" t="s">
        <v>71</v>
      </c>
      <c r="F30" s="10" t="s">
        <v>633</v>
      </c>
      <c r="G30" s="2">
        <v>28</v>
      </c>
      <c r="H30" s="8">
        <v>100</v>
      </c>
      <c r="I30" s="8">
        <v>54</v>
      </c>
      <c r="J30" s="8">
        <v>68</v>
      </c>
      <c r="K30" s="8">
        <v>0</v>
      </c>
      <c r="L30" s="8">
        <v>60</v>
      </c>
      <c r="M30" s="8">
        <v>60</v>
      </c>
      <c r="N30" s="8">
        <v>76</v>
      </c>
      <c r="O30" s="1">
        <f t="shared" si="0"/>
        <v>418</v>
      </c>
      <c r="P30" s="14">
        <f t="shared" si="1"/>
        <v>52.25</v>
      </c>
      <c r="Q30" s="20">
        <f t="shared" si="2"/>
        <v>24</v>
      </c>
    </row>
    <row r="31" spans="1:17" ht="18" customHeight="1">
      <c r="A31" s="19">
        <v>25</v>
      </c>
      <c r="B31" s="2" t="s">
        <v>739</v>
      </c>
      <c r="C31" s="1">
        <v>311260366</v>
      </c>
      <c r="D31" s="3" t="s">
        <v>740</v>
      </c>
      <c r="E31" s="1" t="s">
        <v>80</v>
      </c>
      <c r="F31" s="10" t="s">
        <v>633</v>
      </c>
      <c r="G31" s="2">
        <v>28</v>
      </c>
      <c r="H31" s="8">
        <v>76</v>
      </c>
      <c r="I31" s="8">
        <v>54</v>
      </c>
      <c r="J31" s="8">
        <v>36</v>
      </c>
      <c r="K31" s="8">
        <v>35</v>
      </c>
      <c r="L31" s="8">
        <v>84</v>
      </c>
      <c r="M31" s="8">
        <v>60</v>
      </c>
      <c r="N31" s="8">
        <v>60</v>
      </c>
      <c r="O31" s="1">
        <f t="shared" si="0"/>
        <v>405</v>
      </c>
      <c r="P31" s="14">
        <f t="shared" si="1"/>
        <v>50.625</v>
      </c>
      <c r="Q31" s="20">
        <f t="shared" si="2"/>
        <v>25</v>
      </c>
    </row>
    <row r="32" spans="1:17" ht="18" customHeight="1">
      <c r="A32" s="19">
        <v>26</v>
      </c>
      <c r="B32" s="2" t="s">
        <v>661</v>
      </c>
      <c r="C32" s="1" t="s">
        <v>662</v>
      </c>
      <c r="D32" s="3" t="s">
        <v>663</v>
      </c>
      <c r="E32" s="1" t="s">
        <v>74</v>
      </c>
      <c r="F32" s="10" t="s">
        <v>633</v>
      </c>
      <c r="G32" s="2">
        <v>27</v>
      </c>
      <c r="H32" s="8">
        <v>84</v>
      </c>
      <c r="I32" s="8">
        <v>77</v>
      </c>
      <c r="J32" s="8">
        <v>76</v>
      </c>
      <c r="K32" s="8">
        <v>0</v>
      </c>
      <c r="L32" s="8">
        <v>60</v>
      </c>
      <c r="M32" s="8">
        <v>36</v>
      </c>
      <c r="N32" s="8">
        <v>68</v>
      </c>
      <c r="O32" s="1">
        <f t="shared" si="0"/>
        <v>401</v>
      </c>
      <c r="P32" s="14">
        <f t="shared" si="1"/>
        <v>50.125</v>
      </c>
      <c r="Q32" s="20">
        <f t="shared" si="2"/>
        <v>26</v>
      </c>
    </row>
    <row r="33" spans="1:17" ht="18" customHeight="1">
      <c r="A33" s="19">
        <v>27</v>
      </c>
      <c r="B33" s="2" t="s">
        <v>630</v>
      </c>
      <c r="C33" s="1" t="s">
        <v>631</v>
      </c>
      <c r="D33" s="3" t="s">
        <v>632</v>
      </c>
      <c r="E33" s="1" t="s">
        <v>69</v>
      </c>
      <c r="F33" s="10" t="s">
        <v>633</v>
      </c>
      <c r="G33" s="2">
        <v>26</v>
      </c>
      <c r="H33" s="8">
        <v>76</v>
      </c>
      <c r="I33" s="8">
        <v>73</v>
      </c>
      <c r="J33" s="8">
        <v>84</v>
      </c>
      <c r="K33" s="8">
        <v>20</v>
      </c>
      <c r="L33" s="8">
        <v>52</v>
      </c>
      <c r="M33" s="8">
        <v>40</v>
      </c>
      <c r="N33" s="8">
        <v>52</v>
      </c>
      <c r="O33" s="1">
        <f t="shared" si="0"/>
        <v>397</v>
      </c>
      <c r="P33" s="14">
        <f t="shared" si="1"/>
        <v>49.625</v>
      </c>
      <c r="Q33" s="20">
        <f t="shared" si="2"/>
        <v>27</v>
      </c>
    </row>
    <row r="34" spans="1:17" ht="18" customHeight="1">
      <c r="A34" s="19">
        <v>28</v>
      </c>
      <c r="B34" s="2" t="s">
        <v>709</v>
      </c>
      <c r="C34" s="1">
        <v>311260257</v>
      </c>
      <c r="D34" s="3" t="s">
        <v>710</v>
      </c>
      <c r="E34" s="1" t="s">
        <v>64</v>
      </c>
      <c r="F34" s="10" t="s">
        <v>633</v>
      </c>
      <c r="G34" s="2">
        <v>27</v>
      </c>
      <c r="H34" s="8">
        <v>48</v>
      </c>
      <c r="I34" s="8">
        <v>100</v>
      </c>
      <c r="J34" s="8">
        <v>60</v>
      </c>
      <c r="K34" s="8">
        <v>20</v>
      </c>
      <c r="L34" s="8">
        <v>68</v>
      </c>
      <c r="M34" s="8">
        <v>32</v>
      </c>
      <c r="N34" s="8">
        <v>68</v>
      </c>
      <c r="O34" s="1">
        <f t="shared" si="0"/>
        <v>396</v>
      </c>
      <c r="P34" s="14">
        <f t="shared" si="1"/>
        <v>49.5</v>
      </c>
      <c r="Q34" s="20">
        <f t="shared" si="2"/>
        <v>28</v>
      </c>
    </row>
    <row r="35" spans="1:17" ht="18" customHeight="1">
      <c r="A35" s="19">
        <v>29</v>
      </c>
      <c r="B35" s="2" t="s">
        <v>699</v>
      </c>
      <c r="C35" s="1">
        <v>311260252</v>
      </c>
      <c r="D35" s="3" t="s">
        <v>700</v>
      </c>
      <c r="E35" s="1" t="s">
        <v>73</v>
      </c>
      <c r="F35" s="10" t="s">
        <v>633</v>
      </c>
      <c r="G35" s="2">
        <v>27</v>
      </c>
      <c r="H35" s="8">
        <v>92</v>
      </c>
      <c r="I35" s="8">
        <v>89</v>
      </c>
      <c r="J35" s="8">
        <v>44</v>
      </c>
      <c r="K35" s="8">
        <v>0</v>
      </c>
      <c r="L35" s="8">
        <v>68</v>
      </c>
      <c r="M35" s="8">
        <v>52</v>
      </c>
      <c r="N35" s="8">
        <v>44</v>
      </c>
      <c r="O35" s="1">
        <f t="shared" si="0"/>
        <v>389</v>
      </c>
      <c r="P35" s="14">
        <f t="shared" si="1"/>
        <v>48.625</v>
      </c>
      <c r="Q35" s="20">
        <f t="shared" si="2"/>
        <v>29</v>
      </c>
    </row>
    <row r="36" spans="1:17" ht="18" customHeight="1">
      <c r="A36" s="19">
        <v>30</v>
      </c>
      <c r="B36" s="2" t="s">
        <v>755</v>
      </c>
      <c r="C36" s="1">
        <v>311260822</v>
      </c>
      <c r="D36" s="3" t="s">
        <v>756</v>
      </c>
      <c r="E36" s="1" t="s">
        <v>67</v>
      </c>
      <c r="F36" s="10" t="s">
        <v>633</v>
      </c>
      <c r="G36" s="2">
        <v>29</v>
      </c>
      <c r="H36" s="8">
        <v>76</v>
      </c>
      <c r="I36" s="8">
        <v>51</v>
      </c>
      <c r="J36" s="8">
        <v>60</v>
      </c>
      <c r="K36" s="8">
        <v>55</v>
      </c>
      <c r="L36" s="8">
        <v>44</v>
      </c>
      <c r="M36" s="8">
        <v>24</v>
      </c>
      <c r="N36" s="8">
        <v>76</v>
      </c>
      <c r="O36" s="1">
        <f t="shared" si="0"/>
        <v>386</v>
      </c>
      <c r="P36" s="14">
        <f t="shared" si="1"/>
        <v>48.25</v>
      </c>
      <c r="Q36" s="20">
        <f t="shared" si="2"/>
        <v>30</v>
      </c>
    </row>
    <row r="37" spans="1:17" ht="18" customHeight="1">
      <c r="A37" s="19">
        <v>31</v>
      </c>
      <c r="B37" s="2" t="s">
        <v>727</v>
      </c>
      <c r="C37" s="1">
        <v>311260360</v>
      </c>
      <c r="D37" s="3" t="s">
        <v>728</v>
      </c>
      <c r="E37" s="1" t="s">
        <v>71</v>
      </c>
      <c r="F37" s="10" t="s">
        <v>633</v>
      </c>
      <c r="G37" s="2">
        <v>28</v>
      </c>
      <c r="H37" s="8">
        <v>76</v>
      </c>
      <c r="I37" s="8">
        <v>98</v>
      </c>
      <c r="J37" s="8">
        <v>44</v>
      </c>
      <c r="K37" s="8">
        <v>60</v>
      </c>
      <c r="L37" s="8">
        <v>36</v>
      </c>
      <c r="M37" s="8">
        <v>28</v>
      </c>
      <c r="N37" s="8">
        <v>32</v>
      </c>
      <c r="O37" s="1">
        <f t="shared" si="0"/>
        <v>374</v>
      </c>
      <c r="P37" s="14">
        <f t="shared" si="1"/>
        <v>46.75</v>
      </c>
      <c r="Q37" s="20">
        <f t="shared" si="2"/>
        <v>31</v>
      </c>
    </row>
    <row r="38" spans="1:17" ht="18" customHeight="1">
      <c r="A38" s="19">
        <v>32</v>
      </c>
      <c r="B38" s="2" t="s">
        <v>715</v>
      </c>
      <c r="C38" s="1">
        <v>311260354</v>
      </c>
      <c r="D38" s="3" t="s">
        <v>716</v>
      </c>
      <c r="E38" s="1" t="s">
        <v>71</v>
      </c>
      <c r="F38" s="10" t="s">
        <v>633</v>
      </c>
      <c r="G38" s="2">
        <v>28</v>
      </c>
      <c r="H38" s="8">
        <v>76</v>
      </c>
      <c r="I38" s="8">
        <v>24</v>
      </c>
      <c r="J38" s="8">
        <v>84</v>
      </c>
      <c r="K38" s="8">
        <v>25</v>
      </c>
      <c r="L38" s="8">
        <v>52</v>
      </c>
      <c r="M38" s="8">
        <v>44</v>
      </c>
      <c r="N38" s="8">
        <v>68</v>
      </c>
      <c r="O38" s="1">
        <f t="shared" si="0"/>
        <v>373</v>
      </c>
      <c r="P38" s="14">
        <f t="shared" si="1"/>
        <v>46.625</v>
      </c>
      <c r="Q38" s="20">
        <f t="shared" si="2"/>
        <v>32</v>
      </c>
    </row>
    <row r="39" spans="1:17" ht="18" customHeight="1">
      <c r="A39" s="19">
        <v>33</v>
      </c>
      <c r="B39" s="2" t="s">
        <v>689</v>
      </c>
      <c r="C39" s="1">
        <v>311260247</v>
      </c>
      <c r="D39" s="3" t="s">
        <v>690</v>
      </c>
      <c r="E39" s="1" t="s">
        <v>72</v>
      </c>
      <c r="F39" s="10" t="s">
        <v>633</v>
      </c>
      <c r="G39" s="2">
        <v>27</v>
      </c>
      <c r="H39" s="8">
        <v>52</v>
      </c>
      <c r="I39" s="8">
        <v>81</v>
      </c>
      <c r="J39" s="8">
        <v>68</v>
      </c>
      <c r="K39" s="8">
        <v>15</v>
      </c>
      <c r="L39" s="8">
        <v>28</v>
      </c>
      <c r="M39" s="8">
        <v>68</v>
      </c>
      <c r="N39" s="8">
        <v>60</v>
      </c>
      <c r="O39" s="1">
        <f t="shared" ref="O39:O60" si="3">SUBTOTAL(9,H39:N39)</f>
        <v>372</v>
      </c>
      <c r="P39" s="14">
        <f t="shared" ref="P39:P60" si="4">O39/8</f>
        <v>46.5</v>
      </c>
      <c r="Q39" s="20">
        <f t="shared" ref="Q39:Q60" si="5">RANK(P39,P$7:P$282,0)</f>
        <v>33</v>
      </c>
    </row>
    <row r="40" spans="1:17" ht="18" customHeight="1">
      <c r="A40" s="19">
        <v>34</v>
      </c>
      <c r="B40" s="2" t="s">
        <v>676</v>
      </c>
      <c r="C40" s="1" t="s">
        <v>677</v>
      </c>
      <c r="D40" s="3" t="s">
        <v>678</v>
      </c>
      <c r="E40" s="1" t="s">
        <v>76</v>
      </c>
      <c r="F40" s="10" t="s">
        <v>633</v>
      </c>
      <c r="G40" s="2">
        <v>27</v>
      </c>
      <c r="H40" s="8">
        <v>60</v>
      </c>
      <c r="I40" s="8">
        <v>73</v>
      </c>
      <c r="J40" s="8">
        <v>52</v>
      </c>
      <c r="K40" s="8">
        <v>25</v>
      </c>
      <c r="L40" s="8">
        <v>76</v>
      </c>
      <c r="M40" s="8">
        <v>44</v>
      </c>
      <c r="N40" s="8">
        <v>16</v>
      </c>
      <c r="O40" s="1">
        <f t="shared" si="3"/>
        <v>346</v>
      </c>
      <c r="P40" s="14">
        <f t="shared" si="4"/>
        <v>43.25</v>
      </c>
      <c r="Q40" s="20">
        <f t="shared" si="5"/>
        <v>34</v>
      </c>
    </row>
    <row r="41" spans="1:17" ht="18" customHeight="1">
      <c r="A41" s="19">
        <v>35</v>
      </c>
      <c r="B41" s="2" t="s">
        <v>664</v>
      </c>
      <c r="C41" s="1" t="s">
        <v>665</v>
      </c>
      <c r="D41" s="3" t="s">
        <v>666</v>
      </c>
      <c r="E41" s="1" t="s">
        <v>64</v>
      </c>
      <c r="F41" s="10" t="s">
        <v>633</v>
      </c>
      <c r="G41" s="2">
        <v>27</v>
      </c>
      <c r="H41" s="8">
        <v>52</v>
      </c>
      <c r="I41" s="8">
        <v>54</v>
      </c>
      <c r="J41" s="8">
        <v>84</v>
      </c>
      <c r="K41" s="8">
        <v>5</v>
      </c>
      <c r="L41" s="8">
        <v>68</v>
      </c>
      <c r="M41" s="8">
        <v>28</v>
      </c>
      <c r="N41" s="8">
        <v>36</v>
      </c>
      <c r="O41" s="1">
        <f t="shared" si="3"/>
        <v>327</v>
      </c>
      <c r="P41" s="14">
        <f t="shared" si="4"/>
        <v>40.875</v>
      </c>
      <c r="Q41" s="20">
        <f t="shared" si="5"/>
        <v>35</v>
      </c>
    </row>
    <row r="42" spans="1:17" ht="18" customHeight="1">
      <c r="A42" s="19">
        <v>36</v>
      </c>
      <c r="B42" s="2" t="s">
        <v>655</v>
      </c>
      <c r="C42" s="1" t="s">
        <v>656</v>
      </c>
      <c r="D42" s="3" t="s">
        <v>657</v>
      </c>
      <c r="E42" s="1" t="s">
        <v>73</v>
      </c>
      <c r="F42" s="10" t="s">
        <v>633</v>
      </c>
      <c r="G42" s="2">
        <v>26</v>
      </c>
      <c r="H42" s="8">
        <v>56</v>
      </c>
      <c r="I42" s="8">
        <v>58</v>
      </c>
      <c r="J42" s="8">
        <v>60</v>
      </c>
      <c r="K42" s="8">
        <v>10</v>
      </c>
      <c r="L42" s="8">
        <v>60</v>
      </c>
      <c r="M42" s="8">
        <v>20</v>
      </c>
      <c r="N42" s="8">
        <v>52</v>
      </c>
      <c r="O42" s="1">
        <f t="shared" si="3"/>
        <v>316</v>
      </c>
      <c r="P42" s="14">
        <f t="shared" si="4"/>
        <v>39.5</v>
      </c>
      <c r="Q42" s="20">
        <f t="shared" si="5"/>
        <v>36</v>
      </c>
    </row>
    <row r="43" spans="1:17" ht="18" customHeight="1">
      <c r="A43" s="19">
        <v>37</v>
      </c>
      <c r="B43" s="2" t="s">
        <v>693</v>
      </c>
      <c r="C43" s="1">
        <v>311260249</v>
      </c>
      <c r="D43" s="3" t="s">
        <v>694</v>
      </c>
      <c r="E43" s="1" t="s">
        <v>61</v>
      </c>
      <c r="F43" s="10" t="s">
        <v>633</v>
      </c>
      <c r="G43" s="2">
        <v>27</v>
      </c>
      <c r="H43" s="8">
        <v>72</v>
      </c>
      <c r="I43" s="8">
        <v>32</v>
      </c>
      <c r="J43" s="8">
        <v>60</v>
      </c>
      <c r="K43" s="8">
        <v>0</v>
      </c>
      <c r="L43" s="8">
        <v>44</v>
      </c>
      <c r="M43" s="8">
        <v>24</v>
      </c>
      <c r="N43" s="8">
        <v>72</v>
      </c>
      <c r="O43" s="1">
        <f t="shared" si="3"/>
        <v>304</v>
      </c>
      <c r="P43" s="14">
        <f t="shared" si="4"/>
        <v>38</v>
      </c>
      <c r="Q43" s="20">
        <f t="shared" si="5"/>
        <v>37</v>
      </c>
    </row>
    <row r="44" spans="1:17" ht="18" customHeight="1">
      <c r="A44" s="19">
        <v>38</v>
      </c>
      <c r="B44" s="2" t="s">
        <v>743</v>
      </c>
      <c r="C44" s="1">
        <v>311260368</v>
      </c>
      <c r="D44" s="3" t="s">
        <v>744</v>
      </c>
      <c r="E44" s="1" t="s">
        <v>81</v>
      </c>
      <c r="F44" s="10" t="s">
        <v>633</v>
      </c>
      <c r="G44" s="2">
        <v>28</v>
      </c>
      <c r="H44" s="8">
        <v>68</v>
      </c>
      <c r="I44" s="8">
        <v>35</v>
      </c>
      <c r="J44" s="8">
        <v>68</v>
      </c>
      <c r="K44" s="8">
        <v>15</v>
      </c>
      <c r="L44" s="8">
        <v>52</v>
      </c>
      <c r="M44" s="8">
        <v>20</v>
      </c>
      <c r="N44" s="8">
        <v>44</v>
      </c>
      <c r="O44" s="1">
        <f t="shared" si="3"/>
        <v>302</v>
      </c>
      <c r="P44" s="14">
        <f t="shared" si="4"/>
        <v>37.75</v>
      </c>
      <c r="Q44" s="20">
        <f t="shared" si="5"/>
        <v>38</v>
      </c>
    </row>
    <row r="45" spans="1:17" ht="18" customHeight="1">
      <c r="A45" s="19">
        <v>39</v>
      </c>
      <c r="B45" s="2" t="s">
        <v>695</v>
      </c>
      <c r="C45" s="1">
        <v>311260250</v>
      </c>
      <c r="D45" s="3" t="s">
        <v>696</v>
      </c>
      <c r="E45" s="1" t="s">
        <v>80</v>
      </c>
      <c r="F45" s="10" t="s">
        <v>633</v>
      </c>
      <c r="G45" s="2">
        <v>27</v>
      </c>
      <c r="H45" s="8">
        <v>52</v>
      </c>
      <c r="I45" s="8">
        <v>58</v>
      </c>
      <c r="J45" s="8">
        <v>52</v>
      </c>
      <c r="K45" s="8">
        <v>5</v>
      </c>
      <c r="L45" s="8">
        <v>36</v>
      </c>
      <c r="M45" s="8">
        <v>44</v>
      </c>
      <c r="N45" s="8">
        <v>52</v>
      </c>
      <c r="O45" s="1">
        <f t="shared" si="3"/>
        <v>299</v>
      </c>
      <c r="P45" s="14">
        <f t="shared" si="4"/>
        <v>37.375</v>
      </c>
      <c r="Q45" s="20">
        <f t="shared" si="5"/>
        <v>39</v>
      </c>
    </row>
    <row r="46" spans="1:17" ht="18" customHeight="1">
      <c r="A46" s="19">
        <v>40</v>
      </c>
      <c r="B46" s="2" t="s">
        <v>640</v>
      </c>
      <c r="C46" s="1" t="s">
        <v>641</v>
      </c>
      <c r="D46" s="3" t="s">
        <v>642</v>
      </c>
      <c r="E46" s="1" t="s">
        <v>56</v>
      </c>
      <c r="F46" s="10" t="s">
        <v>633</v>
      </c>
      <c r="G46" s="2">
        <v>26</v>
      </c>
      <c r="H46" s="8">
        <v>68</v>
      </c>
      <c r="I46" s="8">
        <v>32</v>
      </c>
      <c r="J46" s="8">
        <v>44</v>
      </c>
      <c r="K46" s="8">
        <v>5</v>
      </c>
      <c r="L46" s="8">
        <v>44</v>
      </c>
      <c r="M46" s="8">
        <v>52</v>
      </c>
      <c r="N46" s="8">
        <v>52</v>
      </c>
      <c r="O46" s="1">
        <f t="shared" si="3"/>
        <v>297</v>
      </c>
      <c r="P46" s="14">
        <f t="shared" si="4"/>
        <v>37.125</v>
      </c>
      <c r="Q46" s="20">
        <f t="shared" si="5"/>
        <v>40</v>
      </c>
    </row>
    <row r="47" spans="1:17" ht="18" customHeight="1">
      <c r="A47" s="19">
        <v>41</v>
      </c>
      <c r="B47" s="2" t="s">
        <v>737</v>
      </c>
      <c r="C47" s="1">
        <v>311260365</v>
      </c>
      <c r="D47" s="3" t="s">
        <v>738</v>
      </c>
      <c r="E47" s="1" t="s">
        <v>80</v>
      </c>
      <c r="F47" s="10" t="s">
        <v>633</v>
      </c>
      <c r="G47" s="2">
        <v>28</v>
      </c>
      <c r="H47" s="8">
        <v>76</v>
      </c>
      <c r="I47" s="8">
        <v>43</v>
      </c>
      <c r="J47" s="8">
        <v>40</v>
      </c>
      <c r="K47" s="8">
        <v>20</v>
      </c>
      <c r="L47" s="8">
        <v>12</v>
      </c>
      <c r="M47" s="8">
        <v>36</v>
      </c>
      <c r="N47" s="8">
        <v>68</v>
      </c>
      <c r="O47" s="1">
        <f t="shared" si="3"/>
        <v>295</v>
      </c>
      <c r="P47" s="14">
        <f t="shared" si="4"/>
        <v>36.875</v>
      </c>
      <c r="Q47" s="20">
        <f t="shared" si="5"/>
        <v>41</v>
      </c>
    </row>
    <row r="48" spans="1:17" ht="18" customHeight="1">
      <c r="A48" s="19">
        <v>42</v>
      </c>
      <c r="B48" s="2" t="s">
        <v>703</v>
      </c>
      <c r="C48" s="1">
        <v>311260254</v>
      </c>
      <c r="D48" s="3" t="s">
        <v>704</v>
      </c>
      <c r="E48" s="1" t="s">
        <v>63</v>
      </c>
      <c r="F48" s="10" t="s">
        <v>633</v>
      </c>
      <c r="G48" s="2">
        <v>27</v>
      </c>
      <c r="H48" s="8">
        <v>60</v>
      </c>
      <c r="I48" s="8">
        <v>16</v>
      </c>
      <c r="J48" s="8">
        <v>60</v>
      </c>
      <c r="K48" s="8">
        <v>15</v>
      </c>
      <c r="L48" s="8">
        <v>60</v>
      </c>
      <c r="M48" s="8">
        <v>28</v>
      </c>
      <c r="N48" s="8">
        <v>52</v>
      </c>
      <c r="O48" s="1">
        <f t="shared" si="3"/>
        <v>291</v>
      </c>
      <c r="P48" s="14">
        <f t="shared" si="4"/>
        <v>36.375</v>
      </c>
      <c r="Q48" s="20">
        <f t="shared" si="5"/>
        <v>42</v>
      </c>
    </row>
    <row r="49" spans="1:17" ht="18" customHeight="1">
      <c r="A49" s="19">
        <v>43</v>
      </c>
      <c r="B49" s="2" t="s">
        <v>717</v>
      </c>
      <c r="C49" s="1">
        <v>311260355</v>
      </c>
      <c r="D49" s="3" t="s">
        <v>718</v>
      </c>
      <c r="E49" s="1" t="s">
        <v>71</v>
      </c>
      <c r="F49" s="10" t="s">
        <v>633</v>
      </c>
      <c r="G49" s="2">
        <v>28</v>
      </c>
      <c r="H49" s="8">
        <v>84</v>
      </c>
      <c r="I49" s="8">
        <v>16</v>
      </c>
      <c r="J49" s="8">
        <v>62</v>
      </c>
      <c r="K49" s="8">
        <v>10</v>
      </c>
      <c r="L49" s="8">
        <v>68</v>
      </c>
      <c r="M49" s="8">
        <v>36</v>
      </c>
      <c r="N49" s="8">
        <v>12</v>
      </c>
      <c r="O49" s="1">
        <f t="shared" si="3"/>
        <v>288</v>
      </c>
      <c r="P49" s="14">
        <f t="shared" si="4"/>
        <v>36</v>
      </c>
      <c r="Q49" s="20">
        <f t="shared" si="5"/>
        <v>43</v>
      </c>
    </row>
    <row r="50" spans="1:17" ht="18" customHeight="1">
      <c r="A50" s="19">
        <v>44</v>
      </c>
      <c r="B50" s="2" t="s">
        <v>751</v>
      </c>
      <c r="C50" s="1">
        <v>311260820</v>
      </c>
      <c r="D50" s="3" t="s">
        <v>752</v>
      </c>
      <c r="E50" s="1" t="s">
        <v>69</v>
      </c>
      <c r="F50" s="10" t="s">
        <v>633</v>
      </c>
      <c r="G50" s="2">
        <v>28</v>
      </c>
      <c r="H50" s="8">
        <v>68</v>
      </c>
      <c r="I50" s="8">
        <v>47</v>
      </c>
      <c r="J50" s="8">
        <v>44</v>
      </c>
      <c r="K50" s="8">
        <v>5</v>
      </c>
      <c r="L50" s="8">
        <v>68</v>
      </c>
      <c r="M50" s="8">
        <v>36</v>
      </c>
      <c r="N50" s="8">
        <v>16</v>
      </c>
      <c r="O50" s="1">
        <f t="shared" si="3"/>
        <v>284</v>
      </c>
      <c r="P50" s="14">
        <f t="shared" si="4"/>
        <v>35.5</v>
      </c>
      <c r="Q50" s="20">
        <f t="shared" si="5"/>
        <v>44</v>
      </c>
    </row>
    <row r="51" spans="1:17" ht="18" customHeight="1">
      <c r="A51" s="19">
        <v>45</v>
      </c>
      <c r="B51" s="2" t="s">
        <v>731</v>
      </c>
      <c r="C51" s="1">
        <v>311260362</v>
      </c>
      <c r="D51" s="3" t="s">
        <v>732</v>
      </c>
      <c r="E51" s="1" t="s">
        <v>60</v>
      </c>
      <c r="F51" s="10" t="s">
        <v>633</v>
      </c>
      <c r="G51" s="2">
        <v>28</v>
      </c>
      <c r="H51" s="8">
        <v>72</v>
      </c>
      <c r="I51" s="8">
        <v>70</v>
      </c>
      <c r="J51" s="8">
        <v>16</v>
      </c>
      <c r="K51" s="8">
        <v>5</v>
      </c>
      <c r="L51" s="8">
        <v>68</v>
      </c>
      <c r="M51" s="8">
        <v>12</v>
      </c>
      <c r="N51" s="8">
        <v>36</v>
      </c>
      <c r="O51" s="1">
        <f t="shared" si="3"/>
        <v>279</v>
      </c>
      <c r="P51" s="14">
        <f t="shared" si="4"/>
        <v>34.875</v>
      </c>
      <c r="Q51" s="20">
        <f t="shared" si="5"/>
        <v>45</v>
      </c>
    </row>
    <row r="52" spans="1:17" ht="18" customHeight="1">
      <c r="A52" s="19">
        <v>46</v>
      </c>
      <c r="B52" s="2" t="s">
        <v>725</v>
      </c>
      <c r="C52" s="1">
        <v>311260359</v>
      </c>
      <c r="D52" s="3" t="s">
        <v>726</v>
      </c>
      <c r="E52" s="1" t="s">
        <v>71</v>
      </c>
      <c r="F52" s="10" t="s">
        <v>633</v>
      </c>
      <c r="G52" s="2">
        <v>28</v>
      </c>
      <c r="H52" s="8">
        <v>68</v>
      </c>
      <c r="I52" s="8">
        <v>58</v>
      </c>
      <c r="J52" s="8">
        <v>16</v>
      </c>
      <c r="K52" s="8">
        <v>20</v>
      </c>
      <c r="L52" s="8">
        <v>44</v>
      </c>
      <c r="M52" s="8">
        <v>20</v>
      </c>
      <c r="N52" s="8">
        <v>52</v>
      </c>
      <c r="O52" s="1">
        <f t="shared" si="3"/>
        <v>278</v>
      </c>
      <c r="P52" s="14">
        <f t="shared" si="4"/>
        <v>34.75</v>
      </c>
      <c r="Q52" s="20">
        <f t="shared" si="5"/>
        <v>46</v>
      </c>
    </row>
    <row r="53" spans="1:17" ht="18" customHeight="1">
      <c r="A53" s="19">
        <v>47</v>
      </c>
      <c r="B53" s="2" t="s">
        <v>652</v>
      </c>
      <c r="C53" s="1" t="s">
        <v>653</v>
      </c>
      <c r="D53" s="3" t="s">
        <v>654</v>
      </c>
      <c r="E53" s="1" t="s">
        <v>62</v>
      </c>
      <c r="F53" s="10" t="s">
        <v>633</v>
      </c>
      <c r="G53" s="2">
        <v>26</v>
      </c>
      <c r="H53" s="8">
        <v>48</v>
      </c>
      <c r="I53" s="8">
        <v>66</v>
      </c>
      <c r="J53" s="8">
        <v>44</v>
      </c>
      <c r="K53" s="8">
        <v>10</v>
      </c>
      <c r="L53" s="8">
        <v>36</v>
      </c>
      <c r="M53" s="8">
        <v>28</v>
      </c>
      <c r="N53" s="8">
        <v>44</v>
      </c>
      <c r="O53" s="1">
        <f t="shared" si="3"/>
        <v>276</v>
      </c>
      <c r="P53" s="14">
        <f t="shared" si="4"/>
        <v>34.5</v>
      </c>
      <c r="Q53" s="20">
        <f t="shared" si="5"/>
        <v>47</v>
      </c>
    </row>
    <row r="54" spans="1:17" ht="18" customHeight="1">
      <c r="A54" s="19">
        <v>48</v>
      </c>
      <c r="B54" s="2" t="s">
        <v>670</v>
      </c>
      <c r="C54" s="1" t="s">
        <v>671</v>
      </c>
      <c r="D54" s="3" t="s">
        <v>672</v>
      </c>
      <c r="E54" s="1" t="s">
        <v>75</v>
      </c>
      <c r="F54" s="10" t="s">
        <v>633</v>
      </c>
      <c r="G54" s="2">
        <v>27</v>
      </c>
      <c r="H54" s="8">
        <v>48</v>
      </c>
      <c r="I54" s="8">
        <v>85</v>
      </c>
      <c r="J54" s="8">
        <v>36</v>
      </c>
      <c r="K54" s="8">
        <v>40</v>
      </c>
      <c r="L54" s="8">
        <v>28</v>
      </c>
      <c r="M54" s="8">
        <v>8</v>
      </c>
      <c r="N54" s="8">
        <v>28</v>
      </c>
      <c r="O54" s="1">
        <f t="shared" si="3"/>
        <v>273</v>
      </c>
      <c r="P54" s="14">
        <f t="shared" si="4"/>
        <v>34.125</v>
      </c>
      <c r="Q54" s="20">
        <f t="shared" si="5"/>
        <v>48</v>
      </c>
    </row>
    <row r="55" spans="1:17" ht="18" customHeight="1">
      <c r="A55" s="19">
        <v>49</v>
      </c>
      <c r="B55" s="2" t="s">
        <v>667</v>
      </c>
      <c r="C55" s="1" t="s">
        <v>668</v>
      </c>
      <c r="D55" s="3" t="s">
        <v>669</v>
      </c>
      <c r="E55" s="1" t="s">
        <v>65</v>
      </c>
      <c r="F55" s="10" t="s">
        <v>633</v>
      </c>
      <c r="G55" s="2">
        <v>27</v>
      </c>
      <c r="H55" s="8">
        <v>44</v>
      </c>
      <c r="I55" s="8">
        <v>89</v>
      </c>
      <c r="J55" s="8">
        <v>0</v>
      </c>
      <c r="K55" s="8">
        <v>10</v>
      </c>
      <c r="L55" s="8">
        <v>68</v>
      </c>
      <c r="M55" s="8">
        <v>24</v>
      </c>
      <c r="N55" s="8">
        <v>36</v>
      </c>
      <c r="O55" s="1">
        <f t="shared" si="3"/>
        <v>271</v>
      </c>
      <c r="P55" s="14">
        <f t="shared" si="4"/>
        <v>33.875</v>
      </c>
      <c r="Q55" s="20">
        <f t="shared" si="5"/>
        <v>49</v>
      </c>
    </row>
    <row r="56" spans="1:17" ht="18" customHeight="1">
      <c r="A56" s="19">
        <v>50</v>
      </c>
      <c r="B56" s="2" t="s">
        <v>721</v>
      </c>
      <c r="C56" s="1">
        <v>311260357</v>
      </c>
      <c r="D56" s="3" t="s">
        <v>722</v>
      </c>
      <c r="E56" s="1" t="s">
        <v>71</v>
      </c>
      <c r="F56" s="10" t="s">
        <v>633</v>
      </c>
      <c r="G56" s="2">
        <v>28</v>
      </c>
      <c r="H56" s="8">
        <v>100</v>
      </c>
      <c r="I56" s="8">
        <v>35</v>
      </c>
      <c r="J56" s="8">
        <v>28</v>
      </c>
      <c r="K56" s="8">
        <v>5</v>
      </c>
      <c r="L56" s="8">
        <v>28</v>
      </c>
      <c r="M56" s="8">
        <v>20</v>
      </c>
      <c r="N56" s="8">
        <v>44</v>
      </c>
      <c r="O56" s="1">
        <f t="shared" si="3"/>
        <v>260</v>
      </c>
      <c r="P56" s="14">
        <f t="shared" si="4"/>
        <v>32.5</v>
      </c>
      <c r="Q56" s="20">
        <f t="shared" si="5"/>
        <v>50</v>
      </c>
    </row>
    <row r="57" spans="1:17" ht="18" customHeight="1">
      <c r="A57" s="19">
        <v>51</v>
      </c>
      <c r="B57" s="2" t="s">
        <v>733</v>
      </c>
      <c r="C57" s="1">
        <v>311260363</v>
      </c>
      <c r="D57" s="3" t="s">
        <v>734</v>
      </c>
      <c r="E57" s="1" t="s">
        <v>61</v>
      </c>
      <c r="F57" s="10" t="s">
        <v>633</v>
      </c>
      <c r="G57" s="2">
        <v>28</v>
      </c>
      <c r="H57" s="8">
        <v>68</v>
      </c>
      <c r="I57" s="8">
        <v>35</v>
      </c>
      <c r="J57" s="8">
        <v>52</v>
      </c>
      <c r="K57" s="8">
        <v>5</v>
      </c>
      <c r="L57" s="8">
        <v>36</v>
      </c>
      <c r="M57" s="8">
        <v>12</v>
      </c>
      <c r="N57" s="8">
        <v>52</v>
      </c>
      <c r="O57" s="1">
        <f t="shared" si="3"/>
        <v>260</v>
      </c>
      <c r="P57" s="14">
        <f t="shared" si="4"/>
        <v>32.5</v>
      </c>
      <c r="Q57" s="20">
        <f t="shared" si="5"/>
        <v>50</v>
      </c>
    </row>
    <row r="58" spans="1:17" ht="18" customHeight="1">
      <c r="A58" s="19">
        <v>52</v>
      </c>
      <c r="B58" s="2" t="s">
        <v>719</v>
      </c>
      <c r="C58" s="1">
        <v>311260356</v>
      </c>
      <c r="D58" s="3" t="s">
        <v>720</v>
      </c>
      <c r="E58" s="1" t="s">
        <v>71</v>
      </c>
      <c r="F58" s="10" t="s">
        <v>633</v>
      </c>
      <c r="G58" s="2">
        <v>28</v>
      </c>
      <c r="H58" s="8">
        <v>52</v>
      </c>
      <c r="I58" s="8">
        <v>20</v>
      </c>
      <c r="J58" s="8">
        <v>36</v>
      </c>
      <c r="K58" s="8">
        <v>20</v>
      </c>
      <c r="L58" s="8">
        <v>44</v>
      </c>
      <c r="M58" s="8">
        <v>28</v>
      </c>
      <c r="N58" s="8">
        <v>28</v>
      </c>
      <c r="O58" s="1">
        <f t="shared" si="3"/>
        <v>228</v>
      </c>
      <c r="P58" s="14">
        <f t="shared" si="4"/>
        <v>28.5</v>
      </c>
      <c r="Q58" s="20">
        <f t="shared" si="5"/>
        <v>52</v>
      </c>
    </row>
    <row r="59" spans="1:17" ht="18" customHeight="1">
      <c r="A59" s="19">
        <v>53</v>
      </c>
      <c r="B59" s="2" t="s">
        <v>723</v>
      </c>
      <c r="C59" s="1">
        <v>311260358</v>
      </c>
      <c r="D59" s="3" t="s">
        <v>724</v>
      </c>
      <c r="E59" s="1" t="s">
        <v>71</v>
      </c>
      <c r="F59" s="10" t="s">
        <v>633</v>
      </c>
      <c r="G59" s="2">
        <v>28</v>
      </c>
      <c r="H59" s="8">
        <v>56</v>
      </c>
      <c r="I59" s="8">
        <v>20</v>
      </c>
      <c r="J59" s="8">
        <v>12</v>
      </c>
      <c r="K59" s="8">
        <v>40</v>
      </c>
      <c r="L59" s="8">
        <v>32</v>
      </c>
      <c r="M59" s="8">
        <v>24</v>
      </c>
      <c r="N59" s="8">
        <v>44</v>
      </c>
      <c r="O59" s="1">
        <f t="shared" si="3"/>
        <v>228</v>
      </c>
      <c r="P59" s="14">
        <f t="shared" si="4"/>
        <v>28.5</v>
      </c>
      <c r="Q59" s="20">
        <f t="shared" si="5"/>
        <v>52</v>
      </c>
    </row>
    <row r="60" spans="1:17" ht="18" customHeight="1">
      <c r="A60" s="19">
        <v>54</v>
      </c>
      <c r="B60" s="28" t="s">
        <v>747</v>
      </c>
      <c r="C60" s="29">
        <v>311260818</v>
      </c>
      <c r="D60" s="30" t="s">
        <v>748</v>
      </c>
      <c r="E60" s="29" t="s">
        <v>69</v>
      </c>
      <c r="F60" s="31" t="s">
        <v>633</v>
      </c>
      <c r="G60" s="28">
        <v>28</v>
      </c>
      <c r="H60" s="40"/>
      <c r="I60" s="40"/>
      <c r="J60" s="40"/>
      <c r="K60" s="40"/>
      <c r="L60" s="40"/>
      <c r="M60" s="40"/>
      <c r="N60" s="40"/>
      <c r="O60" s="29">
        <f t="shared" si="3"/>
        <v>0</v>
      </c>
      <c r="P60" s="41">
        <f t="shared" si="4"/>
        <v>0</v>
      </c>
      <c r="Q60" s="33">
        <f t="shared" si="5"/>
        <v>54</v>
      </c>
    </row>
  </sheetData>
  <mergeCells count="4">
    <mergeCell ref="A1:P1"/>
    <mergeCell ref="A2:P2"/>
    <mergeCell ref="A3:P3"/>
    <mergeCell ref="A5:B5"/>
  </mergeCells>
  <conditionalFormatting sqref="H7:N7">
    <cfRule type="expression" dxfId="8749" priority="215">
      <formula>5</formula>
    </cfRule>
    <cfRule type="cellIs" dxfId="8748" priority="216" operator="lessThan">
      <formula>5</formula>
    </cfRule>
  </conditionalFormatting>
  <conditionalFormatting sqref="H7:N7">
    <cfRule type="cellIs" dxfId="8747" priority="214" operator="lessThan">
      <formula>50</formula>
    </cfRule>
  </conditionalFormatting>
  <conditionalFormatting sqref="P7">
    <cfRule type="cellIs" dxfId="8746" priority="213" operator="lessThan">
      <formula>50</formula>
    </cfRule>
  </conditionalFormatting>
  <conditionalFormatting sqref="H8:N8">
    <cfRule type="expression" dxfId="8745" priority="211">
      <formula>5</formula>
    </cfRule>
    <cfRule type="cellIs" dxfId="8744" priority="212" operator="lessThan">
      <formula>5</formula>
    </cfRule>
  </conditionalFormatting>
  <conditionalFormatting sqref="H8:N8">
    <cfRule type="cellIs" dxfId="8743" priority="210" operator="lessThan">
      <formula>50</formula>
    </cfRule>
  </conditionalFormatting>
  <conditionalFormatting sqref="P8">
    <cfRule type="cellIs" dxfId="8742" priority="209" operator="lessThan">
      <formula>50</formula>
    </cfRule>
  </conditionalFormatting>
  <conditionalFormatting sqref="H9:N9">
    <cfRule type="expression" dxfId="8741" priority="207">
      <formula>5</formula>
    </cfRule>
    <cfRule type="cellIs" dxfId="8740" priority="208" operator="lessThan">
      <formula>5</formula>
    </cfRule>
  </conditionalFormatting>
  <conditionalFormatting sqref="H9:N9">
    <cfRule type="cellIs" dxfId="8739" priority="206" operator="lessThan">
      <formula>50</formula>
    </cfRule>
  </conditionalFormatting>
  <conditionalFormatting sqref="P9">
    <cfRule type="cellIs" dxfId="8738" priority="205" operator="lessThan">
      <formula>50</formula>
    </cfRule>
  </conditionalFormatting>
  <conditionalFormatting sqref="H10:N10">
    <cfRule type="expression" dxfId="8737" priority="203">
      <formula>5</formula>
    </cfRule>
    <cfRule type="cellIs" dxfId="8736" priority="204" operator="lessThan">
      <formula>5</formula>
    </cfRule>
  </conditionalFormatting>
  <conditionalFormatting sqref="H10:N10">
    <cfRule type="cellIs" dxfId="8735" priority="202" operator="lessThan">
      <formula>50</formula>
    </cfRule>
  </conditionalFormatting>
  <conditionalFormatting sqref="P10">
    <cfRule type="cellIs" dxfId="8734" priority="201" operator="lessThan">
      <formula>50</formula>
    </cfRule>
  </conditionalFormatting>
  <conditionalFormatting sqref="H11:N11">
    <cfRule type="expression" dxfId="8733" priority="199">
      <formula>5</formula>
    </cfRule>
    <cfRule type="cellIs" dxfId="8732" priority="200" operator="lessThan">
      <formula>5</formula>
    </cfRule>
  </conditionalFormatting>
  <conditionalFormatting sqref="H11:N11">
    <cfRule type="cellIs" dxfId="8731" priority="198" operator="lessThan">
      <formula>50</formula>
    </cfRule>
  </conditionalFormatting>
  <conditionalFormatting sqref="P11">
    <cfRule type="cellIs" dxfId="8730" priority="197" operator="lessThan">
      <formula>50</formula>
    </cfRule>
  </conditionalFormatting>
  <conditionalFormatting sqref="H12:N12">
    <cfRule type="expression" dxfId="8729" priority="195">
      <formula>5</formula>
    </cfRule>
    <cfRule type="cellIs" dxfId="8728" priority="196" operator="lessThan">
      <formula>5</formula>
    </cfRule>
  </conditionalFormatting>
  <conditionalFormatting sqref="H12:N12">
    <cfRule type="cellIs" dxfId="8727" priority="194" operator="lessThan">
      <formula>50</formula>
    </cfRule>
  </conditionalFormatting>
  <conditionalFormatting sqref="P12">
    <cfRule type="cellIs" dxfId="8726" priority="193" operator="lessThan">
      <formula>50</formula>
    </cfRule>
  </conditionalFormatting>
  <conditionalFormatting sqref="H13:N13">
    <cfRule type="expression" dxfId="8725" priority="191">
      <formula>5</formula>
    </cfRule>
    <cfRule type="cellIs" dxfId="8724" priority="192" operator="lessThan">
      <formula>5</formula>
    </cfRule>
  </conditionalFormatting>
  <conditionalFormatting sqref="H13:N13">
    <cfRule type="cellIs" dxfId="8723" priority="190" operator="lessThan">
      <formula>50</formula>
    </cfRule>
  </conditionalFormatting>
  <conditionalFormatting sqref="P13">
    <cfRule type="cellIs" dxfId="8722" priority="189" operator="lessThan">
      <formula>50</formula>
    </cfRule>
  </conditionalFormatting>
  <conditionalFormatting sqref="H14:N14">
    <cfRule type="expression" dxfId="8721" priority="187">
      <formula>5</formula>
    </cfRule>
    <cfRule type="cellIs" dxfId="8720" priority="188" operator="lessThan">
      <formula>5</formula>
    </cfRule>
  </conditionalFormatting>
  <conditionalFormatting sqref="H14:N14">
    <cfRule type="cellIs" dxfId="8719" priority="186" operator="lessThan">
      <formula>50</formula>
    </cfRule>
  </conditionalFormatting>
  <conditionalFormatting sqref="P14">
    <cfRule type="cellIs" dxfId="8718" priority="185" operator="lessThan">
      <formula>50</formula>
    </cfRule>
  </conditionalFormatting>
  <conditionalFormatting sqref="H15:N15">
    <cfRule type="expression" dxfId="8717" priority="183">
      <formula>5</formula>
    </cfRule>
    <cfRule type="cellIs" dxfId="8716" priority="184" operator="lessThan">
      <formula>5</formula>
    </cfRule>
  </conditionalFormatting>
  <conditionalFormatting sqref="H15:N15">
    <cfRule type="cellIs" dxfId="8715" priority="182" operator="lessThan">
      <formula>50</formula>
    </cfRule>
  </conditionalFormatting>
  <conditionalFormatting sqref="P15">
    <cfRule type="cellIs" dxfId="8714" priority="181" operator="lessThan">
      <formula>50</formula>
    </cfRule>
  </conditionalFormatting>
  <conditionalFormatting sqref="H16:N16">
    <cfRule type="expression" dxfId="8713" priority="179">
      <formula>5</formula>
    </cfRule>
    <cfRule type="cellIs" dxfId="8712" priority="180" operator="lessThan">
      <formula>5</formula>
    </cfRule>
  </conditionalFormatting>
  <conditionalFormatting sqref="H16:N16">
    <cfRule type="cellIs" dxfId="8711" priority="178" operator="lessThan">
      <formula>50</formula>
    </cfRule>
  </conditionalFormatting>
  <conditionalFormatting sqref="P16">
    <cfRule type="cellIs" dxfId="8710" priority="177" operator="lessThan">
      <formula>50</formula>
    </cfRule>
  </conditionalFormatting>
  <conditionalFormatting sqref="H17:N17">
    <cfRule type="expression" dxfId="8709" priority="175">
      <formula>5</formula>
    </cfRule>
    <cfRule type="cellIs" dxfId="8708" priority="176" operator="lessThan">
      <formula>5</formula>
    </cfRule>
  </conditionalFormatting>
  <conditionalFormatting sqref="H17:N17">
    <cfRule type="cellIs" dxfId="8707" priority="174" operator="lessThan">
      <formula>50</formula>
    </cfRule>
  </conditionalFormatting>
  <conditionalFormatting sqref="P17">
    <cfRule type="cellIs" dxfId="8706" priority="173" operator="lessThan">
      <formula>50</formula>
    </cfRule>
  </conditionalFormatting>
  <conditionalFormatting sqref="H18:N18">
    <cfRule type="expression" dxfId="8705" priority="171">
      <formula>5</formula>
    </cfRule>
    <cfRule type="cellIs" dxfId="8704" priority="172" operator="lessThan">
      <formula>5</formula>
    </cfRule>
  </conditionalFormatting>
  <conditionalFormatting sqref="H18:N18">
    <cfRule type="cellIs" dxfId="8703" priority="170" operator="lessThan">
      <formula>50</formula>
    </cfRule>
  </conditionalFormatting>
  <conditionalFormatting sqref="P18">
    <cfRule type="cellIs" dxfId="8702" priority="169" operator="lessThan">
      <formula>50</formula>
    </cfRule>
  </conditionalFormatting>
  <conditionalFormatting sqref="H19:N19">
    <cfRule type="expression" dxfId="8701" priority="167">
      <formula>5</formula>
    </cfRule>
    <cfRule type="cellIs" dxfId="8700" priority="168" operator="lessThan">
      <formula>5</formula>
    </cfRule>
  </conditionalFormatting>
  <conditionalFormatting sqref="H19:N19">
    <cfRule type="cellIs" dxfId="8699" priority="166" operator="lessThan">
      <formula>50</formula>
    </cfRule>
  </conditionalFormatting>
  <conditionalFormatting sqref="P19">
    <cfRule type="cellIs" dxfId="8698" priority="165" operator="lessThan">
      <formula>50</formula>
    </cfRule>
  </conditionalFormatting>
  <conditionalFormatting sqref="H20:N20">
    <cfRule type="expression" dxfId="8697" priority="163">
      <formula>5</formula>
    </cfRule>
    <cfRule type="cellIs" dxfId="8696" priority="164" operator="lessThan">
      <formula>5</formula>
    </cfRule>
  </conditionalFormatting>
  <conditionalFormatting sqref="H20:N20">
    <cfRule type="cellIs" dxfId="8695" priority="162" operator="lessThan">
      <formula>50</formula>
    </cfRule>
  </conditionalFormatting>
  <conditionalFormatting sqref="P20">
    <cfRule type="cellIs" dxfId="8694" priority="161" operator="lessThan">
      <formula>50</formula>
    </cfRule>
  </conditionalFormatting>
  <conditionalFormatting sqref="H21:N21">
    <cfRule type="expression" dxfId="8693" priority="159">
      <formula>5</formula>
    </cfRule>
    <cfRule type="cellIs" dxfId="8692" priority="160" operator="lessThan">
      <formula>5</formula>
    </cfRule>
  </conditionalFormatting>
  <conditionalFormatting sqref="H21:N21">
    <cfRule type="cellIs" dxfId="8691" priority="158" operator="lessThan">
      <formula>50</formula>
    </cfRule>
  </conditionalFormatting>
  <conditionalFormatting sqref="P21">
    <cfRule type="cellIs" dxfId="8690" priority="157" operator="lessThan">
      <formula>50</formula>
    </cfRule>
  </conditionalFormatting>
  <conditionalFormatting sqref="H22:N22">
    <cfRule type="expression" dxfId="8689" priority="155">
      <formula>5</formula>
    </cfRule>
    <cfRule type="cellIs" dxfId="8688" priority="156" operator="lessThan">
      <formula>5</formula>
    </cfRule>
  </conditionalFormatting>
  <conditionalFormatting sqref="H22:N22">
    <cfRule type="cellIs" dxfId="8687" priority="154" operator="lessThan">
      <formula>50</formula>
    </cfRule>
  </conditionalFormatting>
  <conditionalFormatting sqref="P22">
    <cfRule type="cellIs" dxfId="8686" priority="153" operator="lessThan">
      <formula>50</formula>
    </cfRule>
  </conditionalFormatting>
  <conditionalFormatting sqref="H23:N23">
    <cfRule type="expression" dxfId="8685" priority="151">
      <formula>5</formula>
    </cfRule>
    <cfRule type="cellIs" dxfId="8684" priority="152" operator="lessThan">
      <formula>5</formula>
    </cfRule>
  </conditionalFormatting>
  <conditionalFormatting sqref="H23:N23">
    <cfRule type="cellIs" dxfId="8683" priority="150" operator="lessThan">
      <formula>50</formula>
    </cfRule>
  </conditionalFormatting>
  <conditionalFormatting sqref="P23">
    <cfRule type="cellIs" dxfId="8682" priority="149" operator="lessThan">
      <formula>50</formula>
    </cfRule>
  </conditionalFormatting>
  <conditionalFormatting sqref="H24:N24">
    <cfRule type="expression" dxfId="8681" priority="147">
      <formula>5</formula>
    </cfRule>
    <cfRule type="cellIs" dxfId="8680" priority="148" operator="lessThan">
      <formula>5</formula>
    </cfRule>
  </conditionalFormatting>
  <conditionalFormatting sqref="H24:N24">
    <cfRule type="cellIs" dxfId="8679" priority="146" operator="lessThan">
      <formula>50</formula>
    </cfRule>
  </conditionalFormatting>
  <conditionalFormatting sqref="P24">
    <cfRule type="cellIs" dxfId="8678" priority="145" operator="lessThan">
      <formula>50</formula>
    </cfRule>
  </conditionalFormatting>
  <conditionalFormatting sqref="H25:N25">
    <cfRule type="expression" dxfId="8677" priority="143">
      <formula>5</formula>
    </cfRule>
    <cfRule type="cellIs" dxfId="8676" priority="144" operator="lessThan">
      <formula>5</formula>
    </cfRule>
  </conditionalFormatting>
  <conditionalFormatting sqref="H25:N25">
    <cfRule type="cellIs" dxfId="8675" priority="142" operator="lessThan">
      <formula>50</formula>
    </cfRule>
  </conditionalFormatting>
  <conditionalFormatting sqref="P25">
    <cfRule type="cellIs" dxfId="8674" priority="141" operator="lessThan">
      <formula>50</formula>
    </cfRule>
  </conditionalFormatting>
  <conditionalFormatting sqref="H26:N26">
    <cfRule type="expression" dxfId="8673" priority="139">
      <formula>5</formula>
    </cfRule>
    <cfRule type="cellIs" dxfId="8672" priority="140" operator="lessThan">
      <formula>5</formula>
    </cfRule>
  </conditionalFormatting>
  <conditionalFormatting sqref="H26:N26">
    <cfRule type="cellIs" dxfId="8671" priority="138" operator="lessThan">
      <formula>50</formula>
    </cfRule>
  </conditionalFormatting>
  <conditionalFormatting sqref="P26">
    <cfRule type="cellIs" dxfId="8670" priority="137" operator="lessThan">
      <formula>50</formula>
    </cfRule>
  </conditionalFormatting>
  <conditionalFormatting sqref="H27:N27">
    <cfRule type="expression" dxfId="8669" priority="135">
      <formula>5</formula>
    </cfRule>
    <cfRule type="cellIs" dxfId="8668" priority="136" operator="lessThan">
      <formula>5</formula>
    </cfRule>
  </conditionalFormatting>
  <conditionalFormatting sqref="H27:N27">
    <cfRule type="cellIs" dxfId="8667" priority="134" operator="lessThan">
      <formula>50</formula>
    </cfRule>
  </conditionalFormatting>
  <conditionalFormatting sqref="P27">
    <cfRule type="cellIs" dxfId="8666" priority="133" operator="lessThan">
      <formula>50</formula>
    </cfRule>
  </conditionalFormatting>
  <conditionalFormatting sqref="H28:N28">
    <cfRule type="expression" dxfId="8665" priority="131">
      <formula>5</formula>
    </cfRule>
    <cfRule type="cellIs" dxfId="8664" priority="132" operator="lessThan">
      <formula>5</formula>
    </cfRule>
  </conditionalFormatting>
  <conditionalFormatting sqref="H28:N28">
    <cfRule type="cellIs" dxfId="8663" priority="130" operator="lessThan">
      <formula>50</formula>
    </cfRule>
  </conditionalFormatting>
  <conditionalFormatting sqref="P28">
    <cfRule type="cellIs" dxfId="8662" priority="129" operator="lessThan">
      <formula>50</formula>
    </cfRule>
  </conditionalFormatting>
  <conditionalFormatting sqref="H29:N29">
    <cfRule type="expression" dxfId="8661" priority="127">
      <formula>5</formula>
    </cfRule>
    <cfRule type="cellIs" dxfId="8660" priority="128" operator="lessThan">
      <formula>5</formula>
    </cfRule>
  </conditionalFormatting>
  <conditionalFormatting sqref="H29:N29">
    <cfRule type="cellIs" dxfId="8659" priority="126" operator="lessThan">
      <formula>50</formula>
    </cfRule>
  </conditionalFormatting>
  <conditionalFormatting sqref="P29">
    <cfRule type="cellIs" dxfId="8658" priority="125" operator="lessThan">
      <formula>50</formula>
    </cfRule>
  </conditionalFormatting>
  <conditionalFormatting sqref="H30:N30">
    <cfRule type="expression" dxfId="8657" priority="123">
      <formula>5</formula>
    </cfRule>
    <cfRule type="cellIs" dxfId="8656" priority="124" operator="lessThan">
      <formula>5</formula>
    </cfRule>
  </conditionalFormatting>
  <conditionalFormatting sqref="H30:N30">
    <cfRule type="cellIs" dxfId="8655" priority="122" operator="lessThan">
      <formula>50</formula>
    </cfRule>
  </conditionalFormatting>
  <conditionalFormatting sqref="P30">
    <cfRule type="cellIs" dxfId="8654" priority="121" operator="lessThan">
      <formula>50</formula>
    </cfRule>
  </conditionalFormatting>
  <conditionalFormatting sqref="H31:N31">
    <cfRule type="expression" dxfId="8653" priority="119">
      <formula>5</formula>
    </cfRule>
    <cfRule type="cellIs" dxfId="8652" priority="120" operator="lessThan">
      <formula>5</formula>
    </cfRule>
  </conditionalFormatting>
  <conditionalFormatting sqref="H31:N31">
    <cfRule type="cellIs" dxfId="8651" priority="118" operator="lessThan">
      <formula>50</formula>
    </cfRule>
  </conditionalFormatting>
  <conditionalFormatting sqref="P31">
    <cfRule type="cellIs" dxfId="8650" priority="117" operator="lessThan">
      <formula>50</formula>
    </cfRule>
  </conditionalFormatting>
  <conditionalFormatting sqref="H32:N32">
    <cfRule type="expression" dxfId="8649" priority="115">
      <formula>5</formula>
    </cfRule>
    <cfRule type="cellIs" dxfId="8648" priority="116" operator="lessThan">
      <formula>5</formula>
    </cfRule>
  </conditionalFormatting>
  <conditionalFormatting sqref="H32:N32">
    <cfRule type="cellIs" dxfId="8647" priority="114" operator="lessThan">
      <formula>50</formula>
    </cfRule>
  </conditionalFormatting>
  <conditionalFormatting sqref="P32">
    <cfRule type="cellIs" dxfId="8646" priority="113" operator="lessThan">
      <formula>50</formula>
    </cfRule>
  </conditionalFormatting>
  <conditionalFormatting sqref="H33:N33">
    <cfRule type="expression" dxfId="8645" priority="111">
      <formula>5</formula>
    </cfRule>
    <cfRule type="cellIs" dxfId="8644" priority="112" operator="lessThan">
      <formula>5</formula>
    </cfRule>
  </conditionalFormatting>
  <conditionalFormatting sqref="H33:N33">
    <cfRule type="cellIs" dxfId="8643" priority="110" operator="lessThan">
      <formula>50</formula>
    </cfRule>
  </conditionalFormatting>
  <conditionalFormatting sqref="P33">
    <cfRule type="cellIs" dxfId="8642" priority="109" operator="lessThan">
      <formula>50</formula>
    </cfRule>
  </conditionalFormatting>
  <conditionalFormatting sqref="H34:N34">
    <cfRule type="expression" dxfId="8641" priority="107">
      <formula>5</formula>
    </cfRule>
    <cfRule type="cellIs" dxfId="8640" priority="108" operator="lessThan">
      <formula>5</formula>
    </cfRule>
  </conditionalFormatting>
  <conditionalFormatting sqref="H34:N34">
    <cfRule type="cellIs" dxfId="8639" priority="106" operator="lessThan">
      <formula>50</formula>
    </cfRule>
  </conditionalFormatting>
  <conditionalFormatting sqref="P34">
    <cfRule type="cellIs" dxfId="8638" priority="105" operator="lessThan">
      <formula>50</formula>
    </cfRule>
  </conditionalFormatting>
  <conditionalFormatting sqref="H35:N35">
    <cfRule type="expression" dxfId="8637" priority="103">
      <formula>5</formula>
    </cfRule>
    <cfRule type="cellIs" dxfId="8636" priority="104" operator="lessThan">
      <formula>5</formula>
    </cfRule>
  </conditionalFormatting>
  <conditionalFormatting sqref="H35:N35">
    <cfRule type="cellIs" dxfId="8635" priority="102" operator="lessThan">
      <formula>50</formula>
    </cfRule>
  </conditionalFormatting>
  <conditionalFormatting sqref="P35">
    <cfRule type="cellIs" dxfId="8634" priority="101" operator="lessThan">
      <formula>50</formula>
    </cfRule>
  </conditionalFormatting>
  <conditionalFormatting sqref="H36:N36">
    <cfRule type="expression" dxfId="8633" priority="99">
      <formula>5</formula>
    </cfRule>
    <cfRule type="cellIs" dxfId="8632" priority="100" operator="lessThan">
      <formula>5</formula>
    </cfRule>
  </conditionalFormatting>
  <conditionalFormatting sqref="H36:N36">
    <cfRule type="cellIs" dxfId="8631" priority="98" operator="lessThan">
      <formula>50</formula>
    </cfRule>
  </conditionalFormatting>
  <conditionalFormatting sqref="P36">
    <cfRule type="cellIs" dxfId="8630" priority="97" operator="lessThan">
      <formula>50</formula>
    </cfRule>
  </conditionalFormatting>
  <conditionalFormatting sqref="H37:N37">
    <cfRule type="expression" dxfId="8629" priority="95">
      <formula>5</formula>
    </cfRule>
    <cfRule type="cellIs" dxfId="8628" priority="96" operator="lessThan">
      <formula>5</formula>
    </cfRule>
  </conditionalFormatting>
  <conditionalFormatting sqref="H37:N37">
    <cfRule type="cellIs" dxfId="8627" priority="94" operator="lessThan">
      <formula>50</formula>
    </cfRule>
  </conditionalFormatting>
  <conditionalFormatting sqref="P37">
    <cfRule type="cellIs" dxfId="8626" priority="93" operator="lessThan">
      <formula>50</formula>
    </cfRule>
  </conditionalFormatting>
  <conditionalFormatting sqref="H38:N38">
    <cfRule type="expression" dxfId="8625" priority="91">
      <formula>5</formula>
    </cfRule>
    <cfRule type="cellIs" dxfId="8624" priority="92" operator="lessThan">
      <formula>5</formula>
    </cfRule>
  </conditionalFormatting>
  <conditionalFormatting sqref="H38:N38">
    <cfRule type="cellIs" dxfId="8623" priority="90" operator="lessThan">
      <formula>50</formula>
    </cfRule>
  </conditionalFormatting>
  <conditionalFormatting sqref="P38">
    <cfRule type="cellIs" dxfId="8622" priority="89" operator="lessThan">
      <formula>50</formula>
    </cfRule>
  </conditionalFormatting>
  <conditionalFormatting sqref="H39:N39">
    <cfRule type="expression" dxfId="8621" priority="87">
      <formula>5</formula>
    </cfRule>
    <cfRule type="cellIs" dxfId="8620" priority="88" operator="lessThan">
      <formula>5</formula>
    </cfRule>
  </conditionalFormatting>
  <conditionalFormatting sqref="H39:N39">
    <cfRule type="cellIs" dxfId="8619" priority="86" operator="lessThan">
      <formula>50</formula>
    </cfRule>
  </conditionalFormatting>
  <conditionalFormatting sqref="P39">
    <cfRule type="cellIs" dxfId="8618" priority="85" operator="lessThan">
      <formula>50</formula>
    </cfRule>
  </conditionalFormatting>
  <conditionalFormatting sqref="H40:N40">
    <cfRule type="expression" dxfId="8617" priority="83">
      <formula>5</formula>
    </cfRule>
    <cfRule type="cellIs" dxfId="8616" priority="84" operator="lessThan">
      <formula>5</formula>
    </cfRule>
  </conditionalFormatting>
  <conditionalFormatting sqref="H40:N40">
    <cfRule type="cellIs" dxfId="8615" priority="82" operator="lessThan">
      <formula>50</formula>
    </cfRule>
  </conditionalFormatting>
  <conditionalFormatting sqref="P40">
    <cfRule type="cellIs" dxfId="8614" priority="81" operator="lessThan">
      <formula>50</formula>
    </cfRule>
  </conditionalFormatting>
  <conditionalFormatting sqref="H41:N41">
    <cfRule type="expression" dxfId="8613" priority="79">
      <formula>5</formula>
    </cfRule>
    <cfRule type="cellIs" dxfId="8612" priority="80" operator="lessThan">
      <formula>5</formula>
    </cfRule>
  </conditionalFormatting>
  <conditionalFormatting sqref="H41:N41">
    <cfRule type="cellIs" dxfId="8611" priority="78" operator="lessThan">
      <formula>50</formula>
    </cfRule>
  </conditionalFormatting>
  <conditionalFormatting sqref="P41">
    <cfRule type="cellIs" dxfId="8610" priority="77" operator="lessThan">
      <formula>50</formula>
    </cfRule>
  </conditionalFormatting>
  <conditionalFormatting sqref="H42:N42">
    <cfRule type="expression" dxfId="8609" priority="75">
      <formula>5</formula>
    </cfRule>
    <cfRule type="cellIs" dxfId="8608" priority="76" operator="lessThan">
      <formula>5</formula>
    </cfRule>
  </conditionalFormatting>
  <conditionalFormatting sqref="H42:N42">
    <cfRule type="cellIs" dxfId="8607" priority="74" operator="lessThan">
      <formula>50</formula>
    </cfRule>
  </conditionalFormatting>
  <conditionalFormatting sqref="P42">
    <cfRule type="cellIs" dxfId="8606" priority="73" operator="lessThan">
      <formula>50</formula>
    </cfRule>
  </conditionalFormatting>
  <conditionalFormatting sqref="H43:N43">
    <cfRule type="expression" dxfId="8605" priority="71">
      <formula>5</formula>
    </cfRule>
    <cfRule type="cellIs" dxfId="8604" priority="72" operator="lessThan">
      <formula>5</formula>
    </cfRule>
  </conditionalFormatting>
  <conditionalFormatting sqref="H43:N43">
    <cfRule type="cellIs" dxfId="8603" priority="70" operator="lessThan">
      <formula>50</formula>
    </cfRule>
  </conditionalFormatting>
  <conditionalFormatting sqref="P43">
    <cfRule type="cellIs" dxfId="8602" priority="69" operator="lessThan">
      <formula>50</formula>
    </cfRule>
  </conditionalFormatting>
  <conditionalFormatting sqref="H44:N44">
    <cfRule type="expression" dxfId="8601" priority="67">
      <formula>5</formula>
    </cfRule>
    <cfRule type="cellIs" dxfId="8600" priority="68" operator="lessThan">
      <formula>5</formula>
    </cfRule>
  </conditionalFormatting>
  <conditionalFormatting sqref="H44:N44">
    <cfRule type="cellIs" dxfId="8599" priority="66" operator="lessThan">
      <formula>50</formula>
    </cfRule>
  </conditionalFormatting>
  <conditionalFormatting sqref="P44">
    <cfRule type="cellIs" dxfId="8598" priority="65" operator="lessThan">
      <formula>50</formula>
    </cfRule>
  </conditionalFormatting>
  <conditionalFormatting sqref="H45:N45">
    <cfRule type="expression" dxfId="8597" priority="63">
      <formula>5</formula>
    </cfRule>
    <cfRule type="cellIs" dxfId="8596" priority="64" operator="lessThan">
      <formula>5</formula>
    </cfRule>
  </conditionalFormatting>
  <conditionalFormatting sqref="H45:N45">
    <cfRule type="cellIs" dxfId="8595" priority="62" operator="lessThan">
      <formula>50</formula>
    </cfRule>
  </conditionalFormatting>
  <conditionalFormatting sqref="P45">
    <cfRule type="cellIs" dxfId="8594" priority="61" operator="lessThan">
      <formula>50</formula>
    </cfRule>
  </conditionalFormatting>
  <conditionalFormatting sqref="H46:N46">
    <cfRule type="expression" dxfId="8593" priority="59">
      <formula>5</formula>
    </cfRule>
    <cfRule type="cellIs" dxfId="8592" priority="60" operator="lessThan">
      <formula>5</formula>
    </cfRule>
  </conditionalFormatting>
  <conditionalFormatting sqref="H46:N46">
    <cfRule type="cellIs" dxfId="8591" priority="58" operator="lessThan">
      <formula>50</formula>
    </cfRule>
  </conditionalFormatting>
  <conditionalFormatting sqref="P46">
    <cfRule type="cellIs" dxfId="8590" priority="57" operator="lessThan">
      <formula>50</formula>
    </cfRule>
  </conditionalFormatting>
  <conditionalFormatting sqref="H47:N47">
    <cfRule type="expression" dxfId="8589" priority="55">
      <formula>5</formula>
    </cfRule>
    <cfRule type="cellIs" dxfId="8588" priority="56" operator="lessThan">
      <formula>5</formula>
    </cfRule>
  </conditionalFormatting>
  <conditionalFormatting sqref="H47:N47">
    <cfRule type="cellIs" dxfId="8587" priority="54" operator="lessThan">
      <formula>50</formula>
    </cfRule>
  </conditionalFormatting>
  <conditionalFormatting sqref="P47">
    <cfRule type="cellIs" dxfId="8586" priority="53" operator="lessThan">
      <formula>50</formula>
    </cfRule>
  </conditionalFormatting>
  <conditionalFormatting sqref="H48:N48">
    <cfRule type="expression" dxfId="8585" priority="51">
      <formula>5</formula>
    </cfRule>
    <cfRule type="cellIs" dxfId="8584" priority="52" operator="lessThan">
      <formula>5</formula>
    </cfRule>
  </conditionalFormatting>
  <conditionalFormatting sqref="H48:N48">
    <cfRule type="cellIs" dxfId="8583" priority="50" operator="lessThan">
      <formula>50</formula>
    </cfRule>
  </conditionalFormatting>
  <conditionalFormatting sqref="P48">
    <cfRule type="cellIs" dxfId="8582" priority="49" operator="lessThan">
      <formula>50</formula>
    </cfRule>
  </conditionalFormatting>
  <conditionalFormatting sqref="H49:N49">
    <cfRule type="expression" dxfId="8581" priority="47">
      <formula>5</formula>
    </cfRule>
    <cfRule type="cellIs" dxfId="8580" priority="48" operator="lessThan">
      <formula>5</formula>
    </cfRule>
  </conditionalFormatting>
  <conditionalFormatting sqref="H49:N49">
    <cfRule type="cellIs" dxfId="8579" priority="46" operator="lessThan">
      <formula>50</formula>
    </cfRule>
  </conditionalFormatting>
  <conditionalFormatting sqref="P49">
    <cfRule type="cellIs" dxfId="8578" priority="45" operator="lessThan">
      <formula>50</formula>
    </cfRule>
  </conditionalFormatting>
  <conditionalFormatting sqref="H50:N50">
    <cfRule type="expression" dxfId="8577" priority="43">
      <formula>5</formula>
    </cfRule>
    <cfRule type="cellIs" dxfId="8576" priority="44" operator="lessThan">
      <formula>5</formula>
    </cfRule>
  </conditionalFormatting>
  <conditionalFormatting sqref="H50:N50">
    <cfRule type="cellIs" dxfId="8575" priority="42" operator="lessThan">
      <formula>50</formula>
    </cfRule>
  </conditionalFormatting>
  <conditionalFormatting sqref="P50">
    <cfRule type="cellIs" dxfId="8574" priority="41" operator="lessThan">
      <formula>50</formula>
    </cfRule>
  </conditionalFormatting>
  <conditionalFormatting sqref="H51:N51">
    <cfRule type="expression" dxfId="8573" priority="39">
      <formula>5</formula>
    </cfRule>
    <cfRule type="cellIs" dxfId="8572" priority="40" operator="lessThan">
      <formula>5</formula>
    </cfRule>
  </conditionalFormatting>
  <conditionalFormatting sqref="H51:N51">
    <cfRule type="cellIs" dxfId="8571" priority="38" operator="lessThan">
      <formula>50</formula>
    </cfRule>
  </conditionalFormatting>
  <conditionalFormatting sqref="P51">
    <cfRule type="cellIs" dxfId="8570" priority="37" operator="lessThan">
      <formula>50</formula>
    </cfRule>
  </conditionalFormatting>
  <conditionalFormatting sqref="H52:N52">
    <cfRule type="expression" dxfId="8569" priority="35">
      <formula>5</formula>
    </cfRule>
    <cfRule type="cellIs" dxfId="8568" priority="36" operator="lessThan">
      <formula>5</formula>
    </cfRule>
  </conditionalFormatting>
  <conditionalFormatting sqref="H52:N52">
    <cfRule type="cellIs" dxfId="8567" priority="34" operator="lessThan">
      <formula>50</formula>
    </cfRule>
  </conditionalFormatting>
  <conditionalFormatting sqref="P52">
    <cfRule type="cellIs" dxfId="8566" priority="33" operator="lessThan">
      <formula>50</formula>
    </cfRule>
  </conditionalFormatting>
  <conditionalFormatting sqref="H53:N53">
    <cfRule type="expression" dxfId="8565" priority="31">
      <formula>5</formula>
    </cfRule>
    <cfRule type="cellIs" dxfId="8564" priority="32" operator="lessThan">
      <formula>5</formula>
    </cfRule>
  </conditionalFormatting>
  <conditionalFormatting sqref="H53:N53">
    <cfRule type="cellIs" dxfId="8563" priority="30" operator="lessThan">
      <formula>50</formula>
    </cfRule>
  </conditionalFormatting>
  <conditionalFormatting sqref="P53">
    <cfRule type="cellIs" dxfId="8562" priority="29" operator="lessThan">
      <formula>50</formula>
    </cfRule>
  </conditionalFormatting>
  <conditionalFormatting sqref="H54:N54">
    <cfRule type="expression" dxfId="8561" priority="27">
      <formula>5</formula>
    </cfRule>
    <cfRule type="cellIs" dxfId="8560" priority="28" operator="lessThan">
      <formula>5</formula>
    </cfRule>
  </conditionalFormatting>
  <conditionalFormatting sqref="H54:N54">
    <cfRule type="cellIs" dxfId="8559" priority="26" operator="lessThan">
      <formula>50</formula>
    </cfRule>
  </conditionalFormatting>
  <conditionalFormatting sqref="P54">
    <cfRule type="cellIs" dxfId="8558" priority="25" operator="lessThan">
      <formula>50</formula>
    </cfRule>
  </conditionalFormatting>
  <conditionalFormatting sqref="H55:N55">
    <cfRule type="expression" dxfId="8557" priority="23">
      <formula>5</formula>
    </cfRule>
    <cfRule type="cellIs" dxfId="8556" priority="24" operator="lessThan">
      <formula>5</formula>
    </cfRule>
  </conditionalFormatting>
  <conditionalFormatting sqref="H55:N55">
    <cfRule type="cellIs" dxfId="8555" priority="22" operator="lessThan">
      <formula>50</formula>
    </cfRule>
  </conditionalFormatting>
  <conditionalFormatting sqref="P55">
    <cfRule type="cellIs" dxfId="8554" priority="21" operator="lessThan">
      <formula>50</formula>
    </cfRule>
  </conditionalFormatting>
  <conditionalFormatting sqref="H56:N56">
    <cfRule type="expression" dxfId="8553" priority="19">
      <formula>5</formula>
    </cfRule>
    <cfRule type="cellIs" dxfId="8552" priority="20" operator="lessThan">
      <formula>5</formula>
    </cfRule>
  </conditionalFormatting>
  <conditionalFormatting sqref="H56:N56">
    <cfRule type="cellIs" dxfId="8551" priority="18" operator="lessThan">
      <formula>50</formula>
    </cfRule>
  </conditionalFormatting>
  <conditionalFormatting sqref="P56">
    <cfRule type="cellIs" dxfId="8550" priority="17" operator="lessThan">
      <formula>50</formula>
    </cfRule>
  </conditionalFormatting>
  <conditionalFormatting sqref="H57:N57">
    <cfRule type="expression" dxfId="8549" priority="15">
      <formula>5</formula>
    </cfRule>
    <cfRule type="cellIs" dxfId="8548" priority="16" operator="lessThan">
      <formula>5</formula>
    </cfRule>
  </conditionalFormatting>
  <conditionalFormatting sqref="H57:N57">
    <cfRule type="cellIs" dxfId="8547" priority="14" operator="lessThan">
      <formula>50</formula>
    </cfRule>
  </conditionalFormatting>
  <conditionalFormatting sqref="P57">
    <cfRule type="cellIs" dxfId="8546" priority="13" operator="lessThan">
      <formula>50</formula>
    </cfRule>
  </conditionalFormatting>
  <conditionalFormatting sqref="H58:N58">
    <cfRule type="expression" dxfId="8545" priority="11">
      <formula>5</formula>
    </cfRule>
    <cfRule type="cellIs" dxfId="8544" priority="12" operator="lessThan">
      <formula>5</formula>
    </cfRule>
  </conditionalFormatting>
  <conditionalFormatting sqref="H58:N58">
    <cfRule type="cellIs" dxfId="8543" priority="10" operator="lessThan">
      <formula>50</formula>
    </cfRule>
  </conditionalFormatting>
  <conditionalFormatting sqref="P58">
    <cfRule type="cellIs" dxfId="8542" priority="9" operator="lessThan">
      <formula>50</formula>
    </cfRule>
  </conditionalFormatting>
  <conditionalFormatting sqref="H59:N59">
    <cfRule type="expression" dxfId="8541" priority="7">
      <formula>5</formula>
    </cfRule>
    <cfRule type="cellIs" dxfId="8540" priority="8" operator="lessThan">
      <formula>5</formula>
    </cfRule>
  </conditionalFormatting>
  <conditionalFormatting sqref="H59:N59">
    <cfRule type="cellIs" dxfId="8539" priority="6" operator="lessThan">
      <formula>50</formula>
    </cfRule>
  </conditionalFormatting>
  <conditionalFormatting sqref="P59">
    <cfRule type="cellIs" dxfId="8538" priority="5" operator="lessThan">
      <formula>50</formula>
    </cfRule>
  </conditionalFormatting>
  <conditionalFormatting sqref="H60:N60">
    <cfRule type="expression" dxfId="8537" priority="3">
      <formula>5</formula>
    </cfRule>
    <cfRule type="cellIs" dxfId="8536" priority="4" operator="lessThan">
      <formula>5</formula>
    </cfRule>
  </conditionalFormatting>
  <conditionalFormatting sqref="H60:N60">
    <cfRule type="cellIs" dxfId="8535" priority="2" operator="lessThan">
      <formula>50</formula>
    </cfRule>
  </conditionalFormatting>
  <conditionalFormatting sqref="P60">
    <cfRule type="cellIs" dxfId="8534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7:E17" xr:uid="{AB0B1A36-2B12-4BB9-8832-C5A07A0B43DF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C8EA-6C99-478A-8EF8-E104086DB2BE}">
  <sheetPr codeName="Sheet88"/>
  <dimension ref="A1:Q60"/>
  <sheetViews>
    <sheetView showGridLines="0" workbookViewId="0">
      <selection activeCell="F5" sqref="F5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7" width="4.7109375" customWidth="1"/>
  </cols>
  <sheetData>
    <row r="1" spans="1:17" ht="18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8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8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8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</row>
    <row r="5" spans="1:17" ht="18" customHeight="1">
      <c r="A5" s="57" t="s">
        <v>5326</v>
      </c>
      <c r="B5" s="57"/>
      <c r="C5" s="17"/>
      <c r="D5" s="17" t="s">
        <v>5332</v>
      </c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7" t="s">
        <v>0</v>
      </c>
      <c r="I6" s="38" t="s">
        <v>1</v>
      </c>
      <c r="J6" s="37" t="s">
        <v>2</v>
      </c>
      <c r="K6" s="37" t="s">
        <v>3</v>
      </c>
      <c r="L6" s="37" t="s">
        <v>4</v>
      </c>
      <c r="M6" s="37" t="s">
        <v>5</v>
      </c>
      <c r="N6" s="37" t="s">
        <v>6</v>
      </c>
      <c r="O6" s="37" t="s">
        <v>5320</v>
      </c>
      <c r="P6" s="37" t="s">
        <v>5321</v>
      </c>
      <c r="Q6" s="39" t="s">
        <v>5324</v>
      </c>
    </row>
    <row r="7" spans="1:17" ht="18" customHeight="1" thickTop="1">
      <c r="A7" s="19">
        <v>1</v>
      </c>
      <c r="B7" s="2" t="s">
        <v>763</v>
      </c>
      <c r="C7" s="1" t="s">
        <v>764</v>
      </c>
      <c r="D7" s="3" t="s">
        <v>765</v>
      </c>
      <c r="E7" s="1" t="s">
        <v>69</v>
      </c>
      <c r="F7" s="10" t="s">
        <v>762</v>
      </c>
      <c r="G7" s="2">
        <v>29</v>
      </c>
      <c r="H7" s="8">
        <v>100</v>
      </c>
      <c r="I7" s="8">
        <v>92</v>
      </c>
      <c r="J7" s="8">
        <v>84</v>
      </c>
      <c r="K7" s="8">
        <v>80</v>
      </c>
      <c r="L7" s="8">
        <v>84</v>
      </c>
      <c r="M7" s="8">
        <v>92</v>
      </c>
      <c r="N7" s="8">
        <v>60</v>
      </c>
      <c r="O7" s="1">
        <f t="shared" ref="O7:O38" si="0">SUBTOTAL(9,H7:N7)</f>
        <v>592</v>
      </c>
      <c r="P7" s="14">
        <f t="shared" ref="P7:P38" si="1">O7/8</f>
        <v>74</v>
      </c>
      <c r="Q7" s="20">
        <f t="shared" ref="Q7:Q38" si="2">RANK(P7,P$7:P$282,0)</f>
        <v>1</v>
      </c>
    </row>
    <row r="8" spans="1:17" ht="18" customHeight="1">
      <c r="A8" s="19">
        <v>2</v>
      </c>
      <c r="B8" s="2" t="s">
        <v>874</v>
      </c>
      <c r="C8" s="1">
        <v>311260384</v>
      </c>
      <c r="D8" s="3" t="s">
        <v>875</v>
      </c>
      <c r="E8" s="1" t="s">
        <v>74</v>
      </c>
      <c r="F8" s="10" t="s">
        <v>762</v>
      </c>
      <c r="G8" s="2">
        <v>31</v>
      </c>
      <c r="H8" s="8">
        <v>88</v>
      </c>
      <c r="I8" s="8">
        <v>89</v>
      </c>
      <c r="J8" s="8">
        <v>92</v>
      </c>
      <c r="K8" s="8">
        <v>70</v>
      </c>
      <c r="L8" s="8">
        <v>76</v>
      </c>
      <c r="M8" s="8">
        <v>84</v>
      </c>
      <c r="N8" s="8">
        <v>72</v>
      </c>
      <c r="O8" s="1">
        <f t="shared" si="0"/>
        <v>571</v>
      </c>
      <c r="P8" s="14">
        <f t="shared" si="1"/>
        <v>71.375</v>
      </c>
      <c r="Q8" s="20">
        <f t="shared" si="2"/>
        <v>2</v>
      </c>
    </row>
    <row r="9" spans="1:17" ht="18" customHeight="1">
      <c r="A9" s="19">
        <v>3</v>
      </c>
      <c r="B9" s="2" t="s">
        <v>845</v>
      </c>
      <c r="C9" s="1">
        <v>311260267</v>
      </c>
      <c r="D9" s="3" t="s">
        <v>846</v>
      </c>
      <c r="E9" s="1" t="s">
        <v>85</v>
      </c>
      <c r="F9" s="10" t="s">
        <v>762</v>
      </c>
      <c r="G9" s="2">
        <v>30</v>
      </c>
      <c r="H9" s="8">
        <v>76</v>
      </c>
      <c r="I9" s="8">
        <v>92</v>
      </c>
      <c r="J9" s="8">
        <v>100</v>
      </c>
      <c r="K9" s="8">
        <v>65</v>
      </c>
      <c r="L9" s="8">
        <v>60</v>
      </c>
      <c r="M9" s="8">
        <v>92</v>
      </c>
      <c r="N9" s="8">
        <v>76</v>
      </c>
      <c r="O9" s="1">
        <f t="shared" si="0"/>
        <v>561</v>
      </c>
      <c r="P9" s="14">
        <f t="shared" si="1"/>
        <v>70.125</v>
      </c>
      <c r="Q9" s="20">
        <f t="shared" si="2"/>
        <v>3</v>
      </c>
    </row>
    <row r="10" spans="1:17" ht="18" customHeight="1">
      <c r="A10" s="19">
        <v>4</v>
      </c>
      <c r="B10" s="2" t="s">
        <v>864</v>
      </c>
      <c r="C10" s="1">
        <v>311260379</v>
      </c>
      <c r="D10" s="3" t="s">
        <v>865</v>
      </c>
      <c r="E10" s="1" t="s">
        <v>77</v>
      </c>
      <c r="F10" s="10" t="s">
        <v>762</v>
      </c>
      <c r="G10" s="2">
        <v>31</v>
      </c>
      <c r="H10" s="8">
        <v>100</v>
      </c>
      <c r="I10" s="8">
        <v>66</v>
      </c>
      <c r="J10" s="8">
        <v>100</v>
      </c>
      <c r="K10" s="8">
        <v>40</v>
      </c>
      <c r="L10" s="8">
        <v>92</v>
      </c>
      <c r="M10" s="8">
        <v>44</v>
      </c>
      <c r="N10" s="8">
        <v>84</v>
      </c>
      <c r="O10" s="1">
        <f t="shared" si="0"/>
        <v>526</v>
      </c>
      <c r="P10" s="14">
        <f t="shared" si="1"/>
        <v>65.75</v>
      </c>
      <c r="Q10" s="20">
        <f t="shared" si="2"/>
        <v>4</v>
      </c>
    </row>
    <row r="11" spans="1:17" ht="18" customHeight="1">
      <c r="A11" s="19">
        <v>5</v>
      </c>
      <c r="B11" s="2" t="s">
        <v>781</v>
      </c>
      <c r="C11" s="1" t="s">
        <v>782</v>
      </c>
      <c r="D11" s="3" t="s">
        <v>783</v>
      </c>
      <c r="E11" s="1" t="s">
        <v>58</v>
      </c>
      <c r="F11" s="10" t="s">
        <v>762</v>
      </c>
      <c r="G11" s="2">
        <v>29</v>
      </c>
      <c r="H11" s="8">
        <v>92</v>
      </c>
      <c r="I11" s="8">
        <v>77</v>
      </c>
      <c r="J11" s="8">
        <v>100</v>
      </c>
      <c r="K11" s="8">
        <v>20</v>
      </c>
      <c r="L11" s="8">
        <v>84</v>
      </c>
      <c r="M11" s="8">
        <v>92</v>
      </c>
      <c r="N11" s="8">
        <v>52</v>
      </c>
      <c r="O11" s="1">
        <f t="shared" si="0"/>
        <v>517</v>
      </c>
      <c r="P11" s="14">
        <f t="shared" si="1"/>
        <v>64.625</v>
      </c>
      <c r="Q11" s="20">
        <f t="shared" si="2"/>
        <v>5</v>
      </c>
    </row>
    <row r="12" spans="1:17" ht="18" customHeight="1">
      <c r="A12" s="19">
        <v>6</v>
      </c>
      <c r="B12" s="2" t="s">
        <v>818</v>
      </c>
      <c r="C12" s="1" t="s">
        <v>819</v>
      </c>
      <c r="D12" s="3" t="s">
        <v>820</v>
      </c>
      <c r="E12" s="1" t="s">
        <v>353</v>
      </c>
      <c r="F12" s="10" t="s">
        <v>762</v>
      </c>
      <c r="G12" s="2">
        <v>30</v>
      </c>
      <c r="H12" s="8">
        <v>84</v>
      </c>
      <c r="I12" s="8">
        <v>89</v>
      </c>
      <c r="J12" s="8">
        <v>92</v>
      </c>
      <c r="K12" s="8">
        <v>70</v>
      </c>
      <c r="L12" s="8">
        <v>76</v>
      </c>
      <c r="M12" s="8">
        <v>36</v>
      </c>
      <c r="N12" s="8">
        <v>68</v>
      </c>
      <c r="O12" s="1">
        <f t="shared" si="0"/>
        <v>515</v>
      </c>
      <c r="P12" s="14">
        <f t="shared" si="1"/>
        <v>64.375</v>
      </c>
      <c r="Q12" s="20">
        <f t="shared" si="2"/>
        <v>6</v>
      </c>
    </row>
    <row r="13" spans="1:17" ht="18" customHeight="1">
      <c r="A13" s="19">
        <v>7</v>
      </c>
      <c r="B13" s="2" t="s">
        <v>882</v>
      </c>
      <c r="C13" s="1">
        <v>311260809</v>
      </c>
      <c r="D13" s="3" t="s">
        <v>883</v>
      </c>
      <c r="E13" s="1" t="s">
        <v>55</v>
      </c>
      <c r="F13" s="10" t="s">
        <v>762</v>
      </c>
      <c r="G13" s="2">
        <v>31</v>
      </c>
      <c r="H13" s="8">
        <v>72</v>
      </c>
      <c r="I13" s="8">
        <v>92</v>
      </c>
      <c r="J13" s="8">
        <v>60</v>
      </c>
      <c r="K13" s="8">
        <v>45</v>
      </c>
      <c r="L13" s="8">
        <v>76</v>
      </c>
      <c r="M13" s="8">
        <v>68</v>
      </c>
      <c r="N13" s="8">
        <v>92</v>
      </c>
      <c r="O13" s="1">
        <f t="shared" si="0"/>
        <v>505</v>
      </c>
      <c r="P13" s="14">
        <f t="shared" si="1"/>
        <v>63.125</v>
      </c>
      <c r="Q13" s="20">
        <f t="shared" si="2"/>
        <v>7</v>
      </c>
    </row>
    <row r="14" spans="1:17" ht="18" customHeight="1">
      <c r="A14" s="19">
        <v>8</v>
      </c>
      <c r="B14" s="2" t="s">
        <v>868</v>
      </c>
      <c r="C14" s="1">
        <v>311260381</v>
      </c>
      <c r="D14" s="3" t="s">
        <v>869</v>
      </c>
      <c r="E14" s="1" t="s">
        <v>77</v>
      </c>
      <c r="F14" s="10" t="s">
        <v>762</v>
      </c>
      <c r="G14" s="2">
        <v>31</v>
      </c>
      <c r="H14" s="8">
        <v>76</v>
      </c>
      <c r="I14" s="8">
        <v>85</v>
      </c>
      <c r="J14" s="8">
        <v>92</v>
      </c>
      <c r="K14" s="8">
        <v>75</v>
      </c>
      <c r="L14" s="8">
        <v>60</v>
      </c>
      <c r="M14" s="8">
        <v>52</v>
      </c>
      <c r="N14" s="8">
        <v>60</v>
      </c>
      <c r="O14" s="1">
        <f t="shared" si="0"/>
        <v>500</v>
      </c>
      <c r="P14" s="14">
        <f t="shared" si="1"/>
        <v>62.5</v>
      </c>
      <c r="Q14" s="20">
        <f t="shared" si="2"/>
        <v>8</v>
      </c>
    </row>
    <row r="15" spans="1:17" ht="18" customHeight="1">
      <c r="A15" s="19">
        <v>9</v>
      </c>
      <c r="B15" s="2" t="s">
        <v>824</v>
      </c>
      <c r="C15" s="1" t="s">
        <v>825</v>
      </c>
      <c r="D15" s="3" t="s">
        <v>826</v>
      </c>
      <c r="E15" s="1" t="s">
        <v>685</v>
      </c>
      <c r="F15" s="10" t="s">
        <v>762</v>
      </c>
      <c r="G15" s="2">
        <v>30</v>
      </c>
      <c r="H15" s="8">
        <v>92</v>
      </c>
      <c r="I15" s="8">
        <v>77</v>
      </c>
      <c r="J15" s="8">
        <v>92</v>
      </c>
      <c r="K15" s="8">
        <v>70</v>
      </c>
      <c r="L15" s="8">
        <v>60</v>
      </c>
      <c r="M15" s="8">
        <v>40</v>
      </c>
      <c r="N15" s="8">
        <v>68</v>
      </c>
      <c r="O15" s="1">
        <f t="shared" si="0"/>
        <v>499</v>
      </c>
      <c r="P15" s="14">
        <f t="shared" si="1"/>
        <v>62.375</v>
      </c>
      <c r="Q15" s="20">
        <f t="shared" si="2"/>
        <v>9</v>
      </c>
    </row>
    <row r="16" spans="1:17" ht="18" customHeight="1">
      <c r="A16" s="19">
        <v>10</v>
      </c>
      <c r="B16" s="2" t="s">
        <v>878</v>
      </c>
      <c r="C16" s="1">
        <v>311260386</v>
      </c>
      <c r="D16" s="3" t="s">
        <v>879</v>
      </c>
      <c r="E16" s="1" t="s">
        <v>74</v>
      </c>
      <c r="F16" s="10" t="s">
        <v>762</v>
      </c>
      <c r="G16" s="2">
        <v>31</v>
      </c>
      <c r="H16" s="8">
        <v>76</v>
      </c>
      <c r="I16" s="8">
        <v>96</v>
      </c>
      <c r="J16" s="8">
        <v>76</v>
      </c>
      <c r="K16" s="8">
        <v>50</v>
      </c>
      <c r="L16" s="8">
        <v>44</v>
      </c>
      <c r="M16" s="8">
        <v>92</v>
      </c>
      <c r="N16" s="8">
        <v>52</v>
      </c>
      <c r="O16" s="1">
        <f t="shared" si="0"/>
        <v>486</v>
      </c>
      <c r="P16" s="14">
        <f t="shared" si="1"/>
        <v>60.75</v>
      </c>
      <c r="Q16" s="20">
        <f t="shared" si="2"/>
        <v>10</v>
      </c>
    </row>
    <row r="17" spans="1:17" ht="18" customHeight="1">
      <c r="A17" s="19">
        <v>11</v>
      </c>
      <c r="B17" s="2" t="s">
        <v>862</v>
      </c>
      <c r="C17" s="1">
        <v>311260378</v>
      </c>
      <c r="D17" s="3" t="s">
        <v>863</v>
      </c>
      <c r="E17" s="1" t="s">
        <v>77</v>
      </c>
      <c r="F17" s="10" t="s">
        <v>762</v>
      </c>
      <c r="G17" s="2">
        <v>31</v>
      </c>
      <c r="H17" s="8">
        <v>72</v>
      </c>
      <c r="I17" s="8">
        <v>85</v>
      </c>
      <c r="J17" s="8">
        <v>92</v>
      </c>
      <c r="K17" s="8">
        <v>60</v>
      </c>
      <c r="L17" s="8">
        <v>52</v>
      </c>
      <c r="M17" s="8">
        <v>60</v>
      </c>
      <c r="N17" s="8">
        <v>52</v>
      </c>
      <c r="O17" s="1">
        <f t="shared" si="0"/>
        <v>473</v>
      </c>
      <c r="P17" s="14">
        <f t="shared" si="1"/>
        <v>59.125</v>
      </c>
      <c r="Q17" s="20">
        <f t="shared" si="2"/>
        <v>11</v>
      </c>
    </row>
    <row r="18" spans="1:17" ht="18" customHeight="1">
      <c r="A18" s="19">
        <v>12</v>
      </c>
      <c r="B18" s="2" t="s">
        <v>821</v>
      </c>
      <c r="C18" s="1" t="s">
        <v>822</v>
      </c>
      <c r="D18" s="3" t="s">
        <v>823</v>
      </c>
      <c r="E18" s="1" t="s">
        <v>685</v>
      </c>
      <c r="F18" s="10" t="s">
        <v>762</v>
      </c>
      <c r="G18" s="2">
        <v>30</v>
      </c>
      <c r="H18" s="8">
        <v>88</v>
      </c>
      <c r="I18" s="8">
        <v>89</v>
      </c>
      <c r="J18" s="8">
        <v>64</v>
      </c>
      <c r="K18" s="8">
        <v>40</v>
      </c>
      <c r="L18" s="8">
        <v>60</v>
      </c>
      <c r="M18" s="8">
        <v>60</v>
      </c>
      <c r="N18" s="8">
        <v>68</v>
      </c>
      <c r="O18" s="1">
        <f t="shared" si="0"/>
        <v>469</v>
      </c>
      <c r="P18" s="14">
        <f t="shared" si="1"/>
        <v>58.625</v>
      </c>
      <c r="Q18" s="20">
        <f t="shared" si="2"/>
        <v>12</v>
      </c>
    </row>
    <row r="19" spans="1:17" ht="18" customHeight="1">
      <c r="A19" s="19">
        <v>13</v>
      </c>
      <c r="B19" s="2" t="s">
        <v>766</v>
      </c>
      <c r="C19" s="1" t="s">
        <v>767</v>
      </c>
      <c r="D19" s="3" t="s">
        <v>768</v>
      </c>
      <c r="E19" s="1" t="s">
        <v>69</v>
      </c>
      <c r="F19" s="10" t="s">
        <v>762</v>
      </c>
      <c r="G19" s="2">
        <v>29</v>
      </c>
      <c r="H19" s="8">
        <v>68</v>
      </c>
      <c r="I19" s="8">
        <v>85</v>
      </c>
      <c r="J19" s="8">
        <v>84</v>
      </c>
      <c r="K19" s="8">
        <v>35</v>
      </c>
      <c r="L19" s="8">
        <v>44</v>
      </c>
      <c r="M19" s="8">
        <v>68</v>
      </c>
      <c r="N19" s="8">
        <v>76</v>
      </c>
      <c r="O19" s="1">
        <f t="shared" si="0"/>
        <v>460</v>
      </c>
      <c r="P19" s="14">
        <f t="shared" si="1"/>
        <v>57.5</v>
      </c>
      <c r="Q19" s="20">
        <f t="shared" si="2"/>
        <v>13</v>
      </c>
    </row>
    <row r="20" spans="1:17" ht="18" customHeight="1">
      <c r="A20" s="19">
        <v>14</v>
      </c>
      <c r="B20" s="2" t="s">
        <v>827</v>
      </c>
      <c r="C20" s="1">
        <v>311260258</v>
      </c>
      <c r="D20" s="3" t="s">
        <v>828</v>
      </c>
      <c r="E20" s="1" t="s">
        <v>72</v>
      </c>
      <c r="F20" s="10" t="s">
        <v>762</v>
      </c>
      <c r="G20" s="2">
        <v>30</v>
      </c>
      <c r="H20" s="8">
        <v>60</v>
      </c>
      <c r="I20" s="8">
        <v>85</v>
      </c>
      <c r="J20" s="8">
        <v>84</v>
      </c>
      <c r="K20" s="8">
        <v>55</v>
      </c>
      <c r="L20" s="8">
        <v>52</v>
      </c>
      <c r="M20" s="8">
        <v>44</v>
      </c>
      <c r="N20" s="8">
        <v>76</v>
      </c>
      <c r="O20" s="1">
        <f t="shared" si="0"/>
        <v>456</v>
      </c>
      <c r="P20" s="14">
        <f t="shared" si="1"/>
        <v>57</v>
      </c>
      <c r="Q20" s="20">
        <f t="shared" si="2"/>
        <v>14</v>
      </c>
    </row>
    <row r="21" spans="1:17" ht="18" customHeight="1">
      <c r="A21" s="19">
        <v>15</v>
      </c>
      <c r="B21" s="2" t="s">
        <v>852</v>
      </c>
      <c r="C21" s="1">
        <v>311260373</v>
      </c>
      <c r="D21" s="3" t="s">
        <v>853</v>
      </c>
      <c r="E21" s="1" t="s">
        <v>73</v>
      </c>
      <c r="F21" s="10" t="s">
        <v>762</v>
      </c>
      <c r="G21" s="2">
        <v>30</v>
      </c>
      <c r="H21" s="8">
        <v>68</v>
      </c>
      <c r="I21" s="8">
        <v>66</v>
      </c>
      <c r="J21" s="8">
        <v>100</v>
      </c>
      <c r="K21" s="8">
        <v>50</v>
      </c>
      <c r="L21" s="8">
        <v>60</v>
      </c>
      <c r="M21" s="8">
        <v>12</v>
      </c>
      <c r="N21" s="8">
        <v>84</v>
      </c>
      <c r="O21" s="1">
        <f t="shared" si="0"/>
        <v>440</v>
      </c>
      <c r="P21" s="14">
        <f t="shared" si="1"/>
        <v>55</v>
      </c>
      <c r="Q21" s="20">
        <f t="shared" si="2"/>
        <v>15</v>
      </c>
    </row>
    <row r="22" spans="1:17" ht="18" customHeight="1">
      <c r="A22" s="19">
        <v>16</v>
      </c>
      <c r="B22" s="2" t="s">
        <v>860</v>
      </c>
      <c r="C22" s="1">
        <v>311260377</v>
      </c>
      <c r="D22" s="3" t="s">
        <v>861</v>
      </c>
      <c r="E22" s="1" t="s">
        <v>77</v>
      </c>
      <c r="F22" s="10" t="s">
        <v>762</v>
      </c>
      <c r="G22" s="2">
        <v>31</v>
      </c>
      <c r="H22" s="8">
        <v>60</v>
      </c>
      <c r="I22" s="8">
        <v>92</v>
      </c>
      <c r="J22" s="8">
        <v>68</v>
      </c>
      <c r="K22" s="8">
        <v>60</v>
      </c>
      <c r="L22" s="8">
        <v>28</v>
      </c>
      <c r="M22" s="8">
        <v>72</v>
      </c>
      <c r="N22" s="8">
        <v>60</v>
      </c>
      <c r="O22" s="1">
        <f t="shared" si="0"/>
        <v>440</v>
      </c>
      <c r="P22" s="14">
        <f t="shared" si="1"/>
        <v>55</v>
      </c>
      <c r="Q22" s="20">
        <f t="shared" si="2"/>
        <v>15</v>
      </c>
    </row>
    <row r="23" spans="1:17" ht="18" customHeight="1">
      <c r="A23" s="19">
        <v>17</v>
      </c>
      <c r="B23" s="2" t="s">
        <v>790</v>
      </c>
      <c r="C23" s="1" t="s">
        <v>791</v>
      </c>
      <c r="D23" s="3" t="s">
        <v>792</v>
      </c>
      <c r="E23" s="1" t="s">
        <v>77</v>
      </c>
      <c r="F23" s="10" t="s">
        <v>762</v>
      </c>
      <c r="G23" s="2">
        <v>29</v>
      </c>
      <c r="H23" s="8">
        <v>68</v>
      </c>
      <c r="I23" s="8">
        <v>85</v>
      </c>
      <c r="J23" s="8">
        <v>100</v>
      </c>
      <c r="K23" s="8">
        <v>30</v>
      </c>
      <c r="L23" s="8">
        <v>60</v>
      </c>
      <c r="M23" s="8">
        <v>52</v>
      </c>
      <c r="N23" s="8">
        <v>44</v>
      </c>
      <c r="O23" s="1">
        <f t="shared" si="0"/>
        <v>439</v>
      </c>
      <c r="P23" s="14">
        <f t="shared" si="1"/>
        <v>54.875</v>
      </c>
      <c r="Q23" s="20">
        <f t="shared" si="2"/>
        <v>17</v>
      </c>
    </row>
    <row r="24" spans="1:17" ht="18" customHeight="1">
      <c r="A24" s="19">
        <v>18</v>
      </c>
      <c r="B24" s="2" t="s">
        <v>772</v>
      </c>
      <c r="C24" s="1" t="s">
        <v>773</v>
      </c>
      <c r="D24" s="3" t="s">
        <v>774</v>
      </c>
      <c r="E24" s="1" t="s">
        <v>70</v>
      </c>
      <c r="F24" s="10" t="s">
        <v>762</v>
      </c>
      <c r="G24" s="2">
        <v>29</v>
      </c>
      <c r="H24" s="8">
        <v>68</v>
      </c>
      <c r="I24" s="8">
        <v>81</v>
      </c>
      <c r="J24" s="8">
        <v>84</v>
      </c>
      <c r="K24" s="8">
        <v>70</v>
      </c>
      <c r="L24" s="8">
        <v>52</v>
      </c>
      <c r="M24" s="8">
        <v>44</v>
      </c>
      <c r="N24" s="8">
        <v>36</v>
      </c>
      <c r="O24" s="1">
        <f t="shared" si="0"/>
        <v>435</v>
      </c>
      <c r="P24" s="14">
        <f t="shared" si="1"/>
        <v>54.375</v>
      </c>
      <c r="Q24" s="20">
        <f t="shared" si="2"/>
        <v>18</v>
      </c>
    </row>
    <row r="25" spans="1:17" ht="18" customHeight="1">
      <c r="A25" s="19">
        <v>19</v>
      </c>
      <c r="B25" s="2" t="s">
        <v>793</v>
      </c>
      <c r="C25" s="1" t="s">
        <v>794</v>
      </c>
      <c r="D25" s="3" t="s">
        <v>795</v>
      </c>
      <c r="E25" s="1" t="s">
        <v>77</v>
      </c>
      <c r="F25" s="10" t="s">
        <v>762</v>
      </c>
      <c r="G25" s="2">
        <v>29</v>
      </c>
      <c r="H25" s="8">
        <v>64</v>
      </c>
      <c r="I25" s="8">
        <v>85</v>
      </c>
      <c r="J25" s="8">
        <v>68</v>
      </c>
      <c r="K25" s="8">
        <v>65</v>
      </c>
      <c r="L25" s="8">
        <v>40</v>
      </c>
      <c r="M25" s="8">
        <v>44</v>
      </c>
      <c r="N25" s="8">
        <v>68</v>
      </c>
      <c r="O25" s="1">
        <f t="shared" si="0"/>
        <v>434</v>
      </c>
      <c r="P25" s="14">
        <f t="shared" si="1"/>
        <v>54.25</v>
      </c>
      <c r="Q25" s="20">
        <f t="shared" si="2"/>
        <v>19</v>
      </c>
    </row>
    <row r="26" spans="1:17" ht="18" customHeight="1">
      <c r="A26" s="19">
        <v>20</v>
      </c>
      <c r="B26" s="2" t="s">
        <v>809</v>
      </c>
      <c r="C26" s="1" t="s">
        <v>810</v>
      </c>
      <c r="D26" s="3" t="s">
        <v>811</v>
      </c>
      <c r="E26" s="1" t="s">
        <v>64</v>
      </c>
      <c r="F26" s="10" t="s">
        <v>762</v>
      </c>
      <c r="G26" s="2">
        <v>29</v>
      </c>
      <c r="H26" s="8">
        <v>80</v>
      </c>
      <c r="I26" s="8">
        <v>77</v>
      </c>
      <c r="J26" s="8">
        <v>68</v>
      </c>
      <c r="K26" s="8">
        <v>55</v>
      </c>
      <c r="L26" s="8">
        <v>74</v>
      </c>
      <c r="M26" s="8">
        <v>24</v>
      </c>
      <c r="N26" s="8">
        <v>52</v>
      </c>
      <c r="O26" s="1">
        <f t="shared" si="0"/>
        <v>430</v>
      </c>
      <c r="P26" s="14">
        <f t="shared" si="1"/>
        <v>53.75</v>
      </c>
      <c r="Q26" s="20">
        <f t="shared" si="2"/>
        <v>20</v>
      </c>
    </row>
    <row r="27" spans="1:17" ht="18" customHeight="1">
      <c r="A27" s="19">
        <v>21</v>
      </c>
      <c r="B27" s="2" t="s">
        <v>849</v>
      </c>
      <c r="C27" s="1">
        <v>311260371</v>
      </c>
      <c r="D27" s="3" t="s">
        <v>850</v>
      </c>
      <c r="E27" s="1" t="s">
        <v>81</v>
      </c>
      <c r="F27" s="10" t="s">
        <v>762</v>
      </c>
      <c r="G27" s="2">
        <v>30</v>
      </c>
      <c r="H27" s="8">
        <v>68</v>
      </c>
      <c r="I27" s="8">
        <v>81</v>
      </c>
      <c r="J27" s="8">
        <v>84</v>
      </c>
      <c r="K27" s="8">
        <v>45</v>
      </c>
      <c r="L27" s="8">
        <v>44</v>
      </c>
      <c r="M27" s="8">
        <v>44</v>
      </c>
      <c r="N27" s="8">
        <v>60</v>
      </c>
      <c r="O27" s="1">
        <f t="shared" si="0"/>
        <v>426</v>
      </c>
      <c r="P27" s="14">
        <f t="shared" si="1"/>
        <v>53.25</v>
      </c>
      <c r="Q27" s="20">
        <f t="shared" si="2"/>
        <v>21</v>
      </c>
    </row>
    <row r="28" spans="1:17" ht="18" customHeight="1">
      <c r="A28" s="19">
        <v>22</v>
      </c>
      <c r="B28" s="2" t="s">
        <v>812</v>
      </c>
      <c r="C28" s="1" t="s">
        <v>813</v>
      </c>
      <c r="D28" s="3" t="s">
        <v>814</v>
      </c>
      <c r="E28" s="1" t="s">
        <v>78</v>
      </c>
      <c r="F28" s="10" t="s">
        <v>762</v>
      </c>
      <c r="G28" s="2">
        <v>29</v>
      </c>
      <c r="H28" s="8">
        <v>88</v>
      </c>
      <c r="I28" s="8">
        <v>81</v>
      </c>
      <c r="J28" s="8">
        <v>52</v>
      </c>
      <c r="K28" s="8">
        <v>65</v>
      </c>
      <c r="L28" s="8">
        <v>28</v>
      </c>
      <c r="M28" s="8">
        <v>28</v>
      </c>
      <c r="N28" s="8">
        <v>68</v>
      </c>
      <c r="O28" s="1">
        <f t="shared" si="0"/>
        <v>410</v>
      </c>
      <c r="P28" s="14">
        <f t="shared" si="1"/>
        <v>51.25</v>
      </c>
      <c r="Q28" s="20">
        <f t="shared" si="2"/>
        <v>22</v>
      </c>
    </row>
    <row r="29" spans="1:17" ht="18" customHeight="1">
      <c r="A29" s="19">
        <v>23</v>
      </c>
      <c r="B29" s="2" t="s">
        <v>800</v>
      </c>
      <c r="C29" s="1" t="s">
        <v>801</v>
      </c>
      <c r="D29" s="3" t="s">
        <v>802</v>
      </c>
      <c r="E29" s="1" t="s">
        <v>799</v>
      </c>
      <c r="F29" s="10" t="s">
        <v>762</v>
      </c>
      <c r="G29" s="2">
        <v>29</v>
      </c>
      <c r="H29" s="8">
        <v>52</v>
      </c>
      <c r="I29" s="8">
        <v>77</v>
      </c>
      <c r="J29" s="8">
        <v>84</v>
      </c>
      <c r="K29" s="8">
        <v>15</v>
      </c>
      <c r="L29" s="8">
        <v>76</v>
      </c>
      <c r="M29" s="8">
        <v>40</v>
      </c>
      <c r="N29" s="8">
        <v>52</v>
      </c>
      <c r="O29" s="1">
        <f t="shared" si="0"/>
        <v>396</v>
      </c>
      <c r="P29" s="14">
        <f t="shared" si="1"/>
        <v>49.5</v>
      </c>
      <c r="Q29" s="20">
        <f t="shared" si="2"/>
        <v>23</v>
      </c>
    </row>
    <row r="30" spans="1:17" ht="18" customHeight="1">
      <c r="A30" s="19">
        <v>24</v>
      </c>
      <c r="B30" s="2" t="s">
        <v>775</v>
      </c>
      <c r="C30" s="1" t="s">
        <v>776</v>
      </c>
      <c r="D30" s="3" t="s">
        <v>777</v>
      </c>
      <c r="E30" s="1" t="s">
        <v>70</v>
      </c>
      <c r="F30" s="10" t="s">
        <v>762</v>
      </c>
      <c r="G30" s="2">
        <v>29</v>
      </c>
      <c r="H30" s="8">
        <v>68</v>
      </c>
      <c r="I30" s="8">
        <v>51</v>
      </c>
      <c r="J30" s="8">
        <v>100</v>
      </c>
      <c r="K30" s="8">
        <v>20</v>
      </c>
      <c r="L30" s="8">
        <v>68</v>
      </c>
      <c r="M30" s="8">
        <v>36</v>
      </c>
      <c r="N30" s="8">
        <v>52</v>
      </c>
      <c r="O30" s="1">
        <f t="shared" si="0"/>
        <v>395</v>
      </c>
      <c r="P30" s="14">
        <f t="shared" si="1"/>
        <v>49.375</v>
      </c>
      <c r="Q30" s="20">
        <f t="shared" si="2"/>
        <v>24</v>
      </c>
    </row>
    <row r="31" spans="1:17" ht="18" customHeight="1">
      <c r="A31" s="19">
        <v>25</v>
      </c>
      <c r="B31" s="2" t="s">
        <v>778</v>
      </c>
      <c r="C31" s="1" t="s">
        <v>779</v>
      </c>
      <c r="D31" s="3" t="s">
        <v>780</v>
      </c>
      <c r="E31" s="1" t="s">
        <v>56</v>
      </c>
      <c r="F31" s="10" t="s">
        <v>762</v>
      </c>
      <c r="G31" s="2">
        <v>29</v>
      </c>
      <c r="H31" s="8">
        <v>92</v>
      </c>
      <c r="I31" s="8">
        <v>85</v>
      </c>
      <c r="J31" s="8">
        <v>52</v>
      </c>
      <c r="K31" s="8">
        <v>35</v>
      </c>
      <c r="L31" s="8">
        <v>28</v>
      </c>
      <c r="M31" s="8">
        <v>44</v>
      </c>
      <c r="N31" s="8">
        <v>52</v>
      </c>
      <c r="O31" s="1">
        <f t="shared" si="0"/>
        <v>388</v>
      </c>
      <c r="P31" s="14">
        <f t="shared" si="1"/>
        <v>48.5</v>
      </c>
      <c r="Q31" s="20">
        <f t="shared" si="2"/>
        <v>25</v>
      </c>
    </row>
    <row r="32" spans="1:17" ht="18" customHeight="1">
      <c r="A32" s="19">
        <v>26</v>
      </c>
      <c r="B32" s="2" t="s">
        <v>872</v>
      </c>
      <c r="C32" s="1">
        <v>311260383</v>
      </c>
      <c r="D32" s="3" t="s">
        <v>873</v>
      </c>
      <c r="E32" s="1" t="s">
        <v>74</v>
      </c>
      <c r="F32" s="10" t="s">
        <v>762</v>
      </c>
      <c r="G32" s="2">
        <v>31</v>
      </c>
      <c r="H32" s="8">
        <v>80</v>
      </c>
      <c r="I32" s="8">
        <v>72</v>
      </c>
      <c r="J32" s="8">
        <v>36</v>
      </c>
      <c r="K32" s="8">
        <v>65</v>
      </c>
      <c r="L32" s="8">
        <v>44</v>
      </c>
      <c r="M32" s="8">
        <v>52</v>
      </c>
      <c r="N32" s="8">
        <v>36</v>
      </c>
      <c r="O32" s="1">
        <f t="shared" si="0"/>
        <v>385</v>
      </c>
      <c r="P32" s="14">
        <f t="shared" si="1"/>
        <v>48.125</v>
      </c>
      <c r="Q32" s="20">
        <f t="shared" si="2"/>
        <v>26</v>
      </c>
    </row>
    <row r="33" spans="1:17" ht="18" customHeight="1">
      <c r="A33" s="19">
        <v>27</v>
      </c>
      <c r="B33" s="2" t="s">
        <v>866</v>
      </c>
      <c r="C33" s="1">
        <v>311260380</v>
      </c>
      <c r="D33" s="3" t="s">
        <v>867</v>
      </c>
      <c r="E33" s="1" t="s">
        <v>77</v>
      </c>
      <c r="F33" s="10" t="s">
        <v>762</v>
      </c>
      <c r="G33" s="2">
        <v>31</v>
      </c>
      <c r="H33" s="8">
        <v>48</v>
      </c>
      <c r="I33" s="8">
        <v>62</v>
      </c>
      <c r="J33" s="8">
        <v>52</v>
      </c>
      <c r="K33" s="8">
        <v>55</v>
      </c>
      <c r="L33" s="8">
        <v>60</v>
      </c>
      <c r="M33" s="8">
        <v>24</v>
      </c>
      <c r="N33" s="8">
        <v>76</v>
      </c>
      <c r="O33" s="1">
        <f t="shared" si="0"/>
        <v>377</v>
      </c>
      <c r="P33" s="14">
        <f t="shared" si="1"/>
        <v>47.125</v>
      </c>
      <c r="Q33" s="20">
        <f t="shared" si="2"/>
        <v>27</v>
      </c>
    </row>
    <row r="34" spans="1:17" ht="18" customHeight="1">
      <c r="A34" s="19">
        <v>28</v>
      </c>
      <c r="B34" s="2" t="s">
        <v>876</v>
      </c>
      <c r="C34" s="1">
        <v>311260385</v>
      </c>
      <c r="D34" s="3" t="s">
        <v>877</v>
      </c>
      <c r="E34" s="1" t="s">
        <v>74</v>
      </c>
      <c r="F34" s="10" t="s">
        <v>762</v>
      </c>
      <c r="G34" s="2">
        <v>31</v>
      </c>
      <c r="H34" s="8">
        <v>76</v>
      </c>
      <c r="I34" s="8">
        <v>66</v>
      </c>
      <c r="J34" s="8">
        <v>52</v>
      </c>
      <c r="K34" s="8">
        <v>35</v>
      </c>
      <c r="L34" s="8">
        <v>52</v>
      </c>
      <c r="M34" s="8">
        <v>52</v>
      </c>
      <c r="N34" s="8">
        <v>44</v>
      </c>
      <c r="O34" s="1">
        <f t="shared" si="0"/>
        <v>377</v>
      </c>
      <c r="P34" s="14">
        <f t="shared" si="1"/>
        <v>47.125</v>
      </c>
      <c r="Q34" s="20">
        <f t="shared" si="2"/>
        <v>27</v>
      </c>
    </row>
    <row r="35" spans="1:17" ht="18" customHeight="1">
      <c r="A35" s="19">
        <v>29</v>
      </c>
      <c r="B35" s="2" t="s">
        <v>884</v>
      </c>
      <c r="C35" s="1">
        <v>311260810</v>
      </c>
      <c r="D35" s="3" t="s">
        <v>885</v>
      </c>
      <c r="E35" s="1" t="s">
        <v>79</v>
      </c>
      <c r="F35" s="10" t="s">
        <v>762</v>
      </c>
      <c r="G35" s="2">
        <v>31</v>
      </c>
      <c r="H35" s="8">
        <v>76</v>
      </c>
      <c r="I35" s="8">
        <v>89</v>
      </c>
      <c r="J35" s="8">
        <v>84</v>
      </c>
      <c r="K35" s="8">
        <v>5</v>
      </c>
      <c r="L35" s="8">
        <v>44</v>
      </c>
      <c r="M35" s="8">
        <v>20</v>
      </c>
      <c r="N35" s="8">
        <v>56</v>
      </c>
      <c r="O35" s="1">
        <f t="shared" si="0"/>
        <v>374</v>
      </c>
      <c r="P35" s="14">
        <f t="shared" si="1"/>
        <v>46.75</v>
      </c>
      <c r="Q35" s="20">
        <f t="shared" si="2"/>
        <v>29</v>
      </c>
    </row>
    <row r="36" spans="1:17" ht="18" customHeight="1">
      <c r="A36" s="19">
        <v>30</v>
      </c>
      <c r="B36" s="2" t="s">
        <v>784</v>
      </c>
      <c r="C36" s="1" t="s">
        <v>785</v>
      </c>
      <c r="D36" s="3" t="s">
        <v>786</v>
      </c>
      <c r="E36" s="1" t="s">
        <v>59</v>
      </c>
      <c r="F36" s="10" t="s">
        <v>762</v>
      </c>
      <c r="G36" s="2">
        <v>29</v>
      </c>
      <c r="H36" s="8">
        <v>60</v>
      </c>
      <c r="I36" s="8">
        <v>89</v>
      </c>
      <c r="J36" s="8">
        <v>68</v>
      </c>
      <c r="K36" s="8">
        <v>25</v>
      </c>
      <c r="L36" s="8">
        <v>52</v>
      </c>
      <c r="M36" s="8">
        <v>20</v>
      </c>
      <c r="N36" s="8">
        <v>52</v>
      </c>
      <c r="O36" s="1">
        <f t="shared" si="0"/>
        <v>366</v>
      </c>
      <c r="P36" s="14">
        <f t="shared" si="1"/>
        <v>45.75</v>
      </c>
      <c r="Q36" s="20">
        <f t="shared" si="2"/>
        <v>30</v>
      </c>
    </row>
    <row r="37" spans="1:17" ht="18" customHeight="1">
      <c r="A37" s="19">
        <v>31</v>
      </c>
      <c r="B37" s="2" t="s">
        <v>888</v>
      </c>
      <c r="C37" s="1">
        <v>311260812</v>
      </c>
      <c r="D37" s="3" t="s">
        <v>889</v>
      </c>
      <c r="E37" s="1" t="s">
        <v>79</v>
      </c>
      <c r="F37" s="10" t="s">
        <v>762</v>
      </c>
      <c r="G37" s="2">
        <v>31</v>
      </c>
      <c r="H37" s="8">
        <v>48</v>
      </c>
      <c r="I37" s="8">
        <v>73</v>
      </c>
      <c r="J37" s="8">
        <v>76</v>
      </c>
      <c r="K37" s="8">
        <v>60</v>
      </c>
      <c r="L37" s="8">
        <v>32</v>
      </c>
      <c r="M37" s="8">
        <v>20</v>
      </c>
      <c r="N37" s="8">
        <v>36</v>
      </c>
      <c r="O37" s="1">
        <f t="shared" si="0"/>
        <v>345</v>
      </c>
      <c r="P37" s="14">
        <f t="shared" si="1"/>
        <v>43.125</v>
      </c>
      <c r="Q37" s="20">
        <f t="shared" si="2"/>
        <v>31</v>
      </c>
    </row>
    <row r="38" spans="1:17" ht="18" customHeight="1">
      <c r="A38" s="19">
        <v>32</v>
      </c>
      <c r="B38" s="2" t="s">
        <v>880</v>
      </c>
      <c r="C38" s="1">
        <v>311260808</v>
      </c>
      <c r="D38" s="3" t="s">
        <v>881</v>
      </c>
      <c r="E38" s="1" t="s">
        <v>55</v>
      </c>
      <c r="F38" s="10" t="s">
        <v>762</v>
      </c>
      <c r="G38" s="2">
        <v>31</v>
      </c>
      <c r="H38" s="8">
        <v>76</v>
      </c>
      <c r="I38" s="8">
        <v>73</v>
      </c>
      <c r="J38" s="8">
        <v>52</v>
      </c>
      <c r="K38" s="8">
        <v>40</v>
      </c>
      <c r="L38" s="8">
        <v>28</v>
      </c>
      <c r="M38" s="8">
        <v>24</v>
      </c>
      <c r="N38" s="8">
        <v>48</v>
      </c>
      <c r="O38" s="1">
        <f t="shared" si="0"/>
        <v>341</v>
      </c>
      <c r="P38" s="14">
        <f t="shared" si="1"/>
        <v>42.625</v>
      </c>
      <c r="Q38" s="20">
        <f t="shared" si="2"/>
        <v>32</v>
      </c>
    </row>
    <row r="39" spans="1:17" ht="18" customHeight="1">
      <c r="A39" s="19">
        <v>33</v>
      </c>
      <c r="B39" s="2" t="s">
        <v>787</v>
      </c>
      <c r="C39" s="1" t="s">
        <v>788</v>
      </c>
      <c r="D39" s="3" t="s">
        <v>789</v>
      </c>
      <c r="E39" s="1" t="s">
        <v>73</v>
      </c>
      <c r="F39" s="10" t="s">
        <v>762</v>
      </c>
      <c r="G39" s="2">
        <v>29</v>
      </c>
      <c r="H39" s="8">
        <v>68</v>
      </c>
      <c r="I39" s="8">
        <v>32</v>
      </c>
      <c r="J39" s="8">
        <v>60</v>
      </c>
      <c r="K39" s="8">
        <v>0</v>
      </c>
      <c r="L39" s="8">
        <v>44</v>
      </c>
      <c r="M39" s="8">
        <v>52</v>
      </c>
      <c r="N39" s="8">
        <v>84</v>
      </c>
      <c r="O39" s="1">
        <f t="shared" ref="O39:O60" si="3">SUBTOTAL(9,H39:N39)</f>
        <v>340</v>
      </c>
      <c r="P39" s="14">
        <f t="shared" ref="P39:P60" si="4">O39/8</f>
        <v>42.5</v>
      </c>
      <c r="Q39" s="20">
        <f t="shared" ref="Q39:Q60" si="5">RANK(P39,P$7:P$282,0)</f>
        <v>33</v>
      </c>
    </row>
    <row r="40" spans="1:17" ht="18" customHeight="1">
      <c r="A40" s="19">
        <v>34</v>
      </c>
      <c r="B40" s="2" t="s">
        <v>837</v>
      </c>
      <c r="C40" s="1">
        <v>311260263</v>
      </c>
      <c r="D40" s="3" t="s">
        <v>838</v>
      </c>
      <c r="E40" s="1" t="s">
        <v>88</v>
      </c>
      <c r="F40" s="10" t="s">
        <v>762</v>
      </c>
      <c r="G40" s="2">
        <v>30</v>
      </c>
      <c r="H40" s="8">
        <v>40</v>
      </c>
      <c r="I40" s="8">
        <v>73</v>
      </c>
      <c r="J40" s="8">
        <v>78</v>
      </c>
      <c r="K40" s="8">
        <v>5</v>
      </c>
      <c r="L40" s="8">
        <v>60</v>
      </c>
      <c r="M40" s="8">
        <v>52</v>
      </c>
      <c r="N40" s="8">
        <v>28</v>
      </c>
      <c r="O40" s="1">
        <f t="shared" si="3"/>
        <v>336</v>
      </c>
      <c r="P40" s="14">
        <f t="shared" si="4"/>
        <v>42</v>
      </c>
      <c r="Q40" s="20">
        <f t="shared" si="5"/>
        <v>34</v>
      </c>
    </row>
    <row r="41" spans="1:17" ht="18" customHeight="1">
      <c r="A41" s="19">
        <v>35</v>
      </c>
      <c r="B41" s="2" t="s">
        <v>833</v>
      </c>
      <c r="C41" s="1">
        <v>311260261</v>
      </c>
      <c r="D41" s="3" t="s">
        <v>834</v>
      </c>
      <c r="E41" s="1" t="s">
        <v>64</v>
      </c>
      <c r="F41" s="10" t="s">
        <v>762</v>
      </c>
      <c r="G41" s="2">
        <v>30</v>
      </c>
      <c r="H41" s="8">
        <v>68</v>
      </c>
      <c r="I41" s="8">
        <v>47</v>
      </c>
      <c r="J41" s="8">
        <v>76</v>
      </c>
      <c r="K41" s="8">
        <v>10</v>
      </c>
      <c r="L41" s="8">
        <v>44</v>
      </c>
      <c r="M41" s="8">
        <v>44</v>
      </c>
      <c r="N41" s="8">
        <v>44</v>
      </c>
      <c r="O41" s="1">
        <f t="shared" si="3"/>
        <v>333</v>
      </c>
      <c r="P41" s="14">
        <f t="shared" si="4"/>
        <v>41.625</v>
      </c>
      <c r="Q41" s="20">
        <f t="shared" si="5"/>
        <v>35</v>
      </c>
    </row>
    <row r="42" spans="1:17" ht="18" customHeight="1">
      <c r="A42" s="19">
        <v>36</v>
      </c>
      <c r="B42" s="2" t="s">
        <v>841</v>
      </c>
      <c r="C42" s="1">
        <v>311260265</v>
      </c>
      <c r="D42" s="3" t="s">
        <v>842</v>
      </c>
      <c r="E42" s="1" t="s">
        <v>67</v>
      </c>
      <c r="F42" s="10" t="s">
        <v>762</v>
      </c>
      <c r="G42" s="2">
        <v>30</v>
      </c>
      <c r="H42" s="8">
        <v>52</v>
      </c>
      <c r="I42" s="8">
        <v>47</v>
      </c>
      <c r="J42" s="8">
        <v>72</v>
      </c>
      <c r="K42" s="8">
        <v>20</v>
      </c>
      <c r="L42" s="8">
        <v>32</v>
      </c>
      <c r="M42" s="8">
        <v>48</v>
      </c>
      <c r="N42" s="8">
        <v>52</v>
      </c>
      <c r="O42" s="1">
        <f t="shared" si="3"/>
        <v>323</v>
      </c>
      <c r="P42" s="14">
        <f t="shared" si="4"/>
        <v>40.375</v>
      </c>
      <c r="Q42" s="20">
        <f t="shared" si="5"/>
        <v>36</v>
      </c>
    </row>
    <row r="43" spans="1:17" ht="18" customHeight="1">
      <c r="A43" s="19">
        <v>37</v>
      </c>
      <c r="B43" s="2" t="s">
        <v>839</v>
      </c>
      <c r="C43" s="1">
        <v>311260264</v>
      </c>
      <c r="D43" s="3" t="s">
        <v>840</v>
      </c>
      <c r="E43" s="1" t="s">
        <v>88</v>
      </c>
      <c r="F43" s="10" t="s">
        <v>762</v>
      </c>
      <c r="G43" s="2">
        <v>30</v>
      </c>
      <c r="H43" s="8">
        <v>64</v>
      </c>
      <c r="I43" s="8">
        <v>66</v>
      </c>
      <c r="J43" s="8">
        <v>60</v>
      </c>
      <c r="K43" s="8">
        <v>10</v>
      </c>
      <c r="L43" s="8">
        <v>20</v>
      </c>
      <c r="M43" s="8">
        <v>56</v>
      </c>
      <c r="N43" s="8">
        <v>44</v>
      </c>
      <c r="O43" s="1">
        <f t="shared" si="3"/>
        <v>320</v>
      </c>
      <c r="P43" s="14">
        <f t="shared" si="4"/>
        <v>40</v>
      </c>
      <c r="Q43" s="20">
        <f t="shared" si="5"/>
        <v>37</v>
      </c>
    </row>
    <row r="44" spans="1:17" ht="18" customHeight="1">
      <c r="A44" s="19">
        <v>38</v>
      </c>
      <c r="B44" s="2" t="s">
        <v>870</v>
      </c>
      <c r="C44" s="1">
        <v>311260382</v>
      </c>
      <c r="D44" s="3" t="s">
        <v>871</v>
      </c>
      <c r="E44" s="1" t="s">
        <v>84</v>
      </c>
      <c r="F44" s="10" t="s">
        <v>762</v>
      </c>
      <c r="G44" s="2">
        <v>31</v>
      </c>
      <c r="H44" s="8">
        <v>60</v>
      </c>
      <c r="I44" s="8">
        <v>66</v>
      </c>
      <c r="J44" s="8">
        <v>28</v>
      </c>
      <c r="K44" s="8">
        <v>20</v>
      </c>
      <c r="L44" s="8">
        <v>44</v>
      </c>
      <c r="M44" s="8">
        <v>44</v>
      </c>
      <c r="N44" s="8">
        <v>36</v>
      </c>
      <c r="O44" s="1">
        <f t="shared" si="3"/>
        <v>298</v>
      </c>
      <c r="P44" s="14">
        <f t="shared" si="4"/>
        <v>37.25</v>
      </c>
      <c r="Q44" s="20">
        <f t="shared" si="5"/>
        <v>38</v>
      </c>
    </row>
    <row r="45" spans="1:17" ht="18" customHeight="1">
      <c r="A45" s="19">
        <v>39</v>
      </c>
      <c r="B45" s="2" t="s">
        <v>829</v>
      </c>
      <c r="C45" s="1">
        <v>311260259</v>
      </c>
      <c r="D45" s="3" t="s">
        <v>830</v>
      </c>
      <c r="E45" s="1" t="s">
        <v>72</v>
      </c>
      <c r="F45" s="10" t="s">
        <v>762</v>
      </c>
      <c r="G45" s="2">
        <v>30</v>
      </c>
      <c r="H45" s="8">
        <v>44</v>
      </c>
      <c r="I45" s="8">
        <v>70</v>
      </c>
      <c r="J45" s="8">
        <v>52</v>
      </c>
      <c r="K45" s="8">
        <v>5</v>
      </c>
      <c r="L45" s="8">
        <v>32</v>
      </c>
      <c r="M45" s="8">
        <v>32</v>
      </c>
      <c r="N45" s="8">
        <v>60</v>
      </c>
      <c r="O45" s="1">
        <f t="shared" si="3"/>
        <v>295</v>
      </c>
      <c r="P45" s="14">
        <f t="shared" si="4"/>
        <v>36.875</v>
      </c>
      <c r="Q45" s="20">
        <f t="shared" si="5"/>
        <v>39</v>
      </c>
    </row>
    <row r="46" spans="1:17" ht="18" customHeight="1">
      <c r="A46" s="19">
        <v>40</v>
      </c>
      <c r="B46" s="2" t="s">
        <v>847</v>
      </c>
      <c r="C46" s="1">
        <v>311260370</v>
      </c>
      <c r="D46" s="3" t="s">
        <v>848</v>
      </c>
      <c r="E46" s="1" t="s">
        <v>81</v>
      </c>
      <c r="F46" s="10" t="s">
        <v>762</v>
      </c>
      <c r="G46" s="2">
        <v>30</v>
      </c>
      <c r="H46" s="8">
        <v>48</v>
      </c>
      <c r="I46" s="8">
        <v>35</v>
      </c>
      <c r="J46" s="8">
        <v>60</v>
      </c>
      <c r="K46" s="8">
        <v>20</v>
      </c>
      <c r="L46" s="8">
        <v>36</v>
      </c>
      <c r="M46" s="8">
        <v>36</v>
      </c>
      <c r="N46" s="8">
        <v>60</v>
      </c>
      <c r="O46" s="1">
        <f t="shared" si="3"/>
        <v>295</v>
      </c>
      <c r="P46" s="14">
        <f t="shared" si="4"/>
        <v>36.875</v>
      </c>
      <c r="Q46" s="20">
        <f t="shared" si="5"/>
        <v>39</v>
      </c>
    </row>
    <row r="47" spans="1:17" ht="18" customHeight="1">
      <c r="A47" s="19">
        <v>41</v>
      </c>
      <c r="B47" s="2" t="s">
        <v>843</v>
      </c>
      <c r="C47" s="1">
        <v>311260266</v>
      </c>
      <c r="D47" s="3" t="s">
        <v>844</v>
      </c>
      <c r="E47" s="1" t="s">
        <v>67</v>
      </c>
      <c r="F47" s="10" t="s">
        <v>762</v>
      </c>
      <c r="G47" s="2">
        <v>30</v>
      </c>
      <c r="H47" s="8">
        <v>60</v>
      </c>
      <c r="I47" s="8">
        <v>81</v>
      </c>
      <c r="J47" s="8">
        <v>36</v>
      </c>
      <c r="K47" s="8">
        <v>25</v>
      </c>
      <c r="L47" s="8">
        <v>24</v>
      </c>
      <c r="M47" s="8">
        <v>36</v>
      </c>
      <c r="N47" s="8">
        <v>32</v>
      </c>
      <c r="O47" s="1">
        <f t="shared" si="3"/>
        <v>294</v>
      </c>
      <c r="P47" s="14">
        <f t="shared" si="4"/>
        <v>36.75</v>
      </c>
      <c r="Q47" s="20">
        <f t="shared" si="5"/>
        <v>41</v>
      </c>
    </row>
    <row r="48" spans="1:17" ht="18" customHeight="1">
      <c r="A48" s="19">
        <v>42</v>
      </c>
      <c r="B48" s="2" t="s">
        <v>886</v>
      </c>
      <c r="C48" s="1">
        <v>311260811</v>
      </c>
      <c r="D48" s="3" t="s">
        <v>887</v>
      </c>
      <c r="E48" s="1" t="s">
        <v>79</v>
      </c>
      <c r="F48" s="10" t="s">
        <v>762</v>
      </c>
      <c r="G48" s="2">
        <v>31</v>
      </c>
      <c r="H48" s="8">
        <v>80</v>
      </c>
      <c r="I48" s="8">
        <v>39</v>
      </c>
      <c r="J48" s="8">
        <v>52</v>
      </c>
      <c r="K48" s="8">
        <v>10</v>
      </c>
      <c r="L48" s="8">
        <v>20</v>
      </c>
      <c r="M48" s="8">
        <v>40</v>
      </c>
      <c r="N48" s="8">
        <v>52</v>
      </c>
      <c r="O48" s="1">
        <f t="shared" si="3"/>
        <v>293</v>
      </c>
      <c r="P48" s="14">
        <f t="shared" si="4"/>
        <v>36.625</v>
      </c>
      <c r="Q48" s="20">
        <f t="shared" si="5"/>
        <v>42</v>
      </c>
    </row>
    <row r="49" spans="1:17" ht="18" customHeight="1">
      <c r="A49" s="19">
        <v>43</v>
      </c>
      <c r="B49" s="2" t="s">
        <v>796</v>
      </c>
      <c r="C49" s="1" t="s">
        <v>797</v>
      </c>
      <c r="D49" s="3" t="s">
        <v>798</v>
      </c>
      <c r="E49" s="1" t="s">
        <v>799</v>
      </c>
      <c r="F49" s="10" t="s">
        <v>762</v>
      </c>
      <c r="G49" s="2">
        <v>29</v>
      </c>
      <c r="H49" s="8">
        <v>56</v>
      </c>
      <c r="I49" s="8">
        <v>81</v>
      </c>
      <c r="J49" s="8">
        <v>60</v>
      </c>
      <c r="K49" s="8">
        <v>5</v>
      </c>
      <c r="L49" s="8">
        <v>20</v>
      </c>
      <c r="M49" s="8">
        <v>32</v>
      </c>
      <c r="N49" s="8">
        <v>36</v>
      </c>
      <c r="O49" s="1">
        <f t="shared" si="3"/>
        <v>290</v>
      </c>
      <c r="P49" s="14">
        <f t="shared" si="4"/>
        <v>36.25</v>
      </c>
      <c r="Q49" s="20">
        <f t="shared" si="5"/>
        <v>43</v>
      </c>
    </row>
    <row r="50" spans="1:17" ht="18" customHeight="1">
      <c r="A50" s="19">
        <v>44</v>
      </c>
      <c r="B50" s="2" t="s">
        <v>858</v>
      </c>
      <c r="C50" s="1">
        <v>311260376</v>
      </c>
      <c r="D50" s="3" t="s">
        <v>859</v>
      </c>
      <c r="E50" s="1" t="s">
        <v>77</v>
      </c>
      <c r="F50" s="10" t="s">
        <v>762</v>
      </c>
      <c r="G50" s="2">
        <v>30</v>
      </c>
      <c r="H50" s="8">
        <v>76</v>
      </c>
      <c r="I50" s="8">
        <v>51</v>
      </c>
      <c r="J50" s="8">
        <v>52</v>
      </c>
      <c r="K50" s="8">
        <v>15</v>
      </c>
      <c r="L50" s="8">
        <v>52</v>
      </c>
      <c r="M50" s="8">
        <v>28</v>
      </c>
      <c r="N50" s="8">
        <v>12</v>
      </c>
      <c r="O50" s="1">
        <f t="shared" si="3"/>
        <v>286</v>
      </c>
      <c r="P50" s="14">
        <f t="shared" si="4"/>
        <v>35.75</v>
      </c>
      <c r="Q50" s="20">
        <f t="shared" si="5"/>
        <v>44</v>
      </c>
    </row>
    <row r="51" spans="1:17" ht="18" customHeight="1">
      <c r="A51" s="19">
        <v>45</v>
      </c>
      <c r="B51" s="2" t="s">
        <v>769</v>
      </c>
      <c r="C51" s="1" t="s">
        <v>770</v>
      </c>
      <c r="D51" s="3" t="s">
        <v>771</v>
      </c>
      <c r="E51" s="1" t="s">
        <v>70</v>
      </c>
      <c r="F51" s="10" t="s">
        <v>762</v>
      </c>
      <c r="G51" s="2">
        <v>29</v>
      </c>
      <c r="H51" s="8">
        <v>52</v>
      </c>
      <c r="I51" s="8">
        <v>73</v>
      </c>
      <c r="J51" s="8">
        <v>44</v>
      </c>
      <c r="K51" s="8">
        <v>40</v>
      </c>
      <c r="L51" s="8">
        <v>20</v>
      </c>
      <c r="M51" s="8">
        <v>12</v>
      </c>
      <c r="N51" s="8">
        <v>36</v>
      </c>
      <c r="O51" s="1">
        <f t="shared" si="3"/>
        <v>277</v>
      </c>
      <c r="P51" s="14">
        <f t="shared" si="4"/>
        <v>34.625</v>
      </c>
      <c r="Q51" s="20">
        <f t="shared" si="5"/>
        <v>45</v>
      </c>
    </row>
    <row r="52" spans="1:17" ht="18" customHeight="1">
      <c r="A52" s="19">
        <v>46</v>
      </c>
      <c r="B52" s="2" t="s">
        <v>835</v>
      </c>
      <c r="C52" s="1">
        <v>311260262</v>
      </c>
      <c r="D52" s="3" t="s">
        <v>836</v>
      </c>
      <c r="E52" s="1" t="s">
        <v>64</v>
      </c>
      <c r="F52" s="10" t="s">
        <v>762</v>
      </c>
      <c r="G52" s="2">
        <v>30</v>
      </c>
      <c r="H52" s="8">
        <v>64</v>
      </c>
      <c r="I52" s="8">
        <v>20</v>
      </c>
      <c r="J52" s="8">
        <v>48</v>
      </c>
      <c r="K52" s="8">
        <v>10</v>
      </c>
      <c r="L52" s="8">
        <v>60</v>
      </c>
      <c r="M52" s="8">
        <v>24</v>
      </c>
      <c r="N52" s="8">
        <v>44</v>
      </c>
      <c r="O52" s="1">
        <f t="shared" si="3"/>
        <v>270</v>
      </c>
      <c r="P52" s="14">
        <f t="shared" si="4"/>
        <v>33.75</v>
      </c>
      <c r="Q52" s="20">
        <f t="shared" si="5"/>
        <v>46</v>
      </c>
    </row>
    <row r="53" spans="1:17" ht="18" customHeight="1">
      <c r="A53" s="19">
        <v>47</v>
      </c>
      <c r="B53" s="2" t="s">
        <v>759</v>
      </c>
      <c r="C53" s="1" t="s">
        <v>760</v>
      </c>
      <c r="D53" s="3" t="s">
        <v>761</v>
      </c>
      <c r="E53" s="1" t="s">
        <v>69</v>
      </c>
      <c r="F53" s="10" t="s">
        <v>762</v>
      </c>
      <c r="G53" s="2">
        <v>29</v>
      </c>
      <c r="H53" s="8">
        <v>24</v>
      </c>
      <c r="I53" s="8">
        <v>85</v>
      </c>
      <c r="J53" s="8">
        <v>52</v>
      </c>
      <c r="K53" s="8">
        <v>5</v>
      </c>
      <c r="L53" s="8">
        <v>28</v>
      </c>
      <c r="M53" s="8">
        <v>12</v>
      </c>
      <c r="N53" s="8">
        <v>42</v>
      </c>
      <c r="O53" s="1">
        <f t="shared" si="3"/>
        <v>248</v>
      </c>
      <c r="P53" s="14">
        <f t="shared" si="4"/>
        <v>31</v>
      </c>
      <c r="Q53" s="20">
        <f t="shared" si="5"/>
        <v>47</v>
      </c>
    </row>
    <row r="54" spans="1:17" ht="18" customHeight="1">
      <c r="A54" s="19">
        <v>48</v>
      </c>
      <c r="B54" s="2" t="s">
        <v>803</v>
      </c>
      <c r="C54" s="1" t="s">
        <v>804</v>
      </c>
      <c r="D54" s="3" t="s">
        <v>805</v>
      </c>
      <c r="E54" s="1" t="s">
        <v>63</v>
      </c>
      <c r="F54" s="10" t="s">
        <v>762</v>
      </c>
      <c r="G54" s="2">
        <v>29</v>
      </c>
      <c r="H54" s="8">
        <v>28</v>
      </c>
      <c r="I54" s="8">
        <v>62</v>
      </c>
      <c r="J54" s="8">
        <v>34</v>
      </c>
      <c r="K54" s="8">
        <v>15</v>
      </c>
      <c r="L54" s="8">
        <v>16</v>
      </c>
      <c r="M54" s="8">
        <v>32</v>
      </c>
      <c r="N54" s="8">
        <v>12</v>
      </c>
      <c r="O54" s="1">
        <f t="shared" si="3"/>
        <v>199</v>
      </c>
      <c r="P54" s="14">
        <f t="shared" si="4"/>
        <v>24.875</v>
      </c>
      <c r="Q54" s="20">
        <f t="shared" si="5"/>
        <v>48</v>
      </c>
    </row>
    <row r="55" spans="1:17" ht="18" customHeight="1">
      <c r="A55" s="19">
        <v>49</v>
      </c>
      <c r="B55" s="2" t="s">
        <v>806</v>
      </c>
      <c r="C55" s="1" t="s">
        <v>807</v>
      </c>
      <c r="D55" s="3" t="s">
        <v>808</v>
      </c>
      <c r="E55" s="1" t="s">
        <v>64</v>
      </c>
      <c r="F55" s="10" t="s">
        <v>762</v>
      </c>
      <c r="G55" s="2">
        <v>29</v>
      </c>
      <c r="H55" s="8">
        <v>44</v>
      </c>
      <c r="I55" s="8">
        <v>66</v>
      </c>
      <c r="J55" s="8">
        <v>28</v>
      </c>
      <c r="K55" s="8">
        <v>5</v>
      </c>
      <c r="L55" s="8">
        <v>4</v>
      </c>
      <c r="M55" s="8">
        <v>16</v>
      </c>
      <c r="N55" s="8">
        <v>24</v>
      </c>
      <c r="O55" s="1">
        <f t="shared" si="3"/>
        <v>187</v>
      </c>
      <c r="P55" s="14">
        <f t="shared" si="4"/>
        <v>23.375</v>
      </c>
      <c r="Q55" s="20">
        <f t="shared" si="5"/>
        <v>49</v>
      </c>
    </row>
    <row r="56" spans="1:17" ht="18" customHeight="1">
      <c r="A56" s="19">
        <v>50</v>
      </c>
      <c r="B56" s="2" t="s">
        <v>831</v>
      </c>
      <c r="C56" s="1">
        <v>311260260</v>
      </c>
      <c r="D56" s="3" t="s">
        <v>832</v>
      </c>
      <c r="E56" s="1" t="s">
        <v>62</v>
      </c>
      <c r="F56" s="10" t="s">
        <v>762</v>
      </c>
      <c r="G56" s="2">
        <v>30</v>
      </c>
      <c r="H56" s="8"/>
      <c r="I56" s="8"/>
      <c r="J56" s="8"/>
      <c r="K56" s="8"/>
      <c r="L56" s="8"/>
      <c r="M56" s="8"/>
      <c r="N56" s="8"/>
      <c r="O56" s="1">
        <f t="shared" si="3"/>
        <v>0</v>
      </c>
      <c r="P56" s="14">
        <f t="shared" si="4"/>
        <v>0</v>
      </c>
      <c r="Q56" s="20">
        <f t="shared" si="5"/>
        <v>50</v>
      </c>
    </row>
    <row r="57" spans="1:17" ht="18" customHeight="1">
      <c r="A57" s="19">
        <v>51</v>
      </c>
      <c r="B57" s="2" t="s">
        <v>856</v>
      </c>
      <c r="C57" s="1">
        <v>311260375</v>
      </c>
      <c r="D57" s="3" t="s">
        <v>857</v>
      </c>
      <c r="E57" s="1" t="s">
        <v>73</v>
      </c>
      <c r="F57" s="10" t="s">
        <v>762</v>
      </c>
      <c r="G57" s="2">
        <v>30</v>
      </c>
      <c r="H57" s="8"/>
      <c r="I57" s="8"/>
      <c r="J57" s="8"/>
      <c r="K57" s="8"/>
      <c r="L57" s="8"/>
      <c r="M57" s="8"/>
      <c r="N57" s="8"/>
      <c r="O57" s="1">
        <f t="shared" si="3"/>
        <v>0</v>
      </c>
      <c r="P57" s="14">
        <f t="shared" si="4"/>
        <v>0</v>
      </c>
      <c r="Q57" s="20">
        <f t="shared" si="5"/>
        <v>50</v>
      </c>
    </row>
    <row r="58" spans="1:17" ht="18" customHeight="1">
      <c r="A58" s="19">
        <v>52</v>
      </c>
      <c r="B58" s="2" t="s">
        <v>851</v>
      </c>
      <c r="C58" s="1">
        <v>311260372</v>
      </c>
      <c r="D58" s="3" t="s">
        <v>579</v>
      </c>
      <c r="E58" s="1" t="s">
        <v>73</v>
      </c>
      <c r="F58" s="10" t="s">
        <v>762</v>
      </c>
      <c r="G58" s="2">
        <v>30</v>
      </c>
      <c r="H58" s="8"/>
      <c r="I58" s="8"/>
      <c r="J58" s="8"/>
      <c r="K58" s="8"/>
      <c r="L58" s="8"/>
      <c r="M58" s="8"/>
      <c r="N58" s="8"/>
      <c r="O58" s="1">
        <f t="shared" si="3"/>
        <v>0</v>
      </c>
      <c r="P58" s="14">
        <f t="shared" si="4"/>
        <v>0</v>
      </c>
      <c r="Q58" s="20">
        <f t="shared" si="5"/>
        <v>50</v>
      </c>
    </row>
    <row r="59" spans="1:17" ht="18" customHeight="1">
      <c r="A59" s="19">
        <v>53</v>
      </c>
      <c r="B59" s="2" t="s">
        <v>854</v>
      </c>
      <c r="C59" s="1">
        <v>311260374</v>
      </c>
      <c r="D59" s="3" t="s">
        <v>855</v>
      </c>
      <c r="E59" s="1" t="s">
        <v>73</v>
      </c>
      <c r="F59" s="10" t="s">
        <v>762</v>
      </c>
      <c r="G59" s="2">
        <v>30</v>
      </c>
      <c r="H59" s="8"/>
      <c r="I59" s="8"/>
      <c r="J59" s="8"/>
      <c r="K59" s="8"/>
      <c r="L59" s="8"/>
      <c r="M59" s="8"/>
      <c r="N59" s="8"/>
      <c r="O59" s="1">
        <f t="shared" si="3"/>
        <v>0</v>
      </c>
      <c r="P59" s="14">
        <f t="shared" si="4"/>
        <v>0</v>
      </c>
      <c r="Q59" s="20">
        <f t="shared" si="5"/>
        <v>50</v>
      </c>
    </row>
    <row r="60" spans="1:17" ht="18" customHeight="1">
      <c r="A60" s="19">
        <v>54</v>
      </c>
      <c r="B60" s="28" t="s">
        <v>815</v>
      </c>
      <c r="C60" s="29" t="s">
        <v>816</v>
      </c>
      <c r="D60" s="30" t="s">
        <v>817</v>
      </c>
      <c r="E60" s="29" t="s">
        <v>66</v>
      </c>
      <c r="F60" s="31" t="s">
        <v>762</v>
      </c>
      <c r="G60" s="28">
        <v>30</v>
      </c>
      <c r="H60" s="40"/>
      <c r="I60" s="40"/>
      <c r="J60" s="40"/>
      <c r="K60" s="40"/>
      <c r="L60" s="40"/>
      <c r="M60" s="40"/>
      <c r="N60" s="40"/>
      <c r="O60" s="29">
        <f t="shared" si="3"/>
        <v>0</v>
      </c>
      <c r="P60" s="41">
        <f t="shared" si="4"/>
        <v>0</v>
      </c>
      <c r="Q60" s="33">
        <f t="shared" si="5"/>
        <v>50</v>
      </c>
    </row>
  </sheetData>
  <mergeCells count="4">
    <mergeCell ref="A1:P1"/>
    <mergeCell ref="A2:P2"/>
    <mergeCell ref="A3:P3"/>
    <mergeCell ref="A5:B5"/>
  </mergeCells>
  <conditionalFormatting sqref="H7:N7">
    <cfRule type="expression" dxfId="8513" priority="215">
      <formula>5</formula>
    </cfRule>
    <cfRule type="cellIs" dxfId="8512" priority="216" operator="lessThan">
      <formula>5</formula>
    </cfRule>
  </conditionalFormatting>
  <conditionalFormatting sqref="H7:N7">
    <cfRule type="cellIs" dxfId="8511" priority="214" operator="lessThan">
      <formula>50</formula>
    </cfRule>
  </conditionalFormatting>
  <conditionalFormatting sqref="P7">
    <cfRule type="cellIs" dxfId="8510" priority="213" operator="lessThan">
      <formula>50</formula>
    </cfRule>
  </conditionalFormatting>
  <conditionalFormatting sqref="H8:N8">
    <cfRule type="expression" dxfId="8509" priority="211">
      <formula>5</formula>
    </cfRule>
    <cfRule type="cellIs" dxfId="8508" priority="212" operator="lessThan">
      <formula>5</formula>
    </cfRule>
  </conditionalFormatting>
  <conditionalFormatting sqref="H8:N8">
    <cfRule type="cellIs" dxfId="8507" priority="210" operator="lessThan">
      <formula>50</formula>
    </cfRule>
  </conditionalFormatting>
  <conditionalFormatting sqref="P8">
    <cfRule type="cellIs" dxfId="8506" priority="209" operator="lessThan">
      <formula>50</formula>
    </cfRule>
  </conditionalFormatting>
  <conditionalFormatting sqref="H9:N9">
    <cfRule type="expression" dxfId="8505" priority="207">
      <formula>5</formula>
    </cfRule>
    <cfRule type="cellIs" dxfId="8504" priority="208" operator="lessThan">
      <formula>5</formula>
    </cfRule>
  </conditionalFormatting>
  <conditionalFormatting sqref="H9:N9">
    <cfRule type="cellIs" dxfId="8503" priority="206" operator="lessThan">
      <formula>50</formula>
    </cfRule>
  </conditionalFormatting>
  <conditionalFormatting sqref="P9">
    <cfRule type="cellIs" dxfId="8502" priority="205" operator="lessThan">
      <formula>50</formula>
    </cfRule>
  </conditionalFormatting>
  <conditionalFormatting sqref="H10:N10">
    <cfRule type="expression" dxfId="8501" priority="203">
      <formula>5</formula>
    </cfRule>
    <cfRule type="cellIs" dxfId="8500" priority="204" operator="lessThan">
      <formula>5</formula>
    </cfRule>
  </conditionalFormatting>
  <conditionalFormatting sqref="H10:N10">
    <cfRule type="cellIs" dxfId="8499" priority="202" operator="lessThan">
      <formula>50</formula>
    </cfRule>
  </conditionalFormatting>
  <conditionalFormatting sqref="P10">
    <cfRule type="cellIs" dxfId="8498" priority="201" operator="lessThan">
      <formula>50</formula>
    </cfRule>
  </conditionalFormatting>
  <conditionalFormatting sqref="H11:N11">
    <cfRule type="expression" dxfId="8497" priority="199">
      <formula>5</formula>
    </cfRule>
    <cfRule type="cellIs" dxfId="8496" priority="200" operator="lessThan">
      <formula>5</formula>
    </cfRule>
  </conditionalFormatting>
  <conditionalFormatting sqref="H11:N11">
    <cfRule type="cellIs" dxfId="8495" priority="198" operator="lessThan">
      <formula>50</formula>
    </cfRule>
  </conditionalFormatting>
  <conditionalFormatting sqref="P11">
    <cfRule type="cellIs" dxfId="8494" priority="197" operator="lessThan">
      <formula>50</formula>
    </cfRule>
  </conditionalFormatting>
  <conditionalFormatting sqref="H12:N12">
    <cfRule type="expression" dxfId="8493" priority="195">
      <formula>5</formula>
    </cfRule>
    <cfRule type="cellIs" dxfId="8492" priority="196" operator="lessThan">
      <formula>5</formula>
    </cfRule>
  </conditionalFormatting>
  <conditionalFormatting sqref="H12:N12">
    <cfRule type="cellIs" dxfId="8491" priority="194" operator="lessThan">
      <formula>50</formula>
    </cfRule>
  </conditionalFormatting>
  <conditionalFormatting sqref="P12">
    <cfRule type="cellIs" dxfId="8490" priority="193" operator="lessThan">
      <formula>50</formula>
    </cfRule>
  </conditionalFormatting>
  <conditionalFormatting sqref="H13:N13">
    <cfRule type="expression" dxfId="8489" priority="191">
      <formula>5</formula>
    </cfRule>
    <cfRule type="cellIs" dxfId="8488" priority="192" operator="lessThan">
      <formula>5</formula>
    </cfRule>
  </conditionalFormatting>
  <conditionalFormatting sqref="H13:N13">
    <cfRule type="cellIs" dxfId="8487" priority="190" operator="lessThan">
      <formula>50</formula>
    </cfRule>
  </conditionalFormatting>
  <conditionalFormatting sqref="P13">
    <cfRule type="cellIs" dxfId="8486" priority="189" operator="lessThan">
      <formula>50</formula>
    </cfRule>
  </conditionalFormatting>
  <conditionalFormatting sqref="H14:N14">
    <cfRule type="expression" dxfId="8485" priority="187">
      <formula>5</formula>
    </cfRule>
    <cfRule type="cellIs" dxfId="8484" priority="188" operator="lessThan">
      <formula>5</formula>
    </cfRule>
  </conditionalFormatting>
  <conditionalFormatting sqref="H14:N14">
    <cfRule type="cellIs" dxfId="8483" priority="186" operator="lessThan">
      <formula>50</formula>
    </cfRule>
  </conditionalFormatting>
  <conditionalFormatting sqref="P14">
    <cfRule type="cellIs" dxfId="8482" priority="185" operator="lessThan">
      <formula>50</formula>
    </cfRule>
  </conditionalFormatting>
  <conditionalFormatting sqref="H15:N15">
    <cfRule type="expression" dxfId="8481" priority="183">
      <formula>5</formula>
    </cfRule>
    <cfRule type="cellIs" dxfId="8480" priority="184" operator="lessThan">
      <formula>5</formula>
    </cfRule>
  </conditionalFormatting>
  <conditionalFormatting sqref="H15:N15">
    <cfRule type="cellIs" dxfId="8479" priority="182" operator="lessThan">
      <formula>50</formula>
    </cfRule>
  </conditionalFormatting>
  <conditionalFormatting sqref="P15">
    <cfRule type="cellIs" dxfId="8478" priority="181" operator="lessThan">
      <formula>50</formula>
    </cfRule>
  </conditionalFormatting>
  <conditionalFormatting sqref="H16:N16">
    <cfRule type="expression" dxfId="8477" priority="179">
      <formula>5</formula>
    </cfRule>
    <cfRule type="cellIs" dxfId="8476" priority="180" operator="lessThan">
      <formula>5</formula>
    </cfRule>
  </conditionalFormatting>
  <conditionalFormatting sqref="H16:N16">
    <cfRule type="cellIs" dxfId="8475" priority="178" operator="lessThan">
      <formula>50</formula>
    </cfRule>
  </conditionalFormatting>
  <conditionalFormatting sqref="P16">
    <cfRule type="cellIs" dxfId="8474" priority="177" operator="lessThan">
      <formula>50</formula>
    </cfRule>
  </conditionalFormatting>
  <conditionalFormatting sqref="H17:N17">
    <cfRule type="expression" dxfId="8473" priority="175">
      <formula>5</formula>
    </cfRule>
    <cfRule type="cellIs" dxfId="8472" priority="176" operator="lessThan">
      <formula>5</formula>
    </cfRule>
  </conditionalFormatting>
  <conditionalFormatting sqref="H17:N17">
    <cfRule type="cellIs" dxfId="8471" priority="174" operator="lessThan">
      <formula>50</formula>
    </cfRule>
  </conditionalFormatting>
  <conditionalFormatting sqref="P17">
    <cfRule type="cellIs" dxfId="8470" priority="173" operator="lessThan">
      <formula>50</formula>
    </cfRule>
  </conditionalFormatting>
  <conditionalFormatting sqref="H18:N18">
    <cfRule type="expression" dxfId="8469" priority="171">
      <formula>5</formula>
    </cfRule>
    <cfRule type="cellIs" dxfId="8468" priority="172" operator="lessThan">
      <formula>5</formula>
    </cfRule>
  </conditionalFormatting>
  <conditionalFormatting sqref="H18:N18">
    <cfRule type="cellIs" dxfId="8467" priority="170" operator="lessThan">
      <formula>50</formula>
    </cfRule>
  </conditionalFormatting>
  <conditionalFormatting sqref="P18">
    <cfRule type="cellIs" dxfId="8466" priority="169" operator="lessThan">
      <formula>50</formula>
    </cfRule>
  </conditionalFormatting>
  <conditionalFormatting sqref="H19:N19">
    <cfRule type="expression" dxfId="8465" priority="167">
      <formula>5</formula>
    </cfRule>
    <cfRule type="cellIs" dxfId="8464" priority="168" operator="lessThan">
      <formula>5</formula>
    </cfRule>
  </conditionalFormatting>
  <conditionalFormatting sqref="H19:N19">
    <cfRule type="cellIs" dxfId="8463" priority="166" operator="lessThan">
      <formula>50</formula>
    </cfRule>
  </conditionalFormatting>
  <conditionalFormatting sqref="P19">
    <cfRule type="cellIs" dxfId="8462" priority="165" operator="lessThan">
      <formula>50</formula>
    </cfRule>
  </conditionalFormatting>
  <conditionalFormatting sqref="H20:N20">
    <cfRule type="expression" dxfId="8461" priority="163">
      <formula>5</formula>
    </cfRule>
    <cfRule type="cellIs" dxfId="8460" priority="164" operator="lessThan">
      <formula>5</formula>
    </cfRule>
  </conditionalFormatting>
  <conditionalFormatting sqref="H20:N20">
    <cfRule type="cellIs" dxfId="8459" priority="162" operator="lessThan">
      <formula>50</formula>
    </cfRule>
  </conditionalFormatting>
  <conditionalFormatting sqref="P20">
    <cfRule type="cellIs" dxfId="8458" priority="161" operator="lessThan">
      <formula>50</formula>
    </cfRule>
  </conditionalFormatting>
  <conditionalFormatting sqref="H21:N21">
    <cfRule type="expression" dxfId="8457" priority="159">
      <formula>5</formula>
    </cfRule>
    <cfRule type="cellIs" dxfId="8456" priority="160" operator="lessThan">
      <formula>5</formula>
    </cfRule>
  </conditionalFormatting>
  <conditionalFormatting sqref="H21:N21">
    <cfRule type="cellIs" dxfId="8455" priority="158" operator="lessThan">
      <formula>50</formula>
    </cfRule>
  </conditionalFormatting>
  <conditionalFormatting sqref="P21">
    <cfRule type="cellIs" dxfId="8454" priority="157" operator="lessThan">
      <formula>50</formula>
    </cfRule>
  </conditionalFormatting>
  <conditionalFormatting sqref="H22:N22">
    <cfRule type="expression" dxfId="8453" priority="155">
      <formula>5</formula>
    </cfRule>
    <cfRule type="cellIs" dxfId="8452" priority="156" operator="lessThan">
      <formula>5</formula>
    </cfRule>
  </conditionalFormatting>
  <conditionalFormatting sqref="H22:N22">
    <cfRule type="cellIs" dxfId="8451" priority="154" operator="lessThan">
      <formula>50</formula>
    </cfRule>
  </conditionalFormatting>
  <conditionalFormatting sqref="P22">
    <cfRule type="cellIs" dxfId="8450" priority="153" operator="lessThan">
      <formula>50</formula>
    </cfRule>
  </conditionalFormatting>
  <conditionalFormatting sqref="H23:N23">
    <cfRule type="expression" dxfId="8449" priority="151">
      <formula>5</formula>
    </cfRule>
    <cfRule type="cellIs" dxfId="8448" priority="152" operator="lessThan">
      <formula>5</formula>
    </cfRule>
  </conditionalFormatting>
  <conditionalFormatting sqref="H23:N23">
    <cfRule type="cellIs" dxfId="8447" priority="150" operator="lessThan">
      <formula>50</formula>
    </cfRule>
  </conditionalFormatting>
  <conditionalFormatting sqref="P23">
    <cfRule type="cellIs" dxfId="8446" priority="149" operator="lessThan">
      <formula>50</formula>
    </cfRule>
  </conditionalFormatting>
  <conditionalFormatting sqref="H24:N24">
    <cfRule type="expression" dxfId="8445" priority="147">
      <formula>5</formula>
    </cfRule>
    <cfRule type="cellIs" dxfId="8444" priority="148" operator="lessThan">
      <formula>5</formula>
    </cfRule>
  </conditionalFormatting>
  <conditionalFormatting sqref="H24:N24">
    <cfRule type="cellIs" dxfId="8443" priority="146" operator="lessThan">
      <formula>50</formula>
    </cfRule>
  </conditionalFormatting>
  <conditionalFormatting sqref="P24">
    <cfRule type="cellIs" dxfId="8442" priority="145" operator="lessThan">
      <formula>50</formula>
    </cfRule>
  </conditionalFormatting>
  <conditionalFormatting sqref="H25:N25">
    <cfRule type="expression" dxfId="8441" priority="143">
      <formula>5</formula>
    </cfRule>
    <cfRule type="cellIs" dxfId="8440" priority="144" operator="lessThan">
      <formula>5</formula>
    </cfRule>
  </conditionalFormatting>
  <conditionalFormatting sqref="H25:N25">
    <cfRule type="cellIs" dxfId="8439" priority="142" operator="lessThan">
      <formula>50</formula>
    </cfRule>
  </conditionalFormatting>
  <conditionalFormatting sqref="P25">
    <cfRule type="cellIs" dxfId="8438" priority="141" operator="lessThan">
      <formula>50</formula>
    </cfRule>
  </conditionalFormatting>
  <conditionalFormatting sqref="H26:N26">
    <cfRule type="expression" dxfId="8437" priority="139">
      <formula>5</formula>
    </cfRule>
    <cfRule type="cellIs" dxfId="8436" priority="140" operator="lessThan">
      <formula>5</formula>
    </cfRule>
  </conditionalFormatting>
  <conditionalFormatting sqref="H26:N26">
    <cfRule type="cellIs" dxfId="8435" priority="138" operator="lessThan">
      <formula>50</formula>
    </cfRule>
  </conditionalFormatting>
  <conditionalFormatting sqref="P26">
    <cfRule type="cellIs" dxfId="8434" priority="137" operator="lessThan">
      <formula>50</formula>
    </cfRule>
  </conditionalFormatting>
  <conditionalFormatting sqref="H27:N27">
    <cfRule type="expression" dxfId="8433" priority="135">
      <formula>5</formula>
    </cfRule>
    <cfRule type="cellIs" dxfId="8432" priority="136" operator="lessThan">
      <formula>5</formula>
    </cfRule>
  </conditionalFormatting>
  <conditionalFormatting sqref="H27:N27">
    <cfRule type="cellIs" dxfId="8431" priority="134" operator="lessThan">
      <formula>50</formula>
    </cfRule>
  </conditionalFormatting>
  <conditionalFormatting sqref="P27">
    <cfRule type="cellIs" dxfId="8430" priority="133" operator="lessThan">
      <formula>50</formula>
    </cfRule>
  </conditionalFormatting>
  <conditionalFormatting sqref="H28:N28">
    <cfRule type="expression" dxfId="8429" priority="131">
      <formula>5</formula>
    </cfRule>
    <cfRule type="cellIs" dxfId="8428" priority="132" operator="lessThan">
      <formula>5</formula>
    </cfRule>
  </conditionalFormatting>
  <conditionalFormatting sqref="H28:N28">
    <cfRule type="cellIs" dxfId="8427" priority="130" operator="lessThan">
      <formula>50</formula>
    </cfRule>
  </conditionalFormatting>
  <conditionalFormatting sqref="P28">
    <cfRule type="cellIs" dxfId="8426" priority="129" operator="lessThan">
      <formula>50</formula>
    </cfRule>
  </conditionalFormatting>
  <conditionalFormatting sqref="H29:N29">
    <cfRule type="expression" dxfId="8425" priority="127">
      <formula>5</formula>
    </cfRule>
    <cfRule type="cellIs" dxfId="8424" priority="128" operator="lessThan">
      <formula>5</formula>
    </cfRule>
  </conditionalFormatting>
  <conditionalFormatting sqref="H29:N29">
    <cfRule type="cellIs" dxfId="8423" priority="126" operator="lessThan">
      <formula>50</formula>
    </cfRule>
  </conditionalFormatting>
  <conditionalFormatting sqref="P29">
    <cfRule type="cellIs" dxfId="8422" priority="125" operator="lessThan">
      <formula>50</formula>
    </cfRule>
  </conditionalFormatting>
  <conditionalFormatting sqref="H30:N30">
    <cfRule type="expression" dxfId="8421" priority="123">
      <formula>5</formula>
    </cfRule>
    <cfRule type="cellIs" dxfId="8420" priority="124" operator="lessThan">
      <formula>5</formula>
    </cfRule>
  </conditionalFormatting>
  <conditionalFormatting sqref="H30:N30">
    <cfRule type="cellIs" dxfId="8419" priority="122" operator="lessThan">
      <formula>50</formula>
    </cfRule>
  </conditionalFormatting>
  <conditionalFormatting sqref="P30">
    <cfRule type="cellIs" dxfId="8418" priority="121" operator="lessThan">
      <formula>50</formula>
    </cfRule>
  </conditionalFormatting>
  <conditionalFormatting sqref="H31:N31">
    <cfRule type="expression" dxfId="8417" priority="119">
      <formula>5</formula>
    </cfRule>
    <cfRule type="cellIs" dxfId="8416" priority="120" operator="lessThan">
      <formula>5</formula>
    </cfRule>
  </conditionalFormatting>
  <conditionalFormatting sqref="H31:N31">
    <cfRule type="cellIs" dxfId="8415" priority="118" operator="lessThan">
      <formula>50</formula>
    </cfRule>
  </conditionalFormatting>
  <conditionalFormatting sqref="P31">
    <cfRule type="cellIs" dxfId="8414" priority="117" operator="lessThan">
      <formula>50</formula>
    </cfRule>
  </conditionalFormatting>
  <conditionalFormatting sqref="H32:N32">
    <cfRule type="expression" dxfId="8413" priority="115">
      <formula>5</formula>
    </cfRule>
    <cfRule type="cellIs" dxfId="8412" priority="116" operator="lessThan">
      <formula>5</formula>
    </cfRule>
  </conditionalFormatting>
  <conditionalFormatting sqref="H32:N32">
    <cfRule type="cellIs" dxfId="8411" priority="114" operator="lessThan">
      <formula>50</formula>
    </cfRule>
  </conditionalFormatting>
  <conditionalFormatting sqref="P32">
    <cfRule type="cellIs" dxfId="8410" priority="113" operator="lessThan">
      <formula>50</formula>
    </cfRule>
  </conditionalFormatting>
  <conditionalFormatting sqref="H33:N33">
    <cfRule type="expression" dxfId="8409" priority="111">
      <formula>5</formula>
    </cfRule>
    <cfRule type="cellIs" dxfId="8408" priority="112" operator="lessThan">
      <formula>5</formula>
    </cfRule>
  </conditionalFormatting>
  <conditionalFormatting sqref="H33:N33">
    <cfRule type="cellIs" dxfId="8407" priority="110" operator="lessThan">
      <formula>50</formula>
    </cfRule>
  </conditionalFormatting>
  <conditionalFormatting sqref="P33">
    <cfRule type="cellIs" dxfId="8406" priority="109" operator="lessThan">
      <formula>50</formula>
    </cfRule>
  </conditionalFormatting>
  <conditionalFormatting sqref="H34:N34">
    <cfRule type="expression" dxfId="8405" priority="107">
      <formula>5</formula>
    </cfRule>
    <cfRule type="cellIs" dxfId="8404" priority="108" operator="lessThan">
      <formula>5</formula>
    </cfRule>
  </conditionalFormatting>
  <conditionalFormatting sqref="H34:N34">
    <cfRule type="cellIs" dxfId="8403" priority="106" operator="lessThan">
      <formula>50</formula>
    </cfRule>
  </conditionalFormatting>
  <conditionalFormatting sqref="P34">
    <cfRule type="cellIs" dxfId="8402" priority="105" operator="lessThan">
      <formula>50</formula>
    </cfRule>
  </conditionalFormatting>
  <conditionalFormatting sqref="H35:N35">
    <cfRule type="expression" dxfId="8401" priority="103">
      <formula>5</formula>
    </cfRule>
    <cfRule type="cellIs" dxfId="8400" priority="104" operator="lessThan">
      <formula>5</formula>
    </cfRule>
  </conditionalFormatting>
  <conditionalFormatting sqref="H35:N35">
    <cfRule type="cellIs" dxfId="8399" priority="102" operator="lessThan">
      <formula>50</formula>
    </cfRule>
  </conditionalFormatting>
  <conditionalFormatting sqref="P35">
    <cfRule type="cellIs" dxfId="8398" priority="101" operator="lessThan">
      <formula>50</formula>
    </cfRule>
  </conditionalFormatting>
  <conditionalFormatting sqref="H36:N36">
    <cfRule type="expression" dxfId="8397" priority="99">
      <formula>5</formula>
    </cfRule>
    <cfRule type="cellIs" dxfId="8396" priority="100" operator="lessThan">
      <formula>5</formula>
    </cfRule>
  </conditionalFormatting>
  <conditionalFormatting sqref="H36:N36">
    <cfRule type="cellIs" dxfId="8395" priority="98" operator="lessThan">
      <formula>50</formula>
    </cfRule>
  </conditionalFormatting>
  <conditionalFormatting sqref="P36">
    <cfRule type="cellIs" dxfId="8394" priority="97" operator="lessThan">
      <formula>50</formula>
    </cfRule>
  </conditionalFormatting>
  <conditionalFormatting sqref="H37:N37">
    <cfRule type="expression" dxfId="8393" priority="95">
      <formula>5</formula>
    </cfRule>
    <cfRule type="cellIs" dxfId="8392" priority="96" operator="lessThan">
      <formula>5</formula>
    </cfRule>
  </conditionalFormatting>
  <conditionalFormatting sqref="H37:N37">
    <cfRule type="cellIs" dxfId="8391" priority="94" operator="lessThan">
      <formula>50</formula>
    </cfRule>
  </conditionalFormatting>
  <conditionalFormatting sqref="P37">
    <cfRule type="cellIs" dxfId="8390" priority="93" operator="lessThan">
      <formula>50</formula>
    </cfRule>
  </conditionalFormatting>
  <conditionalFormatting sqref="H38:N38">
    <cfRule type="expression" dxfId="8389" priority="91">
      <formula>5</formula>
    </cfRule>
    <cfRule type="cellIs" dxfId="8388" priority="92" operator="lessThan">
      <formula>5</formula>
    </cfRule>
  </conditionalFormatting>
  <conditionalFormatting sqref="H38:N38">
    <cfRule type="cellIs" dxfId="8387" priority="90" operator="lessThan">
      <formula>50</formula>
    </cfRule>
  </conditionalFormatting>
  <conditionalFormatting sqref="P38">
    <cfRule type="cellIs" dxfId="8386" priority="89" operator="lessThan">
      <formula>50</formula>
    </cfRule>
  </conditionalFormatting>
  <conditionalFormatting sqref="H39:N39">
    <cfRule type="expression" dxfId="8385" priority="87">
      <formula>5</formula>
    </cfRule>
    <cfRule type="cellIs" dxfId="8384" priority="88" operator="lessThan">
      <formula>5</formula>
    </cfRule>
  </conditionalFormatting>
  <conditionalFormatting sqref="H39:N39">
    <cfRule type="cellIs" dxfId="8383" priority="86" operator="lessThan">
      <formula>50</formula>
    </cfRule>
  </conditionalFormatting>
  <conditionalFormatting sqref="P39">
    <cfRule type="cellIs" dxfId="8382" priority="85" operator="lessThan">
      <formula>50</formula>
    </cfRule>
  </conditionalFormatting>
  <conditionalFormatting sqref="H40:N40">
    <cfRule type="expression" dxfId="8381" priority="83">
      <formula>5</formula>
    </cfRule>
    <cfRule type="cellIs" dxfId="8380" priority="84" operator="lessThan">
      <formula>5</formula>
    </cfRule>
  </conditionalFormatting>
  <conditionalFormatting sqref="H40:N40">
    <cfRule type="cellIs" dxfId="8379" priority="82" operator="lessThan">
      <formula>50</formula>
    </cfRule>
  </conditionalFormatting>
  <conditionalFormatting sqref="P40">
    <cfRule type="cellIs" dxfId="8378" priority="81" operator="lessThan">
      <formula>50</formula>
    </cfRule>
  </conditionalFormatting>
  <conditionalFormatting sqref="H41:N41">
    <cfRule type="expression" dxfId="8377" priority="79">
      <formula>5</formula>
    </cfRule>
    <cfRule type="cellIs" dxfId="8376" priority="80" operator="lessThan">
      <formula>5</formula>
    </cfRule>
  </conditionalFormatting>
  <conditionalFormatting sqref="H41:N41">
    <cfRule type="cellIs" dxfId="8375" priority="78" operator="lessThan">
      <formula>50</formula>
    </cfRule>
  </conditionalFormatting>
  <conditionalFormatting sqref="P41">
    <cfRule type="cellIs" dxfId="8374" priority="77" operator="lessThan">
      <formula>50</formula>
    </cfRule>
  </conditionalFormatting>
  <conditionalFormatting sqref="H42:N42">
    <cfRule type="expression" dxfId="8373" priority="75">
      <formula>5</formula>
    </cfRule>
    <cfRule type="cellIs" dxfId="8372" priority="76" operator="lessThan">
      <formula>5</formula>
    </cfRule>
  </conditionalFormatting>
  <conditionalFormatting sqref="H42:N42">
    <cfRule type="cellIs" dxfId="8371" priority="74" operator="lessThan">
      <formula>50</formula>
    </cfRule>
  </conditionalFormatting>
  <conditionalFormatting sqref="P42">
    <cfRule type="cellIs" dxfId="8370" priority="73" operator="lessThan">
      <formula>50</formula>
    </cfRule>
  </conditionalFormatting>
  <conditionalFormatting sqref="H43:N43">
    <cfRule type="expression" dxfId="8369" priority="71">
      <formula>5</formula>
    </cfRule>
    <cfRule type="cellIs" dxfId="8368" priority="72" operator="lessThan">
      <formula>5</formula>
    </cfRule>
  </conditionalFormatting>
  <conditionalFormatting sqref="H43:N43">
    <cfRule type="cellIs" dxfId="8367" priority="70" operator="lessThan">
      <formula>50</formula>
    </cfRule>
  </conditionalFormatting>
  <conditionalFormatting sqref="P43">
    <cfRule type="cellIs" dxfId="8366" priority="69" operator="lessThan">
      <formula>50</formula>
    </cfRule>
  </conditionalFormatting>
  <conditionalFormatting sqref="H44:N44">
    <cfRule type="expression" dxfId="8365" priority="67">
      <formula>5</formula>
    </cfRule>
    <cfRule type="cellIs" dxfId="8364" priority="68" operator="lessThan">
      <formula>5</formula>
    </cfRule>
  </conditionalFormatting>
  <conditionalFormatting sqref="H44:N44">
    <cfRule type="cellIs" dxfId="8363" priority="66" operator="lessThan">
      <formula>50</formula>
    </cfRule>
  </conditionalFormatting>
  <conditionalFormatting sqref="P44">
    <cfRule type="cellIs" dxfId="8362" priority="65" operator="lessThan">
      <formula>50</formula>
    </cfRule>
  </conditionalFormatting>
  <conditionalFormatting sqref="H45:N45">
    <cfRule type="expression" dxfId="8361" priority="63">
      <formula>5</formula>
    </cfRule>
    <cfRule type="cellIs" dxfId="8360" priority="64" operator="lessThan">
      <formula>5</formula>
    </cfRule>
  </conditionalFormatting>
  <conditionalFormatting sqref="H45:N45">
    <cfRule type="cellIs" dxfId="8359" priority="62" operator="lessThan">
      <formula>50</formula>
    </cfRule>
  </conditionalFormatting>
  <conditionalFormatting sqref="P45">
    <cfRule type="cellIs" dxfId="8358" priority="61" operator="lessThan">
      <formula>50</formula>
    </cfRule>
  </conditionalFormatting>
  <conditionalFormatting sqref="H46:N46">
    <cfRule type="expression" dxfId="8357" priority="59">
      <formula>5</formula>
    </cfRule>
    <cfRule type="cellIs" dxfId="8356" priority="60" operator="lessThan">
      <formula>5</formula>
    </cfRule>
  </conditionalFormatting>
  <conditionalFormatting sqref="H46:N46">
    <cfRule type="cellIs" dxfId="8355" priority="58" operator="lessThan">
      <formula>50</formula>
    </cfRule>
  </conditionalFormatting>
  <conditionalFormatting sqref="P46">
    <cfRule type="cellIs" dxfId="8354" priority="57" operator="lessThan">
      <formula>50</formula>
    </cfRule>
  </conditionalFormatting>
  <conditionalFormatting sqref="H47:N47">
    <cfRule type="expression" dxfId="8353" priority="55">
      <formula>5</formula>
    </cfRule>
    <cfRule type="cellIs" dxfId="8352" priority="56" operator="lessThan">
      <formula>5</formula>
    </cfRule>
  </conditionalFormatting>
  <conditionalFormatting sqref="H47:N47">
    <cfRule type="cellIs" dxfId="8351" priority="54" operator="lessThan">
      <formula>50</formula>
    </cfRule>
  </conditionalFormatting>
  <conditionalFormatting sqref="P47">
    <cfRule type="cellIs" dxfId="8350" priority="53" operator="lessThan">
      <formula>50</formula>
    </cfRule>
  </conditionalFormatting>
  <conditionalFormatting sqref="H48:N48">
    <cfRule type="expression" dxfId="8349" priority="51">
      <formula>5</formula>
    </cfRule>
    <cfRule type="cellIs" dxfId="8348" priority="52" operator="lessThan">
      <formula>5</formula>
    </cfRule>
  </conditionalFormatting>
  <conditionalFormatting sqref="H48:N48">
    <cfRule type="cellIs" dxfId="8347" priority="50" operator="lessThan">
      <formula>50</formula>
    </cfRule>
  </conditionalFormatting>
  <conditionalFormatting sqref="P48">
    <cfRule type="cellIs" dxfId="8346" priority="49" operator="lessThan">
      <formula>50</formula>
    </cfRule>
  </conditionalFormatting>
  <conditionalFormatting sqref="H49:N49">
    <cfRule type="expression" dxfId="8345" priority="47">
      <formula>5</formula>
    </cfRule>
    <cfRule type="cellIs" dxfId="8344" priority="48" operator="lessThan">
      <formula>5</formula>
    </cfRule>
  </conditionalFormatting>
  <conditionalFormatting sqref="H49:N49">
    <cfRule type="cellIs" dxfId="8343" priority="46" operator="lessThan">
      <formula>50</formula>
    </cfRule>
  </conditionalFormatting>
  <conditionalFormatting sqref="P49">
    <cfRule type="cellIs" dxfId="8342" priority="45" operator="lessThan">
      <formula>50</formula>
    </cfRule>
  </conditionalFormatting>
  <conditionalFormatting sqref="H50:N50">
    <cfRule type="expression" dxfId="8341" priority="43">
      <formula>5</formula>
    </cfRule>
    <cfRule type="cellIs" dxfId="8340" priority="44" operator="lessThan">
      <formula>5</formula>
    </cfRule>
  </conditionalFormatting>
  <conditionalFormatting sqref="H50:N50">
    <cfRule type="cellIs" dxfId="8339" priority="42" operator="lessThan">
      <formula>50</formula>
    </cfRule>
  </conditionalFormatting>
  <conditionalFormatting sqref="P50">
    <cfRule type="cellIs" dxfId="8338" priority="41" operator="lessThan">
      <formula>50</formula>
    </cfRule>
  </conditionalFormatting>
  <conditionalFormatting sqref="H51:N51">
    <cfRule type="expression" dxfId="8337" priority="39">
      <formula>5</formula>
    </cfRule>
    <cfRule type="cellIs" dxfId="8336" priority="40" operator="lessThan">
      <formula>5</formula>
    </cfRule>
  </conditionalFormatting>
  <conditionalFormatting sqref="H51:N51">
    <cfRule type="cellIs" dxfId="8335" priority="38" operator="lessThan">
      <formula>50</formula>
    </cfRule>
  </conditionalFormatting>
  <conditionalFormatting sqref="P51">
    <cfRule type="cellIs" dxfId="8334" priority="37" operator="lessThan">
      <formula>50</formula>
    </cfRule>
  </conditionalFormatting>
  <conditionalFormatting sqref="H52:N52">
    <cfRule type="expression" dxfId="8333" priority="35">
      <formula>5</formula>
    </cfRule>
    <cfRule type="cellIs" dxfId="8332" priority="36" operator="lessThan">
      <formula>5</formula>
    </cfRule>
  </conditionalFormatting>
  <conditionalFormatting sqref="H52:N52">
    <cfRule type="cellIs" dxfId="8331" priority="34" operator="lessThan">
      <formula>50</formula>
    </cfRule>
  </conditionalFormatting>
  <conditionalFormatting sqref="P52">
    <cfRule type="cellIs" dxfId="8330" priority="33" operator="lessThan">
      <formula>50</formula>
    </cfRule>
  </conditionalFormatting>
  <conditionalFormatting sqref="H53:N53">
    <cfRule type="expression" dxfId="8329" priority="31">
      <formula>5</formula>
    </cfRule>
    <cfRule type="cellIs" dxfId="8328" priority="32" operator="lessThan">
      <formula>5</formula>
    </cfRule>
  </conditionalFormatting>
  <conditionalFormatting sqref="H53:N53">
    <cfRule type="cellIs" dxfId="8327" priority="30" operator="lessThan">
      <formula>50</formula>
    </cfRule>
  </conditionalFormatting>
  <conditionalFormatting sqref="P53">
    <cfRule type="cellIs" dxfId="8326" priority="29" operator="lessThan">
      <formula>50</formula>
    </cfRule>
  </conditionalFormatting>
  <conditionalFormatting sqref="H54:N54">
    <cfRule type="expression" dxfId="8325" priority="27">
      <formula>5</formula>
    </cfRule>
    <cfRule type="cellIs" dxfId="8324" priority="28" operator="lessThan">
      <formula>5</formula>
    </cfRule>
  </conditionalFormatting>
  <conditionalFormatting sqref="H54:N54">
    <cfRule type="cellIs" dxfId="8323" priority="26" operator="lessThan">
      <formula>50</formula>
    </cfRule>
  </conditionalFormatting>
  <conditionalFormatting sqref="P54">
    <cfRule type="cellIs" dxfId="8322" priority="25" operator="lessThan">
      <formula>50</formula>
    </cfRule>
  </conditionalFormatting>
  <conditionalFormatting sqref="H55:N55">
    <cfRule type="expression" dxfId="8321" priority="23">
      <formula>5</formula>
    </cfRule>
    <cfRule type="cellIs" dxfId="8320" priority="24" operator="lessThan">
      <formula>5</formula>
    </cfRule>
  </conditionalFormatting>
  <conditionalFormatting sqref="H55:N55">
    <cfRule type="cellIs" dxfId="8319" priority="22" operator="lessThan">
      <formula>50</formula>
    </cfRule>
  </conditionalFormatting>
  <conditionalFormatting sqref="P55">
    <cfRule type="cellIs" dxfId="8318" priority="21" operator="lessThan">
      <formula>50</formula>
    </cfRule>
  </conditionalFormatting>
  <conditionalFormatting sqref="H56:N56">
    <cfRule type="expression" dxfId="8317" priority="19">
      <formula>5</formula>
    </cfRule>
    <cfRule type="cellIs" dxfId="8316" priority="20" operator="lessThan">
      <formula>5</formula>
    </cfRule>
  </conditionalFormatting>
  <conditionalFormatting sqref="H56:N56">
    <cfRule type="cellIs" dxfId="8315" priority="18" operator="lessThan">
      <formula>50</formula>
    </cfRule>
  </conditionalFormatting>
  <conditionalFormatting sqref="P56">
    <cfRule type="cellIs" dxfId="8314" priority="17" operator="lessThan">
      <formula>50</formula>
    </cfRule>
  </conditionalFormatting>
  <conditionalFormatting sqref="H57:N57">
    <cfRule type="expression" dxfId="8313" priority="15">
      <formula>5</formula>
    </cfRule>
    <cfRule type="cellIs" dxfId="8312" priority="16" operator="lessThan">
      <formula>5</formula>
    </cfRule>
  </conditionalFormatting>
  <conditionalFormatting sqref="H57:N57">
    <cfRule type="cellIs" dxfId="8311" priority="14" operator="lessThan">
      <formula>50</formula>
    </cfRule>
  </conditionalFormatting>
  <conditionalFormatting sqref="P57">
    <cfRule type="cellIs" dxfId="8310" priority="13" operator="lessThan">
      <formula>50</formula>
    </cfRule>
  </conditionalFormatting>
  <conditionalFormatting sqref="H58:N58">
    <cfRule type="expression" dxfId="8309" priority="11">
      <formula>5</formula>
    </cfRule>
    <cfRule type="cellIs" dxfId="8308" priority="12" operator="lessThan">
      <formula>5</formula>
    </cfRule>
  </conditionalFormatting>
  <conditionalFormatting sqref="H58:N58">
    <cfRule type="cellIs" dxfId="8307" priority="10" operator="lessThan">
      <formula>50</formula>
    </cfRule>
  </conditionalFormatting>
  <conditionalFormatting sqref="P58">
    <cfRule type="cellIs" dxfId="8306" priority="9" operator="lessThan">
      <formula>50</formula>
    </cfRule>
  </conditionalFormatting>
  <conditionalFormatting sqref="H59:N59">
    <cfRule type="expression" dxfId="8305" priority="7">
      <formula>5</formula>
    </cfRule>
    <cfRule type="cellIs" dxfId="8304" priority="8" operator="lessThan">
      <formula>5</formula>
    </cfRule>
  </conditionalFormatting>
  <conditionalFormatting sqref="H59:N59">
    <cfRule type="cellIs" dxfId="8303" priority="6" operator="lessThan">
      <formula>50</formula>
    </cfRule>
  </conditionalFormatting>
  <conditionalFormatting sqref="P59">
    <cfRule type="cellIs" dxfId="8302" priority="5" operator="lessThan">
      <formula>50</formula>
    </cfRule>
  </conditionalFormatting>
  <conditionalFormatting sqref="H60:N60">
    <cfRule type="expression" dxfId="8301" priority="3">
      <formula>5</formula>
    </cfRule>
    <cfRule type="cellIs" dxfId="8300" priority="4" operator="lessThan">
      <formula>5</formula>
    </cfRule>
  </conditionalFormatting>
  <conditionalFormatting sqref="H60:N60">
    <cfRule type="cellIs" dxfId="8299" priority="2" operator="lessThan">
      <formula>50</formula>
    </cfRule>
  </conditionalFormatting>
  <conditionalFormatting sqref="P60">
    <cfRule type="cellIs" dxfId="8298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9:E9 D11:E13" xr:uid="{3C96C2F5-3A4D-4B22-BA99-7F1FB42679FB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2B9E-A697-4AAA-A3EE-891DBF29F819}">
  <sheetPr codeName="Sheet89"/>
  <dimension ref="A1:Q61"/>
  <sheetViews>
    <sheetView showGridLines="0" workbookViewId="0">
      <selection activeCell="E12" sqref="E12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7" width="4.7109375" customWidth="1"/>
  </cols>
  <sheetData>
    <row r="1" spans="1:17" ht="18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8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8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8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</row>
    <row r="5" spans="1:17" ht="18" customHeight="1">
      <c r="A5" s="57" t="s">
        <v>5326</v>
      </c>
      <c r="B5" s="57"/>
      <c r="C5" s="17"/>
      <c r="D5" s="17" t="s">
        <v>5333</v>
      </c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7" t="s">
        <v>0</v>
      </c>
      <c r="I6" s="38" t="s">
        <v>1</v>
      </c>
      <c r="J6" s="37" t="s">
        <v>2</v>
      </c>
      <c r="K6" s="37" t="s">
        <v>3</v>
      </c>
      <c r="L6" s="37" t="s">
        <v>4</v>
      </c>
      <c r="M6" s="37" t="s">
        <v>5</v>
      </c>
      <c r="N6" s="37" t="s">
        <v>6</v>
      </c>
      <c r="O6" s="37" t="s">
        <v>5320</v>
      </c>
      <c r="P6" s="37" t="s">
        <v>5321</v>
      </c>
      <c r="Q6" s="39" t="s">
        <v>5324</v>
      </c>
    </row>
    <row r="7" spans="1:17" ht="18" customHeight="1" thickTop="1">
      <c r="A7" s="19">
        <v>1</v>
      </c>
      <c r="B7" s="2" t="s">
        <v>918</v>
      </c>
      <c r="C7" s="1" t="s">
        <v>919</v>
      </c>
      <c r="D7" s="3" t="s">
        <v>920</v>
      </c>
      <c r="E7" s="1" t="s">
        <v>59</v>
      </c>
      <c r="F7" s="10" t="s">
        <v>893</v>
      </c>
      <c r="G7" s="2">
        <v>32</v>
      </c>
      <c r="H7" s="8">
        <v>100</v>
      </c>
      <c r="I7" s="8">
        <v>89</v>
      </c>
      <c r="J7" s="8">
        <v>100</v>
      </c>
      <c r="K7" s="8">
        <v>45</v>
      </c>
      <c r="L7" s="8">
        <v>92</v>
      </c>
      <c r="M7" s="8">
        <v>100</v>
      </c>
      <c r="N7" s="8">
        <v>92</v>
      </c>
      <c r="O7" s="1">
        <f t="shared" ref="O7:O38" si="0">SUBTOTAL(9,H7:N7)</f>
        <v>618</v>
      </c>
      <c r="P7" s="14">
        <f t="shared" ref="P7:P38" si="1">O7/8</f>
        <v>77.25</v>
      </c>
      <c r="Q7" s="20">
        <f t="shared" ref="Q7:Q38" si="2">RANK(P7,P$7:P$282,0)</f>
        <v>1</v>
      </c>
    </row>
    <row r="8" spans="1:17" ht="18" customHeight="1">
      <c r="A8" s="19">
        <v>2</v>
      </c>
      <c r="B8" s="2" t="s">
        <v>972</v>
      </c>
      <c r="C8" s="1">
        <v>311260276</v>
      </c>
      <c r="D8" s="3" t="s">
        <v>973</v>
      </c>
      <c r="E8" s="1" t="s">
        <v>66</v>
      </c>
      <c r="F8" s="10" t="s">
        <v>893</v>
      </c>
      <c r="G8" s="2">
        <v>33</v>
      </c>
      <c r="H8" s="8">
        <v>100</v>
      </c>
      <c r="I8" s="8">
        <v>89</v>
      </c>
      <c r="J8" s="8">
        <v>100</v>
      </c>
      <c r="K8" s="8">
        <v>60</v>
      </c>
      <c r="L8" s="8">
        <v>76</v>
      </c>
      <c r="M8" s="8">
        <v>100</v>
      </c>
      <c r="N8" s="8">
        <v>84</v>
      </c>
      <c r="O8" s="1">
        <f t="shared" si="0"/>
        <v>609</v>
      </c>
      <c r="P8" s="14">
        <f t="shared" si="1"/>
        <v>76.125</v>
      </c>
      <c r="Q8" s="20">
        <f t="shared" si="2"/>
        <v>2</v>
      </c>
    </row>
    <row r="9" spans="1:17" ht="18" customHeight="1">
      <c r="A9" s="19">
        <v>3</v>
      </c>
      <c r="B9" s="2" t="s">
        <v>921</v>
      </c>
      <c r="C9" s="1" t="s">
        <v>922</v>
      </c>
      <c r="D9" s="3" t="s">
        <v>923</v>
      </c>
      <c r="E9" s="1" t="s">
        <v>61</v>
      </c>
      <c r="F9" s="10" t="s">
        <v>893</v>
      </c>
      <c r="G9" s="2">
        <v>32</v>
      </c>
      <c r="H9" s="8">
        <v>100</v>
      </c>
      <c r="I9" s="8">
        <v>89</v>
      </c>
      <c r="J9" s="8">
        <v>100</v>
      </c>
      <c r="K9" s="8">
        <v>60</v>
      </c>
      <c r="L9" s="8">
        <v>92</v>
      </c>
      <c r="M9" s="8">
        <v>92</v>
      </c>
      <c r="N9" s="8">
        <v>60</v>
      </c>
      <c r="O9" s="1">
        <f t="shared" si="0"/>
        <v>593</v>
      </c>
      <c r="P9" s="14">
        <f t="shared" si="1"/>
        <v>74.125</v>
      </c>
      <c r="Q9" s="20">
        <f t="shared" si="2"/>
        <v>3</v>
      </c>
    </row>
    <row r="10" spans="1:17" ht="18" customHeight="1">
      <c r="A10" s="19">
        <v>4</v>
      </c>
      <c r="B10" s="2" t="s">
        <v>936</v>
      </c>
      <c r="C10" s="1" t="s">
        <v>937</v>
      </c>
      <c r="D10" s="3" t="s">
        <v>938</v>
      </c>
      <c r="E10" s="1" t="s">
        <v>73</v>
      </c>
      <c r="F10" s="10" t="s">
        <v>893</v>
      </c>
      <c r="G10" s="2">
        <v>32</v>
      </c>
      <c r="H10" s="8">
        <v>84</v>
      </c>
      <c r="I10" s="8">
        <v>89</v>
      </c>
      <c r="J10" s="8">
        <v>100</v>
      </c>
      <c r="K10" s="8">
        <v>60</v>
      </c>
      <c r="L10" s="8">
        <v>92</v>
      </c>
      <c r="M10" s="8">
        <v>100</v>
      </c>
      <c r="N10" s="8">
        <v>60</v>
      </c>
      <c r="O10" s="1">
        <f t="shared" si="0"/>
        <v>585</v>
      </c>
      <c r="P10" s="14">
        <f t="shared" si="1"/>
        <v>73.125</v>
      </c>
      <c r="Q10" s="20">
        <f t="shared" si="2"/>
        <v>4</v>
      </c>
    </row>
    <row r="11" spans="1:17" ht="18" customHeight="1">
      <c r="A11" s="19">
        <v>5</v>
      </c>
      <c r="B11" s="2" t="s">
        <v>942</v>
      </c>
      <c r="C11" s="1" t="s">
        <v>943</v>
      </c>
      <c r="D11" s="3" t="s">
        <v>944</v>
      </c>
      <c r="E11" s="1" t="s">
        <v>73</v>
      </c>
      <c r="F11" s="10" t="s">
        <v>893</v>
      </c>
      <c r="G11" s="2">
        <v>32</v>
      </c>
      <c r="H11" s="8">
        <v>100</v>
      </c>
      <c r="I11" s="8">
        <v>81</v>
      </c>
      <c r="J11" s="8">
        <v>100</v>
      </c>
      <c r="K11" s="8">
        <v>40</v>
      </c>
      <c r="L11" s="8">
        <v>92</v>
      </c>
      <c r="M11" s="8">
        <v>92</v>
      </c>
      <c r="N11" s="8">
        <v>52</v>
      </c>
      <c r="O11" s="1">
        <f t="shared" si="0"/>
        <v>557</v>
      </c>
      <c r="P11" s="14">
        <f t="shared" si="1"/>
        <v>69.625</v>
      </c>
      <c r="Q11" s="20">
        <f t="shared" si="2"/>
        <v>5</v>
      </c>
    </row>
    <row r="12" spans="1:17" ht="18" customHeight="1">
      <c r="A12" s="19">
        <v>6</v>
      </c>
      <c r="B12" s="2" t="s">
        <v>960</v>
      </c>
      <c r="C12" s="1">
        <v>311260270</v>
      </c>
      <c r="D12" s="3" t="s">
        <v>961</v>
      </c>
      <c r="E12" s="1" t="s">
        <v>81</v>
      </c>
      <c r="F12" s="10" t="s">
        <v>893</v>
      </c>
      <c r="G12" s="2">
        <v>32</v>
      </c>
      <c r="H12" s="8">
        <v>92</v>
      </c>
      <c r="I12" s="8">
        <v>96</v>
      </c>
      <c r="J12" s="8">
        <v>92</v>
      </c>
      <c r="K12" s="8">
        <v>40</v>
      </c>
      <c r="L12" s="8">
        <v>84</v>
      </c>
      <c r="M12" s="8">
        <v>84</v>
      </c>
      <c r="N12" s="8">
        <v>68</v>
      </c>
      <c r="O12" s="1">
        <f t="shared" si="0"/>
        <v>556</v>
      </c>
      <c r="P12" s="14">
        <f t="shared" si="1"/>
        <v>69.5</v>
      </c>
      <c r="Q12" s="20">
        <f t="shared" si="2"/>
        <v>6</v>
      </c>
    </row>
    <row r="13" spans="1:17" ht="18" customHeight="1">
      <c r="A13" s="19">
        <v>7</v>
      </c>
      <c r="B13" s="2" t="s">
        <v>962</v>
      </c>
      <c r="C13" s="1">
        <v>311260271</v>
      </c>
      <c r="D13" s="3" t="s">
        <v>963</v>
      </c>
      <c r="E13" s="1" t="s">
        <v>63</v>
      </c>
      <c r="F13" s="10" t="s">
        <v>893</v>
      </c>
      <c r="G13" s="2">
        <v>32</v>
      </c>
      <c r="H13" s="8">
        <v>76</v>
      </c>
      <c r="I13" s="8">
        <v>73</v>
      </c>
      <c r="J13" s="8">
        <v>84</v>
      </c>
      <c r="K13" s="8">
        <v>55</v>
      </c>
      <c r="L13" s="8">
        <v>92</v>
      </c>
      <c r="M13" s="8">
        <v>76</v>
      </c>
      <c r="N13" s="8">
        <v>76</v>
      </c>
      <c r="O13" s="1">
        <f t="shared" si="0"/>
        <v>532</v>
      </c>
      <c r="P13" s="14">
        <f t="shared" si="1"/>
        <v>66.5</v>
      </c>
      <c r="Q13" s="20">
        <f t="shared" si="2"/>
        <v>7</v>
      </c>
    </row>
    <row r="14" spans="1:17" ht="18" customHeight="1">
      <c r="A14" s="19">
        <v>8</v>
      </c>
      <c r="B14" s="2" t="s">
        <v>1010</v>
      </c>
      <c r="C14" s="1">
        <v>311260824</v>
      </c>
      <c r="D14" s="3" t="s">
        <v>1011</v>
      </c>
      <c r="E14" s="1" t="s">
        <v>79</v>
      </c>
      <c r="F14" s="10" t="s">
        <v>893</v>
      </c>
      <c r="G14" s="2">
        <v>34</v>
      </c>
      <c r="H14" s="8">
        <v>92</v>
      </c>
      <c r="I14" s="8">
        <v>89</v>
      </c>
      <c r="J14" s="8">
        <v>84</v>
      </c>
      <c r="K14" s="8">
        <v>60</v>
      </c>
      <c r="L14" s="8">
        <v>60</v>
      </c>
      <c r="M14" s="8">
        <v>62</v>
      </c>
      <c r="N14" s="8">
        <v>68</v>
      </c>
      <c r="O14" s="1">
        <f t="shared" si="0"/>
        <v>515</v>
      </c>
      <c r="P14" s="14">
        <f t="shared" si="1"/>
        <v>64.375</v>
      </c>
      <c r="Q14" s="20">
        <f t="shared" si="2"/>
        <v>8</v>
      </c>
    </row>
    <row r="15" spans="1:17" ht="18" customHeight="1">
      <c r="A15" s="19">
        <v>9</v>
      </c>
      <c r="B15" s="2" t="s">
        <v>930</v>
      </c>
      <c r="C15" s="1" t="s">
        <v>931</v>
      </c>
      <c r="D15" s="3" t="s">
        <v>932</v>
      </c>
      <c r="E15" s="1" t="s">
        <v>62</v>
      </c>
      <c r="F15" s="10" t="s">
        <v>893</v>
      </c>
      <c r="G15" s="2">
        <v>32</v>
      </c>
      <c r="H15" s="8">
        <v>72</v>
      </c>
      <c r="I15" s="8">
        <v>85</v>
      </c>
      <c r="J15" s="8">
        <v>100</v>
      </c>
      <c r="K15" s="8">
        <v>60</v>
      </c>
      <c r="L15" s="8">
        <v>84</v>
      </c>
      <c r="M15" s="8">
        <v>60</v>
      </c>
      <c r="N15" s="8">
        <v>52</v>
      </c>
      <c r="O15" s="1">
        <f t="shared" si="0"/>
        <v>513</v>
      </c>
      <c r="P15" s="14">
        <f t="shared" si="1"/>
        <v>64.125</v>
      </c>
      <c r="Q15" s="20">
        <f t="shared" si="2"/>
        <v>9</v>
      </c>
    </row>
    <row r="16" spans="1:17" ht="18" customHeight="1">
      <c r="A16" s="19">
        <v>10</v>
      </c>
      <c r="B16" s="2" t="s">
        <v>950</v>
      </c>
      <c r="C16" s="1" t="s">
        <v>951</v>
      </c>
      <c r="D16" s="3" t="s">
        <v>952</v>
      </c>
      <c r="E16" s="1" t="s">
        <v>63</v>
      </c>
      <c r="F16" s="10" t="s">
        <v>893</v>
      </c>
      <c r="G16" s="2">
        <v>32</v>
      </c>
      <c r="H16" s="8">
        <v>84</v>
      </c>
      <c r="I16" s="8">
        <v>89</v>
      </c>
      <c r="J16" s="8">
        <v>100</v>
      </c>
      <c r="K16" s="8">
        <v>20</v>
      </c>
      <c r="L16" s="8">
        <v>84</v>
      </c>
      <c r="M16" s="8">
        <v>60</v>
      </c>
      <c r="N16" s="8">
        <v>68</v>
      </c>
      <c r="O16" s="1">
        <f t="shared" si="0"/>
        <v>505</v>
      </c>
      <c r="P16" s="14">
        <f t="shared" si="1"/>
        <v>63.125</v>
      </c>
      <c r="Q16" s="20">
        <f t="shared" si="2"/>
        <v>10</v>
      </c>
    </row>
    <row r="17" spans="1:17" ht="18" customHeight="1">
      <c r="A17" s="19">
        <v>11</v>
      </c>
      <c r="B17" s="2" t="s">
        <v>998</v>
      </c>
      <c r="C17" s="1">
        <v>311260398</v>
      </c>
      <c r="D17" s="3" t="s">
        <v>999</v>
      </c>
      <c r="E17" s="1" t="s">
        <v>66</v>
      </c>
      <c r="F17" s="10" t="s">
        <v>893</v>
      </c>
      <c r="G17" s="2">
        <v>33</v>
      </c>
      <c r="H17" s="8">
        <v>100</v>
      </c>
      <c r="I17" s="8">
        <v>70</v>
      </c>
      <c r="J17" s="8">
        <v>76</v>
      </c>
      <c r="K17" s="8">
        <v>35</v>
      </c>
      <c r="L17" s="8">
        <v>84</v>
      </c>
      <c r="M17" s="8">
        <v>76</v>
      </c>
      <c r="N17" s="8">
        <v>60</v>
      </c>
      <c r="O17" s="1">
        <f t="shared" si="0"/>
        <v>501</v>
      </c>
      <c r="P17" s="14">
        <f t="shared" si="1"/>
        <v>62.625</v>
      </c>
      <c r="Q17" s="20">
        <f t="shared" si="2"/>
        <v>11</v>
      </c>
    </row>
    <row r="18" spans="1:17" ht="18" customHeight="1">
      <c r="A18" s="19">
        <v>12</v>
      </c>
      <c r="B18" s="2" t="s">
        <v>927</v>
      </c>
      <c r="C18" s="1" t="s">
        <v>928</v>
      </c>
      <c r="D18" s="3" t="s">
        <v>929</v>
      </c>
      <c r="E18" s="1" t="s">
        <v>62</v>
      </c>
      <c r="F18" s="10" t="s">
        <v>893</v>
      </c>
      <c r="G18" s="2">
        <v>32</v>
      </c>
      <c r="H18" s="8">
        <v>76</v>
      </c>
      <c r="I18" s="8">
        <v>81</v>
      </c>
      <c r="J18" s="8">
        <v>84</v>
      </c>
      <c r="K18" s="8">
        <v>50</v>
      </c>
      <c r="L18" s="8">
        <v>68</v>
      </c>
      <c r="M18" s="8">
        <v>76</v>
      </c>
      <c r="N18" s="8">
        <v>60</v>
      </c>
      <c r="O18" s="1">
        <f t="shared" si="0"/>
        <v>495</v>
      </c>
      <c r="P18" s="14">
        <f t="shared" si="1"/>
        <v>61.875</v>
      </c>
      <c r="Q18" s="20">
        <f t="shared" si="2"/>
        <v>12</v>
      </c>
    </row>
    <row r="19" spans="1:17" ht="18" customHeight="1">
      <c r="A19" s="19">
        <v>13</v>
      </c>
      <c r="B19" s="2" t="s">
        <v>1012</v>
      </c>
      <c r="C19" s="1">
        <v>311260825</v>
      </c>
      <c r="D19" s="3" t="s">
        <v>1013</v>
      </c>
      <c r="E19" s="1" t="s">
        <v>79</v>
      </c>
      <c r="F19" s="10" t="s">
        <v>893</v>
      </c>
      <c r="G19" s="2">
        <v>34</v>
      </c>
      <c r="H19" s="8">
        <v>80</v>
      </c>
      <c r="I19" s="8">
        <v>66</v>
      </c>
      <c r="J19" s="8">
        <v>36</v>
      </c>
      <c r="K19" s="8">
        <v>80</v>
      </c>
      <c r="L19" s="8">
        <v>68</v>
      </c>
      <c r="M19" s="8">
        <v>60</v>
      </c>
      <c r="N19" s="8">
        <v>68</v>
      </c>
      <c r="O19" s="1">
        <f t="shared" si="0"/>
        <v>458</v>
      </c>
      <c r="P19" s="14">
        <f t="shared" si="1"/>
        <v>57.25</v>
      </c>
      <c r="Q19" s="20">
        <f t="shared" si="2"/>
        <v>13</v>
      </c>
    </row>
    <row r="20" spans="1:17" ht="18" customHeight="1">
      <c r="A20" s="19">
        <v>14</v>
      </c>
      <c r="B20" s="2" t="s">
        <v>974</v>
      </c>
      <c r="C20" s="1">
        <v>311260277</v>
      </c>
      <c r="D20" s="3" t="s">
        <v>975</v>
      </c>
      <c r="E20" s="1" t="s">
        <v>67</v>
      </c>
      <c r="F20" s="10" t="s">
        <v>893</v>
      </c>
      <c r="G20" s="2">
        <v>33</v>
      </c>
      <c r="H20" s="8">
        <v>84</v>
      </c>
      <c r="I20" s="8">
        <v>70</v>
      </c>
      <c r="J20" s="8">
        <v>76</v>
      </c>
      <c r="K20" s="8">
        <v>40</v>
      </c>
      <c r="L20" s="8">
        <v>84</v>
      </c>
      <c r="M20" s="8">
        <v>44</v>
      </c>
      <c r="N20" s="8">
        <v>60</v>
      </c>
      <c r="O20" s="1">
        <f t="shared" si="0"/>
        <v>458</v>
      </c>
      <c r="P20" s="14">
        <f t="shared" si="1"/>
        <v>57.25</v>
      </c>
      <c r="Q20" s="20">
        <f t="shared" si="2"/>
        <v>13</v>
      </c>
    </row>
    <row r="21" spans="1:17" ht="18" customHeight="1">
      <c r="A21" s="19">
        <v>15</v>
      </c>
      <c r="B21" s="2" t="s">
        <v>1018</v>
      </c>
      <c r="C21" s="1">
        <v>311260828</v>
      </c>
      <c r="D21" s="3" t="s">
        <v>1019</v>
      </c>
      <c r="E21" s="1" t="s">
        <v>70</v>
      </c>
      <c r="F21" s="10" t="s">
        <v>893</v>
      </c>
      <c r="G21" s="2">
        <v>34</v>
      </c>
      <c r="H21" s="8">
        <v>84</v>
      </c>
      <c r="I21" s="8">
        <v>70</v>
      </c>
      <c r="J21" s="8">
        <v>68</v>
      </c>
      <c r="K21" s="8">
        <v>20</v>
      </c>
      <c r="L21" s="8">
        <v>68</v>
      </c>
      <c r="M21" s="8">
        <v>100</v>
      </c>
      <c r="N21" s="8">
        <v>44</v>
      </c>
      <c r="O21" s="1">
        <f t="shared" si="0"/>
        <v>454</v>
      </c>
      <c r="P21" s="14">
        <f t="shared" si="1"/>
        <v>56.75</v>
      </c>
      <c r="Q21" s="20">
        <f t="shared" si="2"/>
        <v>15</v>
      </c>
    </row>
    <row r="22" spans="1:17" ht="18" customHeight="1">
      <c r="A22" s="19">
        <v>16</v>
      </c>
      <c r="B22" s="2" t="s">
        <v>1006</v>
      </c>
      <c r="C22" s="1">
        <v>311260402</v>
      </c>
      <c r="D22" s="3" t="s">
        <v>1007</v>
      </c>
      <c r="E22" s="1" t="s">
        <v>353</v>
      </c>
      <c r="F22" s="10" t="s">
        <v>893</v>
      </c>
      <c r="G22" s="2">
        <v>34</v>
      </c>
      <c r="H22" s="8">
        <v>72</v>
      </c>
      <c r="I22" s="8">
        <v>81</v>
      </c>
      <c r="J22" s="8">
        <v>84</v>
      </c>
      <c r="K22" s="8">
        <v>25</v>
      </c>
      <c r="L22" s="8">
        <v>68</v>
      </c>
      <c r="M22" s="8">
        <v>44</v>
      </c>
      <c r="N22" s="8">
        <v>76</v>
      </c>
      <c r="O22" s="1">
        <f t="shared" si="0"/>
        <v>450</v>
      </c>
      <c r="P22" s="14">
        <f t="shared" si="1"/>
        <v>56.25</v>
      </c>
      <c r="Q22" s="20">
        <f t="shared" si="2"/>
        <v>16</v>
      </c>
    </row>
    <row r="23" spans="1:17" ht="18" customHeight="1">
      <c r="A23" s="19">
        <v>17</v>
      </c>
      <c r="B23" s="2" t="s">
        <v>992</v>
      </c>
      <c r="C23" s="1">
        <v>311260395</v>
      </c>
      <c r="D23" s="3" t="s">
        <v>993</v>
      </c>
      <c r="E23" s="1" t="s">
        <v>82</v>
      </c>
      <c r="F23" s="10" t="s">
        <v>893</v>
      </c>
      <c r="G23" s="2">
        <v>33</v>
      </c>
      <c r="H23" s="8">
        <v>80</v>
      </c>
      <c r="I23" s="8">
        <v>85</v>
      </c>
      <c r="J23" s="8">
        <v>52</v>
      </c>
      <c r="K23" s="8">
        <v>65</v>
      </c>
      <c r="L23" s="8">
        <v>44</v>
      </c>
      <c r="M23" s="8">
        <v>60</v>
      </c>
      <c r="N23" s="8">
        <v>60</v>
      </c>
      <c r="O23" s="1">
        <f t="shared" si="0"/>
        <v>446</v>
      </c>
      <c r="P23" s="14">
        <f t="shared" si="1"/>
        <v>55.75</v>
      </c>
      <c r="Q23" s="20">
        <f t="shared" si="2"/>
        <v>17</v>
      </c>
    </row>
    <row r="24" spans="1:17" ht="18" customHeight="1">
      <c r="A24" s="19">
        <v>18</v>
      </c>
      <c r="B24" s="2" t="s">
        <v>1002</v>
      </c>
      <c r="C24" s="1">
        <v>311260400</v>
      </c>
      <c r="D24" s="3" t="s">
        <v>1003</v>
      </c>
      <c r="E24" s="1" t="s">
        <v>67</v>
      </c>
      <c r="F24" s="10" t="s">
        <v>893</v>
      </c>
      <c r="G24" s="2">
        <v>33</v>
      </c>
      <c r="H24" s="8">
        <v>100</v>
      </c>
      <c r="I24" s="8">
        <v>66</v>
      </c>
      <c r="J24" s="8">
        <v>60</v>
      </c>
      <c r="K24" s="8">
        <v>15</v>
      </c>
      <c r="L24" s="8">
        <v>68</v>
      </c>
      <c r="M24" s="8">
        <v>52</v>
      </c>
      <c r="N24" s="8">
        <v>84</v>
      </c>
      <c r="O24" s="1">
        <f t="shared" si="0"/>
        <v>445</v>
      </c>
      <c r="P24" s="14">
        <f t="shared" si="1"/>
        <v>55.625</v>
      </c>
      <c r="Q24" s="20">
        <f t="shared" si="2"/>
        <v>18</v>
      </c>
    </row>
    <row r="25" spans="1:17" ht="18" customHeight="1">
      <c r="A25" s="19">
        <v>19</v>
      </c>
      <c r="B25" s="2" t="s">
        <v>953</v>
      </c>
      <c r="C25" s="1" t="s">
        <v>954</v>
      </c>
      <c r="D25" s="3" t="s">
        <v>955</v>
      </c>
      <c r="E25" s="1" t="s">
        <v>66</v>
      </c>
      <c r="F25" s="10" t="s">
        <v>893</v>
      </c>
      <c r="G25" s="2">
        <v>32</v>
      </c>
      <c r="H25" s="8">
        <v>84</v>
      </c>
      <c r="I25" s="8">
        <v>70</v>
      </c>
      <c r="J25" s="8">
        <v>100</v>
      </c>
      <c r="K25" s="8">
        <v>25</v>
      </c>
      <c r="L25" s="8">
        <v>52</v>
      </c>
      <c r="M25" s="8">
        <v>52</v>
      </c>
      <c r="N25" s="8">
        <v>56</v>
      </c>
      <c r="O25" s="1">
        <f t="shared" si="0"/>
        <v>439</v>
      </c>
      <c r="P25" s="14">
        <f t="shared" si="1"/>
        <v>54.875</v>
      </c>
      <c r="Q25" s="20">
        <f t="shared" si="2"/>
        <v>19</v>
      </c>
    </row>
    <row r="26" spans="1:17" ht="18" customHeight="1">
      <c r="A26" s="19">
        <v>20</v>
      </c>
      <c r="B26" s="2" t="s">
        <v>933</v>
      </c>
      <c r="C26" s="1" t="s">
        <v>934</v>
      </c>
      <c r="D26" s="3" t="s">
        <v>935</v>
      </c>
      <c r="E26" s="1" t="s">
        <v>80</v>
      </c>
      <c r="F26" s="10" t="s">
        <v>893</v>
      </c>
      <c r="G26" s="2">
        <v>32</v>
      </c>
      <c r="H26" s="8">
        <v>52</v>
      </c>
      <c r="I26" s="8">
        <v>85</v>
      </c>
      <c r="J26" s="8">
        <v>92</v>
      </c>
      <c r="K26" s="8">
        <v>15</v>
      </c>
      <c r="L26" s="8">
        <v>76</v>
      </c>
      <c r="M26" s="8">
        <v>68</v>
      </c>
      <c r="N26" s="8">
        <v>44</v>
      </c>
      <c r="O26" s="1">
        <f t="shared" si="0"/>
        <v>432</v>
      </c>
      <c r="P26" s="14">
        <f t="shared" si="1"/>
        <v>54</v>
      </c>
      <c r="Q26" s="20">
        <f t="shared" si="2"/>
        <v>20</v>
      </c>
    </row>
    <row r="27" spans="1:17" ht="18" customHeight="1">
      <c r="A27" s="19">
        <v>21</v>
      </c>
      <c r="B27" s="2" t="s">
        <v>890</v>
      </c>
      <c r="C27" s="1" t="s">
        <v>891</v>
      </c>
      <c r="D27" s="3" t="s">
        <v>892</v>
      </c>
      <c r="E27" s="1" t="s">
        <v>55</v>
      </c>
      <c r="F27" s="10" t="s">
        <v>893</v>
      </c>
      <c r="G27" s="2">
        <v>31</v>
      </c>
      <c r="H27" s="8">
        <v>52</v>
      </c>
      <c r="I27" s="8">
        <v>92</v>
      </c>
      <c r="J27" s="8">
        <v>84</v>
      </c>
      <c r="K27" s="8">
        <v>25</v>
      </c>
      <c r="L27" s="8">
        <v>76</v>
      </c>
      <c r="M27" s="8">
        <v>36</v>
      </c>
      <c r="N27" s="8">
        <v>60</v>
      </c>
      <c r="O27" s="1">
        <f t="shared" si="0"/>
        <v>425</v>
      </c>
      <c r="P27" s="14">
        <f t="shared" si="1"/>
        <v>53.125</v>
      </c>
      <c r="Q27" s="20">
        <f t="shared" si="2"/>
        <v>21</v>
      </c>
    </row>
    <row r="28" spans="1:17" ht="18" customHeight="1">
      <c r="A28" s="19">
        <v>22</v>
      </c>
      <c r="B28" s="2" t="s">
        <v>912</v>
      </c>
      <c r="C28" s="1" t="s">
        <v>913</v>
      </c>
      <c r="D28" s="3" t="s">
        <v>914</v>
      </c>
      <c r="E28" s="1" t="s">
        <v>58</v>
      </c>
      <c r="F28" s="10" t="s">
        <v>893</v>
      </c>
      <c r="G28" s="2">
        <v>32</v>
      </c>
      <c r="H28" s="8">
        <v>56</v>
      </c>
      <c r="I28" s="8">
        <v>62</v>
      </c>
      <c r="J28" s="8">
        <v>84</v>
      </c>
      <c r="K28" s="8">
        <v>25</v>
      </c>
      <c r="L28" s="8">
        <v>68</v>
      </c>
      <c r="M28" s="8">
        <v>68</v>
      </c>
      <c r="N28" s="8">
        <v>60</v>
      </c>
      <c r="O28" s="1">
        <f t="shared" si="0"/>
        <v>423</v>
      </c>
      <c r="P28" s="14">
        <f t="shared" si="1"/>
        <v>52.875</v>
      </c>
      <c r="Q28" s="20">
        <f t="shared" si="2"/>
        <v>22</v>
      </c>
    </row>
    <row r="29" spans="1:17" ht="18" customHeight="1">
      <c r="A29" s="19">
        <v>23</v>
      </c>
      <c r="B29" s="2" t="s">
        <v>964</v>
      </c>
      <c r="C29" s="1">
        <v>311260272</v>
      </c>
      <c r="D29" s="3" t="s">
        <v>965</v>
      </c>
      <c r="E29" s="1" t="s">
        <v>64</v>
      </c>
      <c r="F29" s="10" t="s">
        <v>893</v>
      </c>
      <c r="G29" s="2">
        <v>33</v>
      </c>
      <c r="H29" s="8">
        <v>76</v>
      </c>
      <c r="I29" s="8">
        <v>66</v>
      </c>
      <c r="J29" s="8">
        <v>84</v>
      </c>
      <c r="K29" s="8">
        <v>40</v>
      </c>
      <c r="L29" s="8">
        <v>36</v>
      </c>
      <c r="M29" s="8">
        <v>58</v>
      </c>
      <c r="N29" s="8">
        <v>52</v>
      </c>
      <c r="O29" s="1">
        <f t="shared" si="0"/>
        <v>412</v>
      </c>
      <c r="P29" s="14">
        <f t="shared" si="1"/>
        <v>51.5</v>
      </c>
      <c r="Q29" s="20">
        <f t="shared" si="2"/>
        <v>23</v>
      </c>
    </row>
    <row r="30" spans="1:17" ht="18" customHeight="1">
      <c r="A30" s="19">
        <v>24</v>
      </c>
      <c r="B30" s="2" t="s">
        <v>976</v>
      </c>
      <c r="C30" s="1">
        <v>311260387</v>
      </c>
      <c r="D30" s="3" t="s">
        <v>977</v>
      </c>
      <c r="E30" s="1" t="s">
        <v>64</v>
      </c>
      <c r="F30" s="10" t="s">
        <v>893</v>
      </c>
      <c r="G30" s="2">
        <v>33</v>
      </c>
      <c r="H30" s="8">
        <v>84</v>
      </c>
      <c r="I30" s="8">
        <v>54</v>
      </c>
      <c r="J30" s="8">
        <v>60</v>
      </c>
      <c r="K30" s="8">
        <v>35</v>
      </c>
      <c r="L30" s="8">
        <v>60</v>
      </c>
      <c r="M30" s="8">
        <v>28</v>
      </c>
      <c r="N30" s="8">
        <v>84</v>
      </c>
      <c r="O30" s="1">
        <f t="shared" si="0"/>
        <v>405</v>
      </c>
      <c r="P30" s="14">
        <f t="shared" si="1"/>
        <v>50.625</v>
      </c>
      <c r="Q30" s="20">
        <f t="shared" si="2"/>
        <v>24</v>
      </c>
    </row>
    <row r="31" spans="1:17" ht="18" customHeight="1">
      <c r="A31" s="19">
        <v>25</v>
      </c>
      <c r="B31" s="2" t="s">
        <v>986</v>
      </c>
      <c r="C31" s="1">
        <v>311260392</v>
      </c>
      <c r="D31" s="3" t="s">
        <v>987</v>
      </c>
      <c r="E31" s="1" t="s">
        <v>90</v>
      </c>
      <c r="F31" s="10" t="s">
        <v>893</v>
      </c>
      <c r="G31" s="2">
        <v>33</v>
      </c>
      <c r="H31" s="8">
        <v>84</v>
      </c>
      <c r="I31" s="8">
        <v>58</v>
      </c>
      <c r="J31" s="8">
        <v>52</v>
      </c>
      <c r="K31" s="8">
        <v>30</v>
      </c>
      <c r="L31" s="8">
        <v>44</v>
      </c>
      <c r="M31" s="8">
        <v>68</v>
      </c>
      <c r="N31" s="8">
        <v>68</v>
      </c>
      <c r="O31" s="1">
        <f t="shared" si="0"/>
        <v>404</v>
      </c>
      <c r="P31" s="14">
        <f t="shared" si="1"/>
        <v>50.5</v>
      </c>
      <c r="Q31" s="20">
        <f t="shared" si="2"/>
        <v>25</v>
      </c>
    </row>
    <row r="32" spans="1:17" ht="18" customHeight="1">
      <c r="A32" s="19">
        <v>26</v>
      </c>
      <c r="B32" s="2" t="s">
        <v>1014</v>
      </c>
      <c r="C32" s="1">
        <v>311260826</v>
      </c>
      <c r="D32" s="3" t="s">
        <v>1015</v>
      </c>
      <c r="E32" s="1" t="s">
        <v>79</v>
      </c>
      <c r="F32" s="10" t="s">
        <v>893</v>
      </c>
      <c r="G32" s="2">
        <v>34</v>
      </c>
      <c r="H32" s="8">
        <v>72</v>
      </c>
      <c r="I32" s="8">
        <v>85</v>
      </c>
      <c r="J32" s="8">
        <v>52</v>
      </c>
      <c r="K32" s="8">
        <v>45</v>
      </c>
      <c r="L32" s="8">
        <v>68</v>
      </c>
      <c r="M32" s="8">
        <v>44</v>
      </c>
      <c r="N32" s="8">
        <v>36</v>
      </c>
      <c r="O32" s="1">
        <f t="shared" si="0"/>
        <v>402</v>
      </c>
      <c r="P32" s="14">
        <f t="shared" si="1"/>
        <v>50.25</v>
      </c>
      <c r="Q32" s="20">
        <f t="shared" si="2"/>
        <v>26</v>
      </c>
    </row>
    <row r="33" spans="1:17" ht="18" customHeight="1">
      <c r="A33" s="19">
        <v>27</v>
      </c>
      <c r="B33" s="2" t="s">
        <v>1008</v>
      </c>
      <c r="C33" s="1">
        <v>311260403</v>
      </c>
      <c r="D33" s="3" t="s">
        <v>1009</v>
      </c>
      <c r="E33" s="1" t="s">
        <v>76</v>
      </c>
      <c r="F33" s="10" t="s">
        <v>893</v>
      </c>
      <c r="G33" s="2">
        <v>34</v>
      </c>
      <c r="H33" s="8">
        <v>48</v>
      </c>
      <c r="I33" s="8">
        <v>66</v>
      </c>
      <c r="J33" s="8">
        <v>84</v>
      </c>
      <c r="K33" s="8">
        <v>65</v>
      </c>
      <c r="L33" s="8">
        <v>60</v>
      </c>
      <c r="M33" s="8">
        <v>44</v>
      </c>
      <c r="N33" s="8">
        <v>28</v>
      </c>
      <c r="O33" s="1">
        <f t="shared" si="0"/>
        <v>395</v>
      </c>
      <c r="P33" s="14">
        <f t="shared" si="1"/>
        <v>49.375</v>
      </c>
      <c r="Q33" s="20">
        <f t="shared" si="2"/>
        <v>27</v>
      </c>
    </row>
    <row r="34" spans="1:17" ht="18" customHeight="1">
      <c r="A34" s="19">
        <v>28</v>
      </c>
      <c r="B34" s="2" t="s">
        <v>956</v>
      </c>
      <c r="C34" s="1">
        <v>311260268</v>
      </c>
      <c r="D34" s="3" t="s">
        <v>957</v>
      </c>
      <c r="E34" s="1" t="s">
        <v>62</v>
      </c>
      <c r="F34" s="10" t="s">
        <v>893</v>
      </c>
      <c r="G34" s="2">
        <v>32</v>
      </c>
      <c r="H34" s="8">
        <v>52</v>
      </c>
      <c r="I34" s="8">
        <v>81</v>
      </c>
      <c r="J34" s="8">
        <v>68</v>
      </c>
      <c r="K34" s="8">
        <v>30</v>
      </c>
      <c r="L34" s="8">
        <v>76</v>
      </c>
      <c r="M34" s="8">
        <v>36</v>
      </c>
      <c r="N34" s="8">
        <v>44</v>
      </c>
      <c r="O34" s="1">
        <f t="shared" si="0"/>
        <v>387</v>
      </c>
      <c r="P34" s="14">
        <f t="shared" si="1"/>
        <v>48.375</v>
      </c>
      <c r="Q34" s="20">
        <f t="shared" si="2"/>
        <v>28</v>
      </c>
    </row>
    <row r="35" spans="1:17" ht="18" customHeight="1">
      <c r="A35" s="19">
        <v>29</v>
      </c>
      <c r="B35" s="2" t="s">
        <v>996</v>
      </c>
      <c r="C35" s="1">
        <v>311260397</v>
      </c>
      <c r="D35" s="3" t="s">
        <v>997</v>
      </c>
      <c r="E35" s="1" t="s">
        <v>66</v>
      </c>
      <c r="F35" s="10" t="s">
        <v>893</v>
      </c>
      <c r="G35" s="2">
        <v>33</v>
      </c>
      <c r="H35" s="8">
        <v>68</v>
      </c>
      <c r="I35" s="8">
        <v>70</v>
      </c>
      <c r="J35" s="8">
        <v>60</v>
      </c>
      <c r="K35" s="8">
        <v>30</v>
      </c>
      <c r="L35" s="8">
        <v>52</v>
      </c>
      <c r="M35" s="8">
        <v>68</v>
      </c>
      <c r="N35" s="8">
        <v>36</v>
      </c>
      <c r="O35" s="1">
        <f t="shared" si="0"/>
        <v>384</v>
      </c>
      <c r="P35" s="14">
        <f t="shared" si="1"/>
        <v>48</v>
      </c>
      <c r="Q35" s="20">
        <f t="shared" si="2"/>
        <v>29</v>
      </c>
    </row>
    <row r="36" spans="1:17" ht="18" customHeight="1">
      <c r="A36" s="19">
        <v>30</v>
      </c>
      <c r="B36" s="2" t="s">
        <v>1016</v>
      </c>
      <c r="C36" s="1">
        <v>311260827</v>
      </c>
      <c r="D36" s="3" t="s">
        <v>1017</v>
      </c>
      <c r="E36" s="1" t="s">
        <v>70</v>
      </c>
      <c r="F36" s="10" t="s">
        <v>893</v>
      </c>
      <c r="G36" s="2">
        <v>34</v>
      </c>
      <c r="H36" s="8">
        <v>68</v>
      </c>
      <c r="I36" s="8">
        <v>58</v>
      </c>
      <c r="J36" s="8">
        <v>60</v>
      </c>
      <c r="K36" s="8">
        <v>5</v>
      </c>
      <c r="L36" s="8">
        <v>52</v>
      </c>
      <c r="M36" s="8">
        <v>76</v>
      </c>
      <c r="N36" s="8">
        <v>52</v>
      </c>
      <c r="O36" s="1">
        <f t="shared" si="0"/>
        <v>371</v>
      </c>
      <c r="P36" s="14">
        <f t="shared" si="1"/>
        <v>46.375</v>
      </c>
      <c r="Q36" s="20">
        <f t="shared" si="2"/>
        <v>30</v>
      </c>
    </row>
    <row r="37" spans="1:17" ht="18" customHeight="1">
      <c r="A37" s="19">
        <v>31</v>
      </c>
      <c r="B37" s="2" t="s">
        <v>980</v>
      </c>
      <c r="C37" s="1">
        <v>311260389</v>
      </c>
      <c r="D37" s="3" t="s">
        <v>981</v>
      </c>
      <c r="E37" s="1" t="s">
        <v>78</v>
      </c>
      <c r="F37" s="10" t="s">
        <v>893</v>
      </c>
      <c r="G37" s="2">
        <v>33</v>
      </c>
      <c r="H37" s="8">
        <v>60</v>
      </c>
      <c r="I37" s="8">
        <v>66</v>
      </c>
      <c r="J37" s="8">
        <v>68</v>
      </c>
      <c r="K37" s="8">
        <v>60</v>
      </c>
      <c r="L37" s="8">
        <v>28</v>
      </c>
      <c r="M37" s="8">
        <v>28</v>
      </c>
      <c r="N37" s="8">
        <v>60</v>
      </c>
      <c r="O37" s="1">
        <f t="shared" si="0"/>
        <v>370</v>
      </c>
      <c r="P37" s="14">
        <f t="shared" si="1"/>
        <v>46.25</v>
      </c>
      <c r="Q37" s="20">
        <f t="shared" si="2"/>
        <v>31</v>
      </c>
    </row>
    <row r="38" spans="1:17" ht="18" customHeight="1">
      <c r="A38" s="19">
        <v>32</v>
      </c>
      <c r="B38" s="2" t="s">
        <v>1000</v>
      </c>
      <c r="C38" s="1">
        <v>311260399</v>
      </c>
      <c r="D38" s="3" t="s">
        <v>1001</v>
      </c>
      <c r="E38" s="1" t="s">
        <v>66</v>
      </c>
      <c r="F38" s="10" t="s">
        <v>893</v>
      </c>
      <c r="G38" s="2">
        <v>33</v>
      </c>
      <c r="H38" s="8">
        <v>52</v>
      </c>
      <c r="I38" s="8">
        <v>62</v>
      </c>
      <c r="J38" s="8">
        <v>44</v>
      </c>
      <c r="K38" s="8">
        <v>50</v>
      </c>
      <c r="L38" s="8">
        <v>60</v>
      </c>
      <c r="M38" s="8">
        <v>52</v>
      </c>
      <c r="N38" s="8">
        <v>44</v>
      </c>
      <c r="O38" s="1">
        <f t="shared" si="0"/>
        <v>364</v>
      </c>
      <c r="P38" s="14">
        <f t="shared" si="1"/>
        <v>45.5</v>
      </c>
      <c r="Q38" s="20">
        <f t="shared" si="2"/>
        <v>32</v>
      </c>
    </row>
    <row r="39" spans="1:17" ht="18" customHeight="1">
      <c r="A39" s="19">
        <v>33</v>
      </c>
      <c r="B39" s="2" t="s">
        <v>1004</v>
      </c>
      <c r="C39" s="1">
        <v>311260401</v>
      </c>
      <c r="D39" s="3" t="s">
        <v>1005</v>
      </c>
      <c r="E39" s="1" t="s">
        <v>353</v>
      </c>
      <c r="F39" s="10" t="s">
        <v>893</v>
      </c>
      <c r="G39" s="2">
        <v>34</v>
      </c>
      <c r="H39" s="8">
        <v>64</v>
      </c>
      <c r="I39" s="8">
        <v>54</v>
      </c>
      <c r="J39" s="8">
        <v>60</v>
      </c>
      <c r="K39" s="8">
        <v>5</v>
      </c>
      <c r="L39" s="8">
        <v>52</v>
      </c>
      <c r="M39" s="8">
        <v>60</v>
      </c>
      <c r="N39" s="8">
        <v>68</v>
      </c>
      <c r="O39" s="1">
        <f t="shared" ref="O39:O61" si="3">SUBTOTAL(9,H39:N39)</f>
        <v>363</v>
      </c>
      <c r="P39" s="14">
        <f t="shared" ref="P39:P61" si="4">O39/8</f>
        <v>45.375</v>
      </c>
      <c r="Q39" s="20">
        <f t="shared" ref="Q39:Q61" si="5">RANK(P39,P$7:P$282,0)</f>
        <v>33</v>
      </c>
    </row>
    <row r="40" spans="1:17" ht="18" customHeight="1">
      <c r="A40" s="19">
        <v>34</v>
      </c>
      <c r="B40" s="2" t="s">
        <v>958</v>
      </c>
      <c r="C40" s="1">
        <v>311260269</v>
      </c>
      <c r="D40" s="3" t="s">
        <v>959</v>
      </c>
      <c r="E40" s="1" t="s">
        <v>62</v>
      </c>
      <c r="F40" s="10" t="s">
        <v>893</v>
      </c>
      <c r="G40" s="2">
        <v>32</v>
      </c>
      <c r="H40" s="8">
        <v>56</v>
      </c>
      <c r="I40" s="8">
        <v>73</v>
      </c>
      <c r="J40" s="8">
        <v>68</v>
      </c>
      <c r="K40" s="8">
        <v>0</v>
      </c>
      <c r="L40" s="8">
        <v>44</v>
      </c>
      <c r="M40" s="8">
        <v>44</v>
      </c>
      <c r="N40" s="8">
        <v>76</v>
      </c>
      <c r="O40" s="1">
        <f t="shared" si="3"/>
        <v>361</v>
      </c>
      <c r="P40" s="14">
        <f t="shared" si="4"/>
        <v>45.125</v>
      </c>
      <c r="Q40" s="20">
        <f t="shared" si="5"/>
        <v>34</v>
      </c>
    </row>
    <row r="41" spans="1:17" ht="18" customHeight="1">
      <c r="A41" s="19">
        <v>35</v>
      </c>
      <c r="B41" s="2" t="s">
        <v>939</v>
      </c>
      <c r="C41" s="1" t="s">
        <v>940</v>
      </c>
      <c r="D41" s="3" t="s">
        <v>941</v>
      </c>
      <c r="E41" s="1" t="s">
        <v>73</v>
      </c>
      <c r="F41" s="10" t="s">
        <v>893</v>
      </c>
      <c r="G41" s="2">
        <v>32</v>
      </c>
      <c r="H41" s="8">
        <v>60</v>
      </c>
      <c r="I41" s="8">
        <v>62</v>
      </c>
      <c r="J41" s="8">
        <v>84</v>
      </c>
      <c r="K41" s="8">
        <v>0</v>
      </c>
      <c r="L41" s="8">
        <v>52</v>
      </c>
      <c r="M41" s="8">
        <v>44</v>
      </c>
      <c r="N41" s="8">
        <v>52</v>
      </c>
      <c r="O41" s="1">
        <f t="shared" si="3"/>
        <v>354</v>
      </c>
      <c r="P41" s="14">
        <f t="shared" si="4"/>
        <v>44.25</v>
      </c>
      <c r="Q41" s="20">
        <f t="shared" si="5"/>
        <v>35</v>
      </c>
    </row>
    <row r="42" spans="1:17" ht="18" customHeight="1">
      <c r="A42" s="19">
        <v>36</v>
      </c>
      <c r="B42" s="2" t="s">
        <v>903</v>
      </c>
      <c r="C42" s="1" t="s">
        <v>904</v>
      </c>
      <c r="D42" s="3" t="s">
        <v>905</v>
      </c>
      <c r="E42" s="1" t="s">
        <v>57</v>
      </c>
      <c r="F42" s="10" t="s">
        <v>893</v>
      </c>
      <c r="G42" s="2">
        <v>31</v>
      </c>
      <c r="H42" s="8">
        <v>48</v>
      </c>
      <c r="I42" s="8">
        <v>85</v>
      </c>
      <c r="J42" s="8">
        <v>52</v>
      </c>
      <c r="K42" s="8">
        <v>20</v>
      </c>
      <c r="L42" s="8">
        <v>60</v>
      </c>
      <c r="M42" s="8">
        <v>44</v>
      </c>
      <c r="N42" s="8">
        <v>44</v>
      </c>
      <c r="O42" s="1">
        <f t="shared" si="3"/>
        <v>353</v>
      </c>
      <c r="P42" s="14">
        <f t="shared" si="4"/>
        <v>44.125</v>
      </c>
      <c r="Q42" s="20">
        <f t="shared" si="5"/>
        <v>36</v>
      </c>
    </row>
    <row r="43" spans="1:17" ht="18" customHeight="1">
      <c r="A43" s="19">
        <v>37</v>
      </c>
      <c r="B43" s="2" t="s">
        <v>994</v>
      </c>
      <c r="C43" s="1">
        <v>311260396</v>
      </c>
      <c r="D43" s="3" t="s">
        <v>995</v>
      </c>
      <c r="E43" s="1" t="s">
        <v>66</v>
      </c>
      <c r="F43" s="10" t="s">
        <v>893</v>
      </c>
      <c r="G43" s="2">
        <v>33</v>
      </c>
      <c r="H43" s="8">
        <v>76</v>
      </c>
      <c r="I43" s="8">
        <v>20</v>
      </c>
      <c r="J43" s="8">
        <v>76</v>
      </c>
      <c r="K43" s="8">
        <v>15</v>
      </c>
      <c r="L43" s="8">
        <v>68</v>
      </c>
      <c r="M43" s="8">
        <v>52</v>
      </c>
      <c r="N43" s="8">
        <v>32</v>
      </c>
      <c r="O43" s="1">
        <f t="shared" si="3"/>
        <v>339</v>
      </c>
      <c r="P43" s="14">
        <f t="shared" si="4"/>
        <v>42.375</v>
      </c>
      <c r="Q43" s="20">
        <f t="shared" si="5"/>
        <v>37</v>
      </c>
    </row>
    <row r="44" spans="1:17" ht="18" customHeight="1">
      <c r="A44" s="19">
        <v>38</v>
      </c>
      <c r="B44" s="2" t="s">
        <v>924</v>
      </c>
      <c r="C44" s="1" t="s">
        <v>925</v>
      </c>
      <c r="D44" s="3" t="s">
        <v>926</v>
      </c>
      <c r="E44" s="1" t="s">
        <v>62</v>
      </c>
      <c r="F44" s="10" t="s">
        <v>893</v>
      </c>
      <c r="G44" s="2">
        <v>32</v>
      </c>
      <c r="H44" s="8">
        <v>68</v>
      </c>
      <c r="I44" s="8">
        <v>73</v>
      </c>
      <c r="J44" s="8">
        <v>78</v>
      </c>
      <c r="K44" s="8">
        <v>30</v>
      </c>
      <c r="L44" s="8">
        <v>28</v>
      </c>
      <c r="M44" s="8">
        <v>24</v>
      </c>
      <c r="N44" s="8">
        <v>36</v>
      </c>
      <c r="O44" s="1">
        <f t="shared" si="3"/>
        <v>337</v>
      </c>
      <c r="P44" s="14">
        <f t="shared" si="4"/>
        <v>42.125</v>
      </c>
      <c r="Q44" s="20">
        <f t="shared" si="5"/>
        <v>38</v>
      </c>
    </row>
    <row r="45" spans="1:17" ht="18" customHeight="1">
      <c r="A45" s="19">
        <v>39</v>
      </c>
      <c r="B45" s="2" t="s">
        <v>966</v>
      </c>
      <c r="C45" s="1">
        <v>311260273</v>
      </c>
      <c r="D45" s="3" t="s">
        <v>967</v>
      </c>
      <c r="E45" s="1" t="s">
        <v>64</v>
      </c>
      <c r="F45" s="10" t="s">
        <v>893</v>
      </c>
      <c r="G45" s="2">
        <v>33</v>
      </c>
      <c r="H45" s="8">
        <v>68</v>
      </c>
      <c r="I45" s="8">
        <v>62</v>
      </c>
      <c r="J45" s="8">
        <v>52</v>
      </c>
      <c r="K45" s="8">
        <v>30</v>
      </c>
      <c r="L45" s="8">
        <v>36</v>
      </c>
      <c r="M45" s="8">
        <v>36</v>
      </c>
      <c r="N45" s="8">
        <v>52</v>
      </c>
      <c r="O45" s="1">
        <f t="shared" si="3"/>
        <v>336</v>
      </c>
      <c r="P45" s="14">
        <f t="shared" si="4"/>
        <v>42</v>
      </c>
      <c r="Q45" s="20">
        <f t="shared" si="5"/>
        <v>39</v>
      </c>
    </row>
    <row r="46" spans="1:17" ht="18" customHeight="1">
      <c r="A46" s="19">
        <v>40</v>
      </c>
      <c r="B46" s="2" t="s">
        <v>909</v>
      </c>
      <c r="C46" s="1" t="s">
        <v>910</v>
      </c>
      <c r="D46" s="3" t="s">
        <v>911</v>
      </c>
      <c r="E46" s="1" t="s">
        <v>58</v>
      </c>
      <c r="F46" s="10" t="s">
        <v>893</v>
      </c>
      <c r="G46" s="2">
        <v>32</v>
      </c>
      <c r="H46" s="8">
        <v>32</v>
      </c>
      <c r="I46" s="8">
        <v>73</v>
      </c>
      <c r="J46" s="8">
        <v>60</v>
      </c>
      <c r="K46" s="8">
        <v>15</v>
      </c>
      <c r="L46" s="8">
        <v>52</v>
      </c>
      <c r="M46" s="8">
        <v>36</v>
      </c>
      <c r="N46" s="8">
        <v>60</v>
      </c>
      <c r="O46" s="1">
        <f t="shared" si="3"/>
        <v>328</v>
      </c>
      <c r="P46" s="14">
        <f t="shared" si="4"/>
        <v>41</v>
      </c>
      <c r="Q46" s="20">
        <f t="shared" si="5"/>
        <v>40</v>
      </c>
    </row>
    <row r="47" spans="1:17" ht="18" customHeight="1">
      <c r="A47" s="19">
        <v>41</v>
      </c>
      <c r="B47" s="2" t="s">
        <v>968</v>
      </c>
      <c r="C47" s="1">
        <v>311260274</v>
      </c>
      <c r="D47" s="3" t="s">
        <v>969</v>
      </c>
      <c r="E47" s="1" t="s">
        <v>78</v>
      </c>
      <c r="F47" s="10" t="s">
        <v>893</v>
      </c>
      <c r="G47" s="2">
        <v>33</v>
      </c>
      <c r="H47" s="8">
        <v>68</v>
      </c>
      <c r="I47" s="8">
        <v>62</v>
      </c>
      <c r="J47" s="8">
        <v>52</v>
      </c>
      <c r="K47" s="8">
        <v>30</v>
      </c>
      <c r="L47" s="8">
        <v>36</v>
      </c>
      <c r="M47" s="8">
        <v>36</v>
      </c>
      <c r="N47" s="8">
        <v>44</v>
      </c>
      <c r="O47" s="1">
        <f t="shared" si="3"/>
        <v>328</v>
      </c>
      <c r="P47" s="14">
        <f t="shared" si="4"/>
        <v>41</v>
      </c>
      <c r="Q47" s="20">
        <f t="shared" si="5"/>
        <v>40</v>
      </c>
    </row>
    <row r="48" spans="1:17" ht="18" customHeight="1">
      <c r="A48" s="19">
        <v>42</v>
      </c>
      <c r="B48" s="2" t="s">
        <v>982</v>
      </c>
      <c r="C48" s="1">
        <v>311260390</v>
      </c>
      <c r="D48" s="3" t="s">
        <v>983</v>
      </c>
      <c r="E48" s="1" t="s">
        <v>78</v>
      </c>
      <c r="F48" s="10" t="s">
        <v>893</v>
      </c>
      <c r="G48" s="2">
        <v>33</v>
      </c>
      <c r="H48" s="8">
        <v>42</v>
      </c>
      <c r="I48" s="8">
        <v>62</v>
      </c>
      <c r="J48" s="8">
        <v>68</v>
      </c>
      <c r="K48" s="8">
        <v>30</v>
      </c>
      <c r="L48" s="8">
        <v>44</v>
      </c>
      <c r="M48" s="8">
        <v>28</v>
      </c>
      <c r="N48" s="8">
        <v>52</v>
      </c>
      <c r="O48" s="1">
        <f t="shared" si="3"/>
        <v>326</v>
      </c>
      <c r="P48" s="14">
        <f t="shared" si="4"/>
        <v>40.75</v>
      </c>
      <c r="Q48" s="20">
        <f t="shared" si="5"/>
        <v>42</v>
      </c>
    </row>
    <row r="49" spans="1:17" ht="18" customHeight="1">
      <c r="A49" s="19">
        <v>43</v>
      </c>
      <c r="B49" s="2" t="s">
        <v>1020</v>
      </c>
      <c r="C49" s="1">
        <v>311260829</v>
      </c>
      <c r="D49" s="3" t="s">
        <v>1021</v>
      </c>
      <c r="E49" s="1" t="s">
        <v>56</v>
      </c>
      <c r="F49" s="10" t="s">
        <v>893</v>
      </c>
      <c r="G49" s="2">
        <v>34</v>
      </c>
      <c r="H49" s="8">
        <v>60</v>
      </c>
      <c r="I49" s="8">
        <v>77</v>
      </c>
      <c r="J49" s="8">
        <v>42</v>
      </c>
      <c r="K49" s="8">
        <v>5</v>
      </c>
      <c r="L49" s="8">
        <v>36</v>
      </c>
      <c r="M49" s="8">
        <v>28</v>
      </c>
      <c r="N49" s="8">
        <v>68</v>
      </c>
      <c r="O49" s="1">
        <f t="shared" si="3"/>
        <v>316</v>
      </c>
      <c r="P49" s="14">
        <f t="shared" si="4"/>
        <v>39.5</v>
      </c>
      <c r="Q49" s="20">
        <f t="shared" si="5"/>
        <v>43</v>
      </c>
    </row>
    <row r="50" spans="1:17" ht="18" customHeight="1">
      <c r="A50" s="19">
        <v>44</v>
      </c>
      <c r="B50" s="2" t="s">
        <v>906</v>
      </c>
      <c r="C50" s="1" t="s">
        <v>907</v>
      </c>
      <c r="D50" s="3" t="s">
        <v>908</v>
      </c>
      <c r="E50" s="1" t="s">
        <v>58</v>
      </c>
      <c r="F50" s="10" t="s">
        <v>893</v>
      </c>
      <c r="G50" s="2">
        <v>31</v>
      </c>
      <c r="H50" s="8">
        <v>40</v>
      </c>
      <c r="I50" s="8">
        <v>66</v>
      </c>
      <c r="J50" s="8">
        <v>76</v>
      </c>
      <c r="K50" s="8">
        <v>25</v>
      </c>
      <c r="L50" s="8">
        <v>20</v>
      </c>
      <c r="M50" s="8">
        <v>44</v>
      </c>
      <c r="N50" s="8">
        <v>44</v>
      </c>
      <c r="O50" s="1">
        <f t="shared" si="3"/>
        <v>315</v>
      </c>
      <c r="P50" s="14">
        <f t="shared" si="4"/>
        <v>39.375</v>
      </c>
      <c r="Q50" s="20">
        <f t="shared" si="5"/>
        <v>44</v>
      </c>
    </row>
    <row r="51" spans="1:17" ht="18" customHeight="1">
      <c r="A51" s="19">
        <v>45</v>
      </c>
      <c r="B51" s="2" t="s">
        <v>970</v>
      </c>
      <c r="C51" s="1">
        <v>311260275</v>
      </c>
      <c r="D51" s="3" t="s">
        <v>971</v>
      </c>
      <c r="E51" s="1" t="s">
        <v>65</v>
      </c>
      <c r="F51" s="10" t="s">
        <v>893</v>
      </c>
      <c r="G51" s="2">
        <v>33</v>
      </c>
      <c r="H51" s="8">
        <v>72</v>
      </c>
      <c r="I51" s="8">
        <v>89</v>
      </c>
      <c r="J51" s="8">
        <v>28</v>
      </c>
      <c r="K51" s="8">
        <v>20</v>
      </c>
      <c r="L51" s="8">
        <v>24</v>
      </c>
      <c r="M51" s="8">
        <v>36</v>
      </c>
      <c r="N51" s="8">
        <v>44</v>
      </c>
      <c r="O51" s="1">
        <f t="shared" si="3"/>
        <v>313</v>
      </c>
      <c r="P51" s="14">
        <f t="shared" si="4"/>
        <v>39.125</v>
      </c>
      <c r="Q51" s="20">
        <f t="shared" si="5"/>
        <v>45</v>
      </c>
    </row>
    <row r="52" spans="1:17" ht="18" customHeight="1">
      <c r="A52" s="19">
        <v>46</v>
      </c>
      <c r="B52" s="2" t="s">
        <v>990</v>
      </c>
      <c r="C52" s="1">
        <v>311260394</v>
      </c>
      <c r="D52" s="3" t="s">
        <v>991</v>
      </c>
      <c r="E52" s="1" t="s">
        <v>82</v>
      </c>
      <c r="F52" s="10" t="s">
        <v>893</v>
      </c>
      <c r="G52" s="2">
        <v>33</v>
      </c>
      <c r="H52" s="8">
        <v>56</v>
      </c>
      <c r="I52" s="8">
        <v>66</v>
      </c>
      <c r="J52" s="8">
        <v>40</v>
      </c>
      <c r="K52" s="8">
        <v>25</v>
      </c>
      <c r="L52" s="8">
        <v>36</v>
      </c>
      <c r="M52" s="8">
        <v>28</v>
      </c>
      <c r="N52" s="8">
        <v>60</v>
      </c>
      <c r="O52" s="1">
        <f t="shared" si="3"/>
        <v>311</v>
      </c>
      <c r="P52" s="14">
        <f t="shared" si="4"/>
        <v>38.875</v>
      </c>
      <c r="Q52" s="20">
        <f t="shared" si="5"/>
        <v>46</v>
      </c>
    </row>
    <row r="53" spans="1:17" ht="18" customHeight="1">
      <c r="A53" s="19">
        <v>47</v>
      </c>
      <c r="B53" s="2" t="s">
        <v>947</v>
      </c>
      <c r="C53" s="1" t="s">
        <v>948</v>
      </c>
      <c r="D53" s="3" t="s">
        <v>949</v>
      </c>
      <c r="E53" s="1" t="s">
        <v>63</v>
      </c>
      <c r="F53" s="10" t="s">
        <v>893</v>
      </c>
      <c r="G53" s="2">
        <v>32</v>
      </c>
      <c r="H53" s="8">
        <v>72</v>
      </c>
      <c r="I53" s="8">
        <v>20</v>
      </c>
      <c r="J53" s="8">
        <v>84</v>
      </c>
      <c r="K53" s="8">
        <v>15</v>
      </c>
      <c r="L53" s="8">
        <v>36</v>
      </c>
      <c r="M53" s="8">
        <v>36</v>
      </c>
      <c r="N53" s="8">
        <v>44</v>
      </c>
      <c r="O53" s="1">
        <f t="shared" si="3"/>
        <v>307</v>
      </c>
      <c r="P53" s="14">
        <f t="shared" si="4"/>
        <v>38.375</v>
      </c>
      <c r="Q53" s="20">
        <f t="shared" si="5"/>
        <v>47</v>
      </c>
    </row>
    <row r="54" spans="1:17" ht="18" customHeight="1">
      <c r="A54" s="19">
        <v>48</v>
      </c>
      <c r="B54" s="2" t="s">
        <v>988</v>
      </c>
      <c r="C54" s="1">
        <v>311260393</v>
      </c>
      <c r="D54" s="3" t="s">
        <v>989</v>
      </c>
      <c r="E54" s="1" t="s">
        <v>65</v>
      </c>
      <c r="F54" s="10" t="s">
        <v>893</v>
      </c>
      <c r="G54" s="2">
        <v>33</v>
      </c>
      <c r="H54" s="8">
        <v>48</v>
      </c>
      <c r="I54" s="8">
        <v>32</v>
      </c>
      <c r="J54" s="8">
        <v>52</v>
      </c>
      <c r="K54" s="8">
        <v>0</v>
      </c>
      <c r="L54" s="8">
        <v>60</v>
      </c>
      <c r="M54" s="8">
        <v>68</v>
      </c>
      <c r="N54" s="8">
        <v>32</v>
      </c>
      <c r="O54" s="1">
        <f t="shared" si="3"/>
        <v>292</v>
      </c>
      <c r="P54" s="14">
        <f t="shared" si="4"/>
        <v>36.5</v>
      </c>
      <c r="Q54" s="20">
        <f t="shared" si="5"/>
        <v>48</v>
      </c>
    </row>
    <row r="55" spans="1:17" ht="18" customHeight="1">
      <c r="A55" s="19">
        <v>49</v>
      </c>
      <c r="B55" s="2" t="s">
        <v>897</v>
      </c>
      <c r="C55" s="1" t="s">
        <v>898</v>
      </c>
      <c r="D55" s="3" t="s">
        <v>899</v>
      </c>
      <c r="E55" s="1" t="s">
        <v>70</v>
      </c>
      <c r="F55" s="10" t="s">
        <v>893</v>
      </c>
      <c r="G55" s="2">
        <v>31</v>
      </c>
      <c r="H55" s="8">
        <v>60</v>
      </c>
      <c r="I55" s="8">
        <v>77</v>
      </c>
      <c r="J55" s="8">
        <v>44</v>
      </c>
      <c r="K55" s="8">
        <v>0</v>
      </c>
      <c r="L55" s="8">
        <v>52</v>
      </c>
      <c r="M55" s="8">
        <v>12</v>
      </c>
      <c r="N55" s="8">
        <v>40</v>
      </c>
      <c r="O55" s="1">
        <f t="shared" si="3"/>
        <v>285</v>
      </c>
      <c r="P55" s="14">
        <f t="shared" si="4"/>
        <v>35.625</v>
      </c>
      <c r="Q55" s="20">
        <f t="shared" si="5"/>
        <v>49</v>
      </c>
    </row>
    <row r="56" spans="1:17" ht="18" customHeight="1">
      <c r="A56" s="19">
        <v>50</v>
      </c>
      <c r="B56" s="2" t="s">
        <v>900</v>
      </c>
      <c r="C56" s="1" t="s">
        <v>901</v>
      </c>
      <c r="D56" s="3" t="s">
        <v>902</v>
      </c>
      <c r="E56" s="1" t="s">
        <v>56</v>
      </c>
      <c r="F56" s="10" t="s">
        <v>893</v>
      </c>
      <c r="G56" s="2">
        <v>31</v>
      </c>
      <c r="H56" s="8">
        <v>52</v>
      </c>
      <c r="I56" s="8">
        <v>39</v>
      </c>
      <c r="J56" s="8">
        <v>52</v>
      </c>
      <c r="K56" s="8">
        <v>15</v>
      </c>
      <c r="L56" s="8">
        <v>44</v>
      </c>
      <c r="M56" s="8">
        <v>32</v>
      </c>
      <c r="N56" s="8">
        <v>36</v>
      </c>
      <c r="O56" s="1">
        <f t="shared" si="3"/>
        <v>270</v>
      </c>
      <c r="P56" s="14">
        <f t="shared" si="4"/>
        <v>33.75</v>
      </c>
      <c r="Q56" s="20">
        <f t="shared" si="5"/>
        <v>50</v>
      </c>
    </row>
    <row r="57" spans="1:17" ht="18" customHeight="1">
      <c r="A57" s="19">
        <v>51</v>
      </c>
      <c r="B57" s="2" t="s">
        <v>915</v>
      </c>
      <c r="C57" s="1" t="s">
        <v>916</v>
      </c>
      <c r="D57" s="3" t="s">
        <v>917</v>
      </c>
      <c r="E57" s="1" t="s">
        <v>58</v>
      </c>
      <c r="F57" s="10" t="s">
        <v>893</v>
      </c>
      <c r="G57" s="2">
        <v>32</v>
      </c>
      <c r="H57" s="8">
        <v>0</v>
      </c>
      <c r="I57" s="8">
        <v>0</v>
      </c>
      <c r="J57" s="8">
        <v>0</v>
      </c>
      <c r="K57" s="8">
        <v>80</v>
      </c>
      <c r="L57" s="8">
        <v>76</v>
      </c>
      <c r="M57" s="8">
        <v>0</v>
      </c>
      <c r="N57" s="8">
        <v>68</v>
      </c>
      <c r="O57" s="1">
        <f t="shared" si="3"/>
        <v>224</v>
      </c>
      <c r="P57" s="14">
        <f t="shared" si="4"/>
        <v>28</v>
      </c>
      <c r="Q57" s="20">
        <f t="shared" si="5"/>
        <v>51</v>
      </c>
    </row>
    <row r="58" spans="1:17" ht="18" customHeight="1">
      <c r="A58" s="19">
        <v>52</v>
      </c>
      <c r="B58" s="2" t="s">
        <v>984</v>
      </c>
      <c r="C58" s="1">
        <v>311260391</v>
      </c>
      <c r="D58" s="3" t="s">
        <v>985</v>
      </c>
      <c r="E58" s="1" t="s">
        <v>90</v>
      </c>
      <c r="F58" s="10" t="s">
        <v>893</v>
      </c>
      <c r="G58" s="2">
        <v>33</v>
      </c>
      <c r="H58" s="8">
        <v>16</v>
      </c>
      <c r="I58" s="8">
        <v>81</v>
      </c>
      <c r="J58" s="8">
        <v>40</v>
      </c>
      <c r="K58" s="8">
        <v>10</v>
      </c>
      <c r="L58" s="8">
        <v>28</v>
      </c>
      <c r="M58" s="8">
        <v>8</v>
      </c>
      <c r="N58" s="8">
        <v>32</v>
      </c>
      <c r="O58" s="1">
        <f t="shared" si="3"/>
        <v>215</v>
      </c>
      <c r="P58" s="14">
        <f t="shared" si="4"/>
        <v>26.875</v>
      </c>
      <c r="Q58" s="20">
        <f t="shared" si="5"/>
        <v>52</v>
      </c>
    </row>
    <row r="59" spans="1:17" ht="18" customHeight="1">
      <c r="A59" s="19">
        <v>53</v>
      </c>
      <c r="B59" s="2" t="s">
        <v>894</v>
      </c>
      <c r="C59" s="1" t="s">
        <v>895</v>
      </c>
      <c r="D59" s="3" t="s">
        <v>896</v>
      </c>
      <c r="E59" s="1" t="s">
        <v>79</v>
      </c>
      <c r="F59" s="10" t="s">
        <v>893</v>
      </c>
      <c r="G59" s="2">
        <v>31</v>
      </c>
      <c r="H59" s="8">
        <v>8</v>
      </c>
      <c r="I59" s="8">
        <v>73</v>
      </c>
      <c r="J59" s="8">
        <v>16</v>
      </c>
      <c r="K59" s="8">
        <v>15</v>
      </c>
      <c r="L59" s="8">
        <v>36</v>
      </c>
      <c r="M59" s="8">
        <v>8</v>
      </c>
      <c r="N59" s="8">
        <v>8</v>
      </c>
      <c r="O59" s="1">
        <f t="shared" si="3"/>
        <v>164</v>
      </c>
      <c r="P59" s="14">
        <f t="shared" si="4"/>
        <v>20.5</v>
      </c>
      <c r="Q59" s="20">
        <f t="shared" si="5"/>
        <v>53</v>
      </c>
    </row>
    <row r="60" spans="1:17" ht="18" customHeight="1">
      <c r="A60" s="19">
        <v>54</v>
      </c>
      <c r="B60" s="2" t="s">
        <v>978</v>
      </c>
      <c r="C60" s="1">
        <v>311260388</v>
      </c>
      <c r="D60" s="3" t="s">
        <v>979</v>
      </c>
      <c r="E60" s="1" t="s">
        <v>78</v>
      </c>
      <c r="F60" s="10" t="s">
        <v>893</v>
      </c>
      <c r="G60" s="2">
        <v>33</v>
      </c>
      <c r="H60" s="8">
        <v>28</v>
      </c>
      <c r="I60" s="8">
        <v>20</v>
      </c>
      <c r="J60" s="8">
        <v>32</v>
      </c>
      <c r="K60" s="8">
        <v>0</v>
      </c>
      <c r="L60" s="8">
        <v>24</v>
      </c>
      <c r="M60" s="8">
        <v>28</v>
      </c>
      <c r="N60" s="8">
        <v>16</v>
      </c>
      <c r="O60" s="1">
        <f t="shared" si="3"/>
        <v>148</v>
      </c>
      <c r="P60" s="14">
        <f t="shared" si="4"/>
        <v>18.5</v>
      </c>
      <c r="Q60" s="20">
        <f t="shared" si="5"/>
        <v>54</v>
      </c>
    </row>
    <row r="61" spans="1:17" ht="18" customHeight="1">
      <c r="A61" s="19">
        <v>55</v>
      </c>
      <c r="B61" s="28" t="s">
        <v>945</v>
      </c>
      <c r="C61" s="29">
        <v>311251043</v>
      </c>
      <c r="D61" s="30" t="s">
        <v>946</v>
      </c>
      <c r="E61" s="29" t="s">
        <v>77</v>
      </c>
      <c r="F61" s="31" t="s">
        <v>893</v>
      </c>
      <c r="G61" s="28">
        <v>32</v>
      </c>
      <c r="H61" s="40"/>
      <c r="I61" s="40"/>
      <c r="J61" s="40"/>
      <c r="K61" s="40"/>
      <c r="L61" s="40"/>
      <c r="M61" s="40"/>
      <c r="N61" s="40"/>
      <c r="O61" s="29">
        <f t="shared" si="3"/>
        <v>0</v>
      </c>
      <c r="P61" s="41">
        <f t="shared" si="4"/>
        <v>0</v>
      </c>
      <c r="Q61" s="33">
        <f t="shared" si="5"/>
        <v>55</v>
      </c>
    </row>
  </sheetData>
  <mergeCells count="4">
    <mergeCell ref="A1:P1"/>
    <mergeCell ref="A2:P2"/>
    <mergeCell ref="A3:P3"/>
    <mergeCell ref="A5:B5"/>
  </mergeCells>
  <conditionalFormatting sqref="H7:N7">
    <cfRule type="expression" dxfId="8277" priority="219">
      <formula>5</formula>
    </cfRule>
    <cfRule type="cellIs" dxfId="8276" priority="220" operator="lessThan">
      <formula>5</formula>
    </cfRule>
  </conditionalFormatting>
  <conditionalFormatting sqref="H7:N7">
    <cfRule type="cellIs" dxfId="8275" priority="218" operator="lessThan">
      <formula>50</formula>
    </cfRule>
  </conditionalFormatting>
  <conditionalFormatting sqref="P7">
    <cfRule type="cellIs" dxfId="8274" priority="217" operator="lessThan">
      <formula>50</formula>
    </cfRule>
  </conditionalFormatting>
  <conditionalFormatting sqref="H8:N8">
    <cfRule type="expression" dxfId="8273" priority="215">
      <formula>5</formula>
    </cfRule>
    <cfRule type="cellIs" dxfId="8272" priority="216" operator="lessThan">
      <formula>5</formula>
    </cfRule>
  </conditionalFormatting>
  <conditionalFormatting sqref="H8:N8">
    <cfRule type="cellIs" dxfId="8271" priority="214" operator="lessThan">
      <formula>50</formula>
    </cfRule>
  </conditionalFormatting>
  <conditionalFormatting sqref="P8">
    <cfRule type="cellIs" dxfId="8270" priority="213" operator="lessThan">
      <formula>50</formula>
    </cfRule>
  </conditionalFormatting>
  <conditionalFormatting sqref="H9:N9">
    <cfRule type="expression" dxfId="8269" priority="211">
      <formula>5</formula>
    </cfRule>
    <cfRule type="cellIs" dxfId="8268" priority="212" operator="lessThan">
      <formula>5</formula>
    </cfRule>
  </conditionalFormatting>
  <conditionalFormatting sqref="H9:N9">
    <cfRule type="cellIs" dxfId="8267" priority="210" operator="lessThan">
      <formula>50</formula>
    </cfRule>
  </conditionalFormatting>
  <conditionalFormatting sqref="P9">
    <cfRule type="cellIs" dxfId="8266" priority="209" operator="lessThan">
      <formula>50</formula>
    </cfRule>
  </conditionalFormatting>
  <conditionalFormatting sqref="H10:N10">
    <cfRule type="expression" dxfId="8265" priority="207">
      <formula>5</formula>
    </cfRule>
    <cfRule type="cellIs" dxfId="8264" priority="208" operator="lessThan">
      <formula>5</formula>
    </cfRule>
  </conditionalFormatting>
  <conditionalFormatting sqref="H10:N10">
    <cfRule type="cellIs" dxfId="8263" priority="206" operator="lessThan">
      <formula>50</formula>
    </cfRule>
  </conditionalFormatting>
  <conditionalFormatting sqref="P10">
    <cfRule type="cellIs" dxfId="8262" priority="205" operator="lessThan">
      <formula>50</formula>
    </cfRule>
  </conditionalFormatting>
  <conditionalFormatting sqref="H11:N11">
    <cfRule type="expression" dxfId="8261" priority="203">
      <formula>5</formula>
    </cfRule>
    <cfRule type="cellIs" dxfId="8260" priority="204" operator="lessThan">
      <formula>5</formula>
    </cfRule>
  </conditionalFormatting>
  <conditionalFormatting sqref="H11:N11">
    <cfRule type="cellIs" dxfId="8259" priority="202" operator="lessThan">
      <formula>50</formula>
    </cfRule>
  </conditionalFormatting>
  <conditionalFormatting sqref="P11">
    <cfRule type="cellIs" dxfId="8258" priority="201" operator="lessThan">
      <formula>50</formula>
    </cfRule>
  </conditionalFormatting>
  <conditionalFormatting sqref="H12:N12">
    <cfRule type="expression" dxfId="8257" priority="199">
      <formula>5</formula>
    </cfRule>
    <cfRule type="cellIs" dxfId="8256" priority="200" operator="lessThan">
      <formula>5</formula>
    </cfRule>
  </conditionalFormatting>
  <conditionalFormatting sqref="H12:N12">
    <cfRule type="cellIs" dxfId="8255" priority="198" operator="lessThan">
      <formula>50</formula>
    </cfRule>
  </conditionalFormatting>
  <conditionalFormatting sqref="P12">
    <cfRule type="cellIs" dxfId="8254" priority="197" operator="lessThan">
      <formula>50</formula>
    </cfRule>
  </conditionalFormatting>
  <conditionalFormatting sqref="H13:N13">
    <cfRule type="expression" dxfId="8253" priority="195">
      <formula>5</formula>
    </cfRule>
    <cfRule type="cellIs" dxfId="8252" priority="196" operator="lessThan">
      <formula>5</formula>
    </cfRule>
  </conditionalFormatting>
  <conditionalFormatting sqref="H13:N13">
    <cfRule type="cellIs" dxfId="8251" priority="194" operator="lessThan">
      <formula>50</formula>
    </cfRule>
  </conditionalFormatting>
  <conditionalFormatting sqref="P13">
    <cfRule type="cellIs" dxfId="8250" priority="193" operator="lessThan">
      <formula>50</formula>
    </cfRule>
  </conditionalFormatting>
  <conditionalFormatting sqref="H14:N14">
    <cfRule type="expression" dxfId="8249" priority="191">
      <formula>5</formula>
    </cfRule>
    <cfRule type="cellIs" dxfId="8248" priority="192" operator="lessThan">
      <formula>5</formula>
    </cfRule>
  </conditionalFormatting>
  <conditionalFormatting sqref="H14:N14">
    <cfRule type="cellIs" dxfId="8247" priority="190" operator="lessThan">
      <formula>50</formula>
    </cfRule>
  </conditionalFormatting>
  <conditionalFormatting sqref="P14">
    <cfRule type="cellIs" dxfId="8246" priority="189" operator="lessThan">
      <formula>50</formula>
    </cfRule>
  </conditionalFormatting>
  <conditionalFormatting sqref="H15:N15">
    <cfRule type="expression" dxfId="8245" priority="187">
      <formula>5</formula>
    </cfRule>
    <cfRule type="cellIs" dxfId="8244" priority="188" operator="lessThan">
      <formula>5</formula>
    </cfRule>
  </conditionalFormatting>
  <conditionalFormatting sqref="H15:N15">
    <cfRule type="cellIs" dxfId="8243" priority="186" operator="lessThan">
      <formula>50</formula>
    </cfRule>
  </conditionalFormatting>
  <conditionalFormatting sqref="P15">
    <cfRule type="cellIs" dxfId="8242" priority="185" operator="lessThan">
      <formula>50</formula>
    </cfRule>
  </conditionalFormatting>
  <conditionalFormatting sqref="H16:N16">
    <cfRule type="expression" dxfId="8241" priority="183">
      <formula>5</formula>
    </cfRule>
    <cfRule type="cellIs" dxfId="8240" priority="184" operator="lessThan">
      <formula>5</formula>
    </cfRule>
  </conditionalFormatting>
  <conditionalFormatting sqref="H16:N16">
    <cfRule type="cellIs" dxfId="8239" priority="182" operator="lessThan">
      <formula>50</formula>
    </cfRule>
  </conditionalFormatting>
  <conditionalFormatting sqref="P16">
    <cfRule type="cellIs" dxfId="8238" priority="181" operator="lessThan">
      <formula>50</formula>
    </cfRule>
  </conditionalFormatting>
  <conditionalFormatting sqref="H17:N17">
    <cfRule type="expression" dxfId="8237" priority="179">
      <formula>5</formula>
    </cfRule>
    <cfRule type="cellIs" dxfId="8236" priority="180" operator="lessThan">
      <formula>5</formula>
    </cfRule>
  </conditionalFormatting>
  <conditionalFormatting sqref="H17:N17">
    <cfRule type="cellIs" dxfId="8235" priority="178" operator="lessThan">
      <formula>50</formula>
    </cfRule>
  </conditionalFormatting>
  <conditionalFormatting sqref="P17">
    <cfRule type="cellIs" dxfId="8234" priority="177" operator="lessThan">
      <formula>50</formula>
    </cfRule>
  </conditionalFormatting>
  <conditionalFormatting sqref="H18:N18">
    <cfRule type="expression" dxfId="8233" priority="175">
      <formula>5</formula>
    </cfRule>
    <cfRule type="cellIs" dxfId="8232" priority="176" operator="lessThan">
      <formula>5</formula>
    </cfRule>
  </conditionalFormatting>
  <conditionalFormatting sqref="H18:N18">
    <cfRule type="cellIs" dxfId="8231" priority="174" operator="lessThan">
      <formula>50</formula>
    </cfRule>
  </conditionalFormatting>
  <conditionalFormatting sqref="P18">
    <cfRule type="cellIs" dxfId="8230" priority="173" operator="lessThan">
      <formula>50</formula>
    </cfRule>
  </conditionalFormatting>
  <conditionalFormatting sqref="H19:N19">
    <cfRule type="expression" dxfId="8229" priority="171">
      <formula>5</formula>
    </cfRule>
    <cfRule type="cellIs" dxfId="8228" priority="172" operator="lessThan">
      <formula>5</formula>
    </cfRule>
  </conditionalFormatting>
  <conditionalFormatting sqref="H19:N19">
    <cfRule type="cellIs" dxfId="8227" priority="170" operator="lessThan">
      <formula>50</formula>
    </cfRule>
  </conditionalFormatting>
  <conditionalFormatting sqref="P19">
    <cfRule type="cellIs" dxfId="8226" priority="169" operator="lessThan">
      <formula>50</formula>
    </cfRule>
  </conditionalFormatting>
  <conditionalFormatting sqref="H20:N20">
    <cfRule type="expression" dxfId="8225" priority="167">
      <formula>5</formula>
    </cfRule>
    <cfRule type="cellIs" dxfId="8224" priority="168" operator="lessThan">
      <formula>5</formula>
    </cfRule>
  </conditionalFormatting>
  <conditionalFormatting sqref="H20:N20">
    <cfRule type="cellIs" dxfId="8223" priority="166" operator="lessThan">
      <formula>50</formula>
    </cfRule>
  </conditionalFormatting>
  <conditionalFormatting sqref="P20">
    <cfRule type="cellIs" dxfId="8222" priority="165" operator="lessThan">
      <formula>50</formula>
    </cfRule>
  </conditionalFormatting>
  <conditionalFormatting sqref="H21:N21">
    <cfRule type="expression" dxfId="8221" priority="163">
      <formula>5</formula>
    </cfRule>
    <cfRule type="cellIs" dxfId="8220" priority="164" operator="lessThan">
      <formula>5</formula>
    </cfRule>
  </conditionalFormatting>
  <conditionalFormatting sqref="H21:N21">
    <cfRule type="cellIs" dxfId="8219" priority="162" operator="lessThan">
      <formula>50</formula>
    </cfRule>
  </conditionalFormatting>
  <conditionalFormatting sqref="P21">
    <cfRule type="cellIs" dxfId="8218" priority="161" operator="lessThan">
      <formula>50</formula>
    </cfRule>
  </conditionalFormatting>
  <conditionalFormatting sqref="H22:N22">
    <cfRule type="expression" dxfId="8217" priority="159">
      <formula>5</formula>
    </cfRule>
    <cfRule type="cellIs" dxfId="8216" priority="160" operator="lessThan">
      <formula>5</formula>
    </cfRule>
  </conditionalFormatting>
  <conditionalFormatting sqref="H22:N22">
    <cfRule type="cellIs" dxfId="8215" priority="158" operator="lessThan">
      <formula>50</formula>
    </cfRule>
  </conditionalFormatting>
  <conditionalFormatting sqref="P22">
    <cfRule type="cellIs" dxfId="8214" priority="157" operator="lessThan">
      <formula>50</formula>
    </cfRule>
  </conditionalFormatting>
  <conditionalFormatting sqref="H23:N23">
    <cfRule type="expression" dxfId="8213" priority="155">
      <formula>5</formula>
    </cfRule>
    <cfRule type="cellIs" dxfId="8212" priority="156" operator="lessThan">
      <formula>5</formula>
    </cfRule>
  </conditionalFormatting>
  <conditionalFormatting sqref="H23:N23">
    <cfRule type="cellIs" dxfId="8211" priority="154" operator="lessThan">
      <formula>50</formula>
    </cfRule>
  </conditionalFormatting>
  <conditionalFormatting sqref="P23">
    <cfRule type="cellIs" dxfId="8210" priority="153" operator="lessThan">
      <formula>50</formula>
    </cfRule>
  </conditionalFormatting>
  <conditionalFormatting sqref="H24:N24">
    <cfRule type="expression" dxfId="8209" priority="151">
      <formula>5</formula>
    </cfRule>
    <cfRule type="cellIs" dxfId="8208" priority="152" operator="lessThan">
      <formula>5</formula>
    </cfRule>
  </conditionalFormatting>
  <conditionalFormatting sqref="H24:N24">
    <cfRule type="cellIs" dxfId="8207" priority="150" operator="lessThan">
      <formula>50</formula>
    </cfRule>
  </conditionalFormatting>
  <conditionalFormatting sqref="P24">
    <cfRule type="cellIs" dxfId="8206" priority="149" operator="lessThan">
      <formula>50</formula>
    </cfRule>
  </conditionalFormatting>
  <conditionalFormatting sqref="H25:N25">
    <cfRule type="expression" dxfId="8205" priority="147">
      <formula>5</formula>
    </cfRule>
    <cfRule type="cellIs" dxfId="8204" priority="148" operator="lessThan">
      <formula>5</formula>
    </cfRule>
  </conditionalFormatting>
  <conditionalFormatting sqref="H25:N25">
    <cfRule type="cellIs" dxfId="8203" priority="146" operator="lessThan">
      <formula>50</formula>
    </cfRule>
  </conditionalFormatting>
  <conditionalFormatting sqref="P25">
    <cfRule type="cellIs" dxfId="8202" priority="145" operator="lessThan">
      <formula>50</formula>
    </cfRule>
  </conditionalFormatting>
  <conditionalFormatting sqref="H26:N26">
    <cfRule type="expression" dxfId="8201" priority="143">
      <formula>5</formula>
    </cfRule>
    <cfRule type="cellIs" dxfId="8200" priority="144" operator="lessThan">
      <formula>5</formula>
    </cfRule>
  </conditionalFormatting>
  <conditionalFormatting sqref="H26:N26">
    <cfRule type="cellIs" dxfId="8199" priority="142" operator="lessThan">
      <formula>50</formula>
    </cfRule>
  </conditionalFormatting>
  <conditionalFormatting sqref="P26">
    <cfRule type="cellIs" dxfId="8198" priority="141" operator="lessThan">
      <formula>50</formula>
    </cfRule>
  </conditionalFormatting>
  <conditionalFormatting sqref="H27:N27">
    <cfRule type="expression" dxfId="8197" priority="139">
      <formula>5</formula>
    </cfRule>
    <cfRule type="cellIs" dxfId="8196" priority="140" operator="lessThan">
      <formula>5</formula>
    </cfRule>
  </conditionalFormatting>
  <conditionalFormatting sqref="H27:N27">
    <cfRule type="cellIs" dxfId="8195" priority="138" operator="lessThan">
      <formula>50</formula>
    </cfRule>
  </conditionalFormatting>
  <conditionalFormatting sqref="P27">
    <cfRule type="cellIs" dxfId="8194" priority="137" operator="lessThan">
      <formula>50</formula>
    </cfRule>
  </conditionalFormatting>
  <conditionalFormatting sqref="H28:N28">
    <cfRule type="expression" dxfId="8193" priority="135">
      <formula>5</formula>
    </cfRule>
    <cfRule type="cellIs" dxfId="8192" priority="136" operator="lessThan">
      <formula>5</formula>
    </cfRule>
  </conditionalFormatting>
  <conditionalFormatting sqref="H28:N28">
    <cfRule type="cellIs" dxfId="8191" priority="134" operator="lessThan">
      <formula>50</formula>
    </cfRule>
  </conditionalFormatting>
  <conditionalFormatting sqref="P28">
    <cfRule type="cellIs" dxfId="8190" priority="133" operator="lessThan">
      <formula>50</formula>
    </cfRule>
  </conditionalFormatting>
  <conditionalFormatting sqref="H29:N29">
    <cfRule type="expression" dxfId="8189" priority="131">
      <formula>5</formula>
    </cfRule>
    <cfRule type="cellIs" dxfId="8188" priority="132" operator="lessThan">
      <formula>5</formula>
    </cfRule>
  </conditionalFormatting>
  <conditionalFormatting sqref="H29:N29">
    <cfRule type="cellIs" dxfId="8187" priority="130" operator="lessThan">
      <formula>50</formula>
    </cfRule>
  </conditionalFormatting>
  <conditionalFormatting sqref="P29">
    <cfRule type="cellIs" dxfId="8186" priority="129" operator="lessThan">
      <formula>50</formula>
    </cfRule>
  </conditionalFormatting>
  <conditionalFormatting sqref="H30:N30">
    <cfRule type="expression" dxfId="8185" priority="127">
      <formula>5</formula>
    </cfRule>
    <cfRule type="cellIs" dxfId="8184" priority="128" operator="lessThan">
      <formula>5</formula>
    </cfRule>
  </conditionalFormatting>
  <conditionalFormatting sqref="H30:N30">
    <cfRule type="cellIs" dxfId="8183" priority="126" operator="lessThan">
      <formula>50</formula>
    </cfRule>
  </conditionalFormatting>
  <conditionalFormatting sqref="P30">
    <cfRule type="cellIs" dxfId="8182" priority="125" operator="lessThan">
      <formula>50</formula>
    </cfRule>
  </conditionalFormatting>
  <conditionalFormatting sqref="H31:N31">
    <cfRule type="expression" dxfId="8181" priority="123">
      <formula>5</formula>
    </cfRule>
    <cfRule type="cellIs" dxfId="8180" priority="124" operator="lessThan">
      <formula>5</formula>
    </cfRule>
  </conditionalFormatting>
  <conditionalFormatting sqref="H31:N31">
    <cfRule type="cellIs" dxfId="8179" priority="122" operator="lessThan">
      <formula>50</formula>
    </cfRule>
  </conditionalFormatting>
  <conditionalFormatting sqref="P31">
    <cfRule type="cellIs" dxfId="8178" priority="121" operator="lessThan">
      <formula>50</formula>
    </cfRule>
  </conditionalFormatting>
  <conditionalFormatting sqref="H32:N32">
    <cfRule type="expression" dxfId="8177" priority="119">
      <formula>5</formula>
    </cfRule>
    <cfRule type="cellIs" dxfId="8176" priority="120" operator="lessThan">
      <formula>5</formula>
    </cfRule>
  </conditionalFormatting>
  <conditionalFormatting sqref="H32:N32">
    <cfRule type="cellIs" dxfId="8175" priority="118" operator="lessThan">
      <formula>50</formula>
    </cfRule>
  </conditionalFormatting>
  <conditionalFormatting sqref="P32">
    <cfRule type="cellIs" dxfId="8174" priority="117" operator="lessThan">
      <formula>50</formula>
    </cfRule>
  </conditionalFormatting>
  <conditionalFormatting sqref="H33:N33">
    <cfRule type="expression" dxfId="8173" priority="115">
      <formula>5</formula>
    </cfRule>
    <cfRule type="cellIs" dxfId="8172" priority="116" operator="lessThan">
      <formula>5</formula>
    </cfRule>
  </conditionalFormatting>
  <conditionalFormatting sqref="H33:N33">
    <cfRule type="cellIs" dxfId="8171" priority="114" operator="lessThan">
      <formula>50</formula>
    </cfRule>
  </conditionalFormatting>
  <conditionalFormatting sqref="P33">
    <cfRule type="cellIs" dxfId="8170" priority="113" operator="lessThan">
      <formula>50</formula>
    </cfRule>
  </conditionalFormatting>
  <conditionalFormatting sqref="H34:N34">
    <cfRule type="expression" dxfId="8169" priority="111">
      <formula>5</formula>
    </cfRule>
    <cfRule type="cellIs" dxfId="8168" priority="112" operator="lessThan">
      <formula>5</formula>
    </cfRule>
  </conditionalFormatting>
  <conditionalFormatting sqref="H34:N34">
    <cfRule type="cellIs" dxfId="8167" priority="110" operator="lessThan">
      <formula>50</formula>
    </cfRule>
  </conditionalFormatting>
  <conditionalFormatting sqref="P34">
    <cfRule type="cellIs" dxfId="8166" priority="109" operator="lessThan">
      <formula>50</formula>
    </cfRule>
  </conditionalFormatting>
  <conditionalFormatting sqref="H35:N35">
    <cfRule type="expression" dxfId="8165" priority="107">
      <formula>5</formula>
    </cfRule>
    <cfRule type="cellIs" dxfId="8164" priority="108" operator="lessThan">
      <formula>5</formula>
    </cfRule>
  </conditionalFormatting>
  <conditionalFormatting sqref="H35:N35">
    <cfRule type="cellIs" dxfId="8163" priority="106" operator="lessThan">
      <formula>50</formula>
    </cfRule>
  </conditionalFormatting>
  <conditionalFormatting sqref="P35">
    <cfRule type="cellIs" dxfId="8162" priority="105" operator="lessThan">
      <formula>50</formula>
    </cfRule>
  </conditionalFormatting>
  <conditionalFormatting sqref="H36:N36">
    <cfRule type="expression" dxfId="8161" priority="103">
      <formula>5</formula>
    </cfRule>
    <cfRule type="cellIs" dxfId="8160" priority="104" operator="lessThan">
      <formula>5</formula>
    </cfRule>
  </conditionalFormatting>
  <conditionalFormatting sqref="H36:N36">
    <cfRule type="cellIs" dxfId="8159" priority="102" operator="lessThan">
      <formula>50</formula>
    </cfRule>
  </conditionalFormatting>
  <conditionalFormatting sqref="P36">
    <cfRule type="cellIs" dxfId="8158" priority="101" operator="lessThan">
      <formula>50</formula>
    </cfRule>
  </conditionalFormatting>
  <conditionalFormatting sqref="H37:N37">
    <cfRule type="expression" dxfId="8157" priority="99">
      <formula>5</formula>
    </cfRule>
    <cfRule type="cellIs" dxfId="8156" priority="100" operator="lessThan">
      <formula>5</formula>
    </cfRule>
  </conditionalFormatting>
  <conditionalFormatting sqref="H37:N37">
    <cfRule type="cellIs" dxfId="8155" priority="98" operator="lessThan">
      <formula>50</formula>
    </cfRule>
  </conditionalFormatting>
  <conditionalFormatting sqref="P37">
    <cfRule type="cellIs" dxfId="8154" priority="97" operator="lessThan">
      <formula>50</formula>
    </cfRule>
  </conditionalFormatting>
  <conditionalFormatting sqref="H38:N38">
    <cfRule type="expression" dxfId="8153" priority="95">
      <formula>5</formula>
    </cfRule>
    <cfRule type="cellIs" dxfId="8152" priority="96" operator="lessThan">
      <formula>5</formula>
    </cfRule>
  </conditionalFormatting>
  <conditionalFormatting sqref="H38:N38">
    <cfRule type="cellIs" dxfId="8151" priority="94" operator="lessThan">
      <formula>50</formula>
    </cfRule>
  </conditionalFormatting>
  <conditionalFormatting sqref="P38">
    <cfRule type="cellIs" dxfId="8150" priority="93" operator="lessThan">
      <formula>50</formula>
    </cfRule>
  </conditionalFormatting>
  <conditionalFormatting sqref="H39:N39">
    <cfRule type="expression" dxfId="8149" priority="91">
      <formula>5</formula>
    </cfRule>
    <cfRule type="cellIs" dxfId="8148" priority="92" operator="lessThan">
      <formula>5</formula>
    </cfRule>
  </conditionalFormatting>
  <conditionalFormatting sqref="H39:N39">
    <cfRule type="cellIs" dxfId="8147" priority="90" operator="lessThan">
      <formula>50</formula>
    </cfRule>
  </conditionalFormatting>
  <conditionalFormatting sqref="P39">
    <cfRule type="cellIs" dxfId="8146" priority="89" operator="lessThan">
      <formula>50</formula>
    </cfRule>
  </conditionalFormatting>
  <conditionalFormatting sqref="H40:N40">
    <cfRule type="expression" dxfId="8145" priority="87">
      <formula>5</formula>
    </cfRule>
    <cfRule type="cellIs" dxfId="8144" priority="88" operator="lessThan">
      <formula>5</formula>
    </cfRule>
  </conditionalFormatting>
  <conditionalFormatting sqref="H40:N40">
    <cfRule type="cellIs" dxfId="8143" priority="86" operator="lessThan">
      <formula>50</formula>
    </cfRule>
  </conditionalFormatting>
  <conditionalFormatting sqref="P40">
    <cfRule type="cellIs" dxfId="8142" priority="85" operator="lessThan">
      <formula>50</formula>
    </cfRule>
  </conditionalFormatting>
  <conditionalFormatting sqref="H41:N41">
    <cfRule type="expression" dxfId="8141" priority="83">
      <formula>5</formula>
    </cfRule>
    <cfRule type="cellIs" dxfId="8140" priority="84" operator="lessThan">
      <formula>5</formula>
    </cfRule>
  </conditionalFormatting>
  <conditionalFormatting sqref="H41:N41">
    <cfRule type="cellIs" dxfId="8139" priority="82" operator="lessThan">
      <formula>50</formula>
    </cfRule>
  </conditionalFormatting>
  <conditionalFormatting sqref="P41">
    <cfRule type="cellIs" dxfId="8138" priority="81" operator="lessThan">
      <formula>50</formula>
    </cfRule>
  </conditionalFormatting>
  <conditionalFormatting sqref="H42:N42">
    <cfRule type="expression" dxfId="8137" priority="79">
      <formula>5</formula>
    </cfRule>
    <cfRule type="cellIs" dxfId="8136" priority="80" operator="lessThan">
      <formula>5</formula>
    </cfRule>
  </conditionalFormatting>
  <conditionalFormatting sqref="H42:N42">
    <cfRule type="cellIs" dxfId="8135" priority="78" operator="lessThan">
      <formula>50</formula>
    </cfRule>
  </conditionalFormatting>
  <conditionalFormatting sqref="P42">
    <cfRule type="cellIs" dxfId="8134" priority="77" operator="lessThan">
      <formula>50</formula>
    </cfRule>
  </conditionalFormatting>
  <conditionalFormatting sqref="H43:N43">
    <cfRule type="expression" dxfId="8133" priority="75">
      <formula>5</formula>
    </cfRule>
    <cfRule type="cellIs" dxfId="8132" priority="76" operator="lessThan">
      <formula>5</formula>
    </cfRule>
  </conditionalFormatting>
  <conditionalFormatting sqref="H43:N43">
    <cfRule type="cellIs" dxfId="8131" priority="74" operator="lessThan">
      <formula>50</formula>
    </cfRule>
  </conditionalFormatting>
  <conditionalFormatting sqref="P43">
    <cfRule type="cellIs" dxfId="8130" priority="73" operator="lessThan">
      <formula>50</formula>
    </cfRule>
  </conditionalFormatting>
  <conditionalFormatting sqref="H44:N44">
    <cfRule type="expression" dxfId="8129" priority="71">
      <formula>5</formula>
    </cfRule>
    <cfRule type="cellIs" dxfId="8128" priority="72" operator="lessThan">
      <formula>5</formula>
    </cfRule>
  </conditionalFormatting>
  <conditionalFormatting sqref="H44:N44">
    <cfRule type="cellIs" dxfId="8127" priority="70" operator="lessThan">
      <formula>50</formula>
    </cfRule>
  </conditionalFormatting>
  <conditionalFormatting sqref="P44">
    <cfRule type="cellIs" dxfId="8126" priority="69" operator="lessThan">
      <formula>50</formula>
    </cfRule>
  </conditionalFormatting>
  <conditionalFormatting sqref="H45:N45">
    <cfRule type="expression" dxfId="8125" priority="67">
      <formula>5</formula>
    </cfRule>
    <cfRule type="cellIs" dxfId="8124" priority="68" operator="lessThan">
      <formula>5</formula>
    </cfRule>
  </conditionalFormatting>
  <conditionalFormatting sqref="H45:N45">
    <cfRule type="cellIs" dxfId="8123" priority="66" operator="lessThan">
      <formula>50</formula>
    </cfRule>
  </conditionalFormatting>
  <conditionalFormatting sqref="P45">
    <cfRule type="cellIs" dxfId="8122" priority="65" operator="lessThan">
      <formula>50</formula>
    </cfRule>
  </conditionalFormatting>
  <conditionalFormatting sqref="H46:N46">
    <cfRule type="expression" dxfId="8121" priority="63">
      <formula>5</formula>
    </cfRule>
    <cfRule type="cellIs" dxfId="8120" priority="64" operator="lessThan">
      <formula>5</formula>
    </cfRule>
  </conditionalFormatting>
  <conditionalFormatting sqref="H46:N46">
    <cfRule type="cellIs" dxfId="8119" priority="62" operator="lessThan">
      <formula>50</formula>
    </cfRule>
  </conditionalFormatting>
  <conditionalFormatting sqref="P46">
    <cfRule type="cellIs" dxfId="8118" priority="61" operator="lessThan">
      <formula>50</formula>
    </cfRule>
  </conditionalFormatting>
  <conditionalFormatting sqref="H47:N47">
    <cfRule type="expression" dxfId="8117" priority="59">
      <formula>5</formula>
    </cfRule>
    <cfRule type="cellIs" dxfId="8116" priority="60" operator="lessThan">
      <formula>5</formula>
    </cfRule>
  </conditionalFormatting>
  <conditionalFormatting sqref="H47:N47">
    <cfRule type="cellIs" dxfId="8115" priority="58" operator="lessThan">
      <formula>50</formula>
    </cfRule>
  </conditionalFormatting>
  <conditionalFormatting sqref="P47">
    <cfRule type="cellIs" dxfId="8114" priority="57" operator="lessThan">
      <formula>50</formula>
    </cfRule>
  </conditionalFormatting>
  <conditionalFormatting sqref="H48:N48">
    <cfRule type="expression" dxfId="8113" priority="55">
      <formula>5</formula>
    </cfRule>
    <cfRule type="cellIs" dxfId="8112" priority="56" operator="lessThan">
      <formula>5</formula>
    </cfRule>
  </conditionalFormatting>
  <conditionalFormatting sqref="H48:N48">
    <cfRule type="cellIs" dxfId="8111" priority="54" operator="lessThan">
      <formula>50</formula>
    </cfRule>
  </conditionalFormatting>
  <conditionalFormatting sqref="P48">
    <cfRule type="cellIs" dxfId="8110" priority="53" operator="lessThan">
      <formula>50</formula>
    </cfRule>
  </conditionalFormatting>
  <conditionalFormatting sqref="H49:N49">
    <cfRule type="expression" dxfId="8109" priority="51">
      <formula>5</formula>
    </cfRule>
    <cfRule type="cellIs" dxfId="8108" priority="52" operator="lessThan">
      <formula>5</formula>
    </cfRule>
  </conditionalFormatting>
  <conditionalFormatting sqref="H49:N49">
    <cfRule type="cellIs" dxfId="8107" priority="50" operator="lessThan">
      <formula>50</formula>
    </cfRule>
  </conditionalFormatting>
  <conditionalFormatting sqref="P49">
    <cfRule type="cellIs" dxfId="8106" priority="49" operator="lessThan">
      <formula>50</formula>
    </cfRule>
  </conditionalFormatting>
  <conditionalFormatting sqref="H50:N50">
    <cfRule type="expression" dxfId="8105" priority="47">
      <formula>5</formula>
    </cfRule>
    <cfRule type="cellIs" dxfId="8104" priority="48" operator="lessThan">
      <formula>5</formula>
    </cfRule>
  </conditionalFormatting>
  <conditionalFormatting sqref="H50:N50">
    <cfRule type="cellIs" dxfId="8103" priority="46" operator="lessThan">
      <formula>50</formula>
    </cfRule>
  </conditionalFormatting>
  <conditionalFormatting sqref="P50">
    <cfRule type="cellIs" dxfId="8102" priority="45" operator="lessThan">
      <formula>50</formula>
    </cfRule>
  </conditionalFormatting>
  <conditionalFormatting sqref="H51:N51">
    <cfRule type="expression" dxfId="8101" priority="43">
      <formula>5</formula>
    </cfRule>
    <cfRule type="cellIs" dxfId="8100" priority="44" operator="lessThan">
      <formula>5</formula>
    </cfRule>
  </conditionalFormatting>
  <conditionalFormatting sqref="H51:N51">
    <cfRule type="cellIs" dxfId="8099" priority="42" operator="lessThan">
      <formula>50</formula>
    </cfRule>
  </conditionalFormatting>
  <conditionalFormatting sqref="P51">
    <cfRule type="cellIs" dxfId="8098" priority="41" operator="lessThan">
      <formula>50</formula>
    </cfRule>
  </conditionalFormatting>
  <conditionalFormatting sqref="H52:N52">
    <cfRule type="expression" dxfId="8097" priority="39">
      <formula>5</formula>
    </cfRule>
    <cfRule type="cellIs" dxfId="8096" priority="40" operator="lessThan">
      <formula>5</formula>
    </cfRule>
  </conditionalFormatting>
  <conditionalFormatting sqref="H52:N52">
    <cfRule type="cellIs" dxfId="8095" priority="38" operator="lessThan">
      <formula>50</formula>
    </cfRule>
  </conditionalFormatting>
  <conditionalFormatting sqref="P52">
    <cfRule type="cellIs" dxfId="8094" priority="37" operator="lessThan">
      <formula>50</formula>
    </cfRule>
  </conditionalFormatting>
  <conditionalFormatting sqref="H53:N53">
    <cfRule type="expression" dxfId="8093" priority="35">
      <formula>5</formula>
    </cfRule>
    <cfRule type="cellIs" dxfId="8092" priority="36" operator="lessThan">
      <formula>5</formula>
    </cfRule>
  </conditionalFormatting>
  <conditionalFormatting sqref="H53:N53">
    <cfRule type="cellIs" dxfId="8091" priority="34" operator="lessThan">
      <formula>50</formula>
    </cfRule>
  </conditionalFormatting>
  <conditionalFormatting sqref="P53">
    <cfRule type="cellIs" dxfId="8090" priority="33" operator="lessThan">
      <formula>50</formula>
    </cfRule>
  </conditionalFormatting>
  <conditionalFormatting sqref="H54:N54">
    <cfRule type="expression" dxfId="8089" priority="31">
      <formula>5</formula>
    </cfRule>
    <cfRule type="cellIs" dxfId="8088" priority="32" operator="lessThan">
      <formula>5</formula>
    </cfRule>
  </conditionalFormatting>
  <conditionalFormatting sqref="H54:N54">
    <cfRule type="cellIs" dxfId="8087" priority="30" operator="lessThan">
      <formula>50</formula>
    </cfRule>
  </conditionalFormatting>
  <conditionalFormatting sqref="P54">
    <cfRule type="cellIs" dxfId="8086" priority="29" operator="lessThan">
      <formula>50</formula>
    </cfRule>
  </conditionalFormatting>
  <conditionalFormatting sqref="H55:N55">
    <cfRule type="expression" dxfId="8085" priority="27">
      <formula>5</formula>
    </cfRule>
    <cfRule type="cellIs" dxfId="8084" priority="28" operator="lessThan">
      <formula>5</formula>
    </cfRule>
  </conditionalFormatting>
  <conditionalFormatting sqref="H55:N55">
    <cfRule type="cellIs" dxfId="8083" priority="26" operator="lessThan">
      <formula>50</formula>
    </cfRule>
  </conditionalFormatting>
  <conditionalFormatting sqref="P55">
    <cfRule type="cellIs" dxfId="8082" priority="25" operator="lessThan">
      <formula>50</formula>
    </cfRule>
  </conditionalFormatting>
  <conditionalFormatting sqref="H56:N56">
    <cfRule type="expression" dxfId="8081" priority="23">
      <formula>5</formula>
    </cfRule>
    <cfRule type="cellIs" dxfId="8080" priority="24" operator="lessThan">
      <formula>5</formula>
    </cfRule>
  </conditionalFormatting>
  <conditionalFormatting sqref="H56:N56">
    <cfRule type="cellIs" dxfId="8079" priority="22" operator="lessThan">
      <formula>50</formula>
    </cfRule>
  </conditionalFormatting>
  <conditionalFormatting sqref="P56">
    <cfRule type="cellIs" dxfId="8078" priority="21" operator="lessThan">
      <formula>50</formula>
    </cfRule>
  </conditionalFormatting>
  <conditionalFormatting sqref="H57:N57">
    <cfRule type="expression" dxfId="8077" priority="19">
      <formula>5</formula>
    </cfRule>
    <cfRule type="cellIs" dxfId="8076" priority="20" operator="lessThan">
      <formula>5</formula>
    </cfRule>
  </conditionalFormatting>
  <conditionalFormatting sqref="H57:N57">
    <cfRule type="cellIs" dxfId="8075" priority="18" operator="lessThan">
      <formula>50</formula>
    </cfRule>
  </conditionalFormatting>
  <conditionalFormatting sqref="P57">
    <cfRule type="cellIs" dxfId="8074" priority="17" operator="lessThan">
      <formula>50</formula>
    </cfRule>
  </conditionalFormatting>
  <conditionalFormatting sqref="H58:N58">
    <cfRule type="expression" dxfId="8073" priority="15">
      <formula>5</formula>
    </cfRule>
    <cfRule type="cellIs" dxfId="8072" priority="16" operator="lessThan">
      <formula>5</formula>
    </cfRule>
  </conditionalFormatting>
  <conditionalFormatting sqref="H58:N58">
    <cfRule type="cellIs" dxfId="8071" priority="14" operator="lessThan">
      <formula>50</formula>
    </cfRule>
  </conditionalFormatting>
  <conditionalFormatting sqref="P58">
    <cfRule type="cellIs" dxfId="8070" priority="13" operator="lessThan">
      <formula>50</formula>
    </cfRule>
  </conditionalFormatting>
  <conditionalFormatting sqref="H59:N59">
    <cfRule type="expression" dxfId="8069" priority="11">
      <formula>5</formula>
    </cfRule>
    <cfRule type="cellIs" dxfId="8068" priority="12" operator="lessThan">
      <formula>5</formula>
    </cfRule>
  </conditionalFormatting>
  <conditionalFormatting sqref="H59:N59">
    <cfRule type="cellIs" dxfId="8067" priority="10" operator="lessThan">
      <formula>50</formula>
    </cfRule>
  </conditionalFormatting>
  <conditionalFormatting sqref="P59">
    <cfRule type="cellIs" dxfId="8066" priority="9" operator="lessThan">
      <formula>50</formula>
    </cfRule>
  </conditionalFormatting>
  <conditionalFormatting sqref="H60:N60">
    <cfRule type="expression" dxfId="8065" priority="7">
      <formula>5</formula>
    </cfRule>
    <cfRule type="cellIs" dxfId="8064" priority="8" operator="lessThan">
      <formula>5</formula>
    </cfRule>
  </conditionalFormatting>
  <conditionalFormatting sqref="H60:N60">
    <cfRule type="cellIs" dxfId="8063" priority="6" operator="lessThan">
      <formula>50</formula>
    </cfRule>
  </conditionalFormatting>
  <conditionalFormatting sqref="P60">
    <cfRule type="cellIs" dxfId="8062" priority="5" operator="lessThan">
      <formula>50</formula>
    </cfRule>
  </conditionalFormatting>
  <conditionalFormatting sqref="H61:N61">
    <cfRule type="expression" dxfId="8061" priority="3">
      <formula>5</formula>
    </cfRule>
    <cfRule type="cellIs" dxfId="8060" priority="4" operator="lessThan">
      <formula>5</formula>
    </cfRule>
  </conditionalFormatting>
  <conditionalFormatting sqref="H61:N61">
    <cfRule type="cellIs" dxfId="8059" priority="2" operator="lessThan">
      <formula>50</formula>
    </cfRule>
  </conditionalFormatting>
  <conditionalFormatting sqref="P61">
    <cfRule type="cellIs" dxfId="8058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8:E11 D13" xr:uid="{032A11C3-318E-479E-A93D-EF7D823278A6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65F1-A731-47C9-BF51-00852F3CFC7D}">
  <sheetPr codeName="Sheet90"/>
  <dimension ref="A1:Q67"/>
  <sheetViews>
    <sheetView showGridLines="0" workbookViewId="0">
      <selection activeCell="D6" sqref="D6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6" width="4.7109375" style="44" customWidth="1"/>
    <col min="17" max="17" width="4.7109375" customWidth="1"/>
  </cols>
  <sheetData>
    <row r="1" spans="1:17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42"/>
      <c r="Q4" s="11"/>
    </row>
    <row r="5" spans="1:17" ht="16.5" customHeight="1">
      <c r="A5" s="57" t="s">
        <v>5326</v>
      </c>
      <c r="B5" s="57"/>
      <c r="C5" s="17"/>
      <c r="D5" s="15" t="s">
        <v>5334</v>
      </c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42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7" t="s">
        <v>7</v>
      </c>
      <c r="I6" s="38" t="s">
        <v>1</v>
      </c>
      <c r="J6" s="37" t="s">
        <v>8</v>
      </c>
      <c r="K6" s="37" t="s">
        <v>2</v>
      </c>
      <c r="L6" s="37" t="s">
        <v>9</v>
      </c>
      <c r="M6" s="47" t="s">
        <v>10</v>
      </c>
      <c r="N6" s="37" t="s">
        <v>3</v>
      </c>
      <c r="O6" s="37" t="s">
        <v>5320</v>
      </c>
      <c r="P6" s="45" t="s">
        <v>5321</v>
      </c>
      <c r="Q6" s="39" t="s">
        <v>5324</v>
      </c>
    </row>
    <row r="7" spans="1:17" ht="18" customHeight="1" thickTop="1">
      <c r="A7" s="19">
        <v>1</v>
      </c>
      <c r="B7" s="2" t="s">
        <v>1185</v>
      </c>
      <c r="C7" s="1" t="s">
        <v>1186</v>
      </c>
      <c r="D7" s="3" t="s">
        <v>1187</v>
      </c>
      <c r="E7" s="1" t="s">
        <v>58</v>
      </c>
      <c r="F7" s="10" t="s">
        <v>1140</v>
      </c>
      <c r="G7" s="2">
        <v>24</v>
      </c>
      <c r="H7" s="8">
        <v>80</v>
      </c>
      <c r="I7" s="8">
        <v>78</v>
      </c>
      <c r="J7" s="8">
        <v>100</v>
      </c>
      <c r="K7" s="8">
        <v>95</v>
      </c>
      <c r="L7" s="8">
        <v>80</v>
      </c>
      <c r="M7" s="8">
        <v>85</v>
      </c>
      <c r="N7" s="8">
        <v>90</v>
      </c>
      <c r="O7" s="1">
        <f t="shared" ref="O7:O38" si="0">SUBTOTAL(9,I7:N7)</f>
        <v>528</v>
      </c>
      <c r="P7" s="14">
        <f t="shared" ref="P7:P38" si="1">O7/7</f>
        <v>75.428571428571431</v>
      </c>
      <c r="Q7" s="20">
        <f t="shared" ref="Q7:Q38" si="2">RANK(P7,P$7:P$311,0)</f>
        <v>1</v>
      </c>
    </row>
    <row r="8" spans="1:17" ht="18" customHeight="1">
      <c r="A8" s="19">
        <v>2</v>
      </c>
      <c r="B8" s="2" t="s">
        <v>1194</v>
      </c>
      <c r="C8" s="1" t="s">
        <v>1195</v>
      </c>
      <c r="D8" s="3" t="s">
        <v>1196</v>
      </c>
      <c r="E8" s="1" t="s">
        <v>62</v>
      </c>
      <c r="F8" s="10" t="s">
        <v>1140</v>
      </c>
      <c r="G8" s="2">
        <v>24</v>
      </c>
      <c r="H8" s="8">
        <v>95</v>
      </c>
      <c r="I8" s="8">
        <v>60</v>
      </c>
      <c r="J8" s="8">
        <v>85</v>
      </c>
      <c r="K8" s="8">
        <v>85</v>
      </c>
      <c r="L8" s="8">
        <v>90</v>
      </c>
      <c r="M8" s="8">
        <v>80</v>
      </c>
      <c r="N8" s="8">
        <v>90</v>
      </c>
      <c r="O8" s="1">
        <f t="shared" si="0"/>
        <v>490</v>
      </c>
      <c r="P8" s="14">
        <f t="shared" si="1"/>
        <v>70</v>
      </c>
      <c r="Q8" s="20">
        <f t="shared" si="2"/>
        <v>2</v>
      </c>
    </row>
    <row r="9" spans="1:17" ht="18" customHeight="1">
      <c r="A9" s="19">
        <v>3</v>
      </c>
      <c r="B9" s="2" t="s">
        <v>1224</v>
      </c>
      <c r="C9" s="1" t="s">
        <v>1225</v>
      </c>
      <c r="D9" s="3" t="s">
        <v>1226</v>
      </c>
      <c r="E9" s="1" t="s">
        <v>84</v>
      </c>
      <c r="F9" s="10" t="s">
        <v>1140</v>
      </c>
      <c r="G9" s="2">
        <v>25</v>
      </c>
      <c r="H9" s="8">
        <v>85</v>
      </c>
      <c r="I9" s="8">
        <v>60</v>
      </c>
      <c r="J9" s="8">
        <v>100</v>
      </c>
      <c r="K9" s="8">
        <v>90</v>
      </c>
      <c r="L9" s="8">
        <v>90</v>
      </c>
      <c r="M9" s="8">
        <v>100</v>
      </c>
      <c r="N9" s="8">
        <v>25</v>
      </c>
      <c r="O9" s="1">
        <f t="shared" si="0"/>
        <v>465</v>
      </c>
      <c r="P9" s="14">
        <f t="shared" si="1"/>
        <v>66.428571428571431</v>
      </c>
      <c r="Q9" s="20">
        <f t="shared" si="2"/>
        <v>3</v>
      </c>
    </row>
    <row r="10" spans="1:17" ht="18" customHeight="1">
      <c r="A10" s="19">
        <v>4</v>
      </c>
      <c r="B10" s="2" t="s">
        <v>1176</v>
      </c>
      <c r="C10" s="1" t="s">
        <v>1177</v>
      </c>
      <c r="D10" s="3" t="s">
        <v>1178</v>
      </c>
      <c r="E10" s="1" t="s">
        <v>71</v>
      </c>
      <c r="F10" s="10" t="s">
        <v>1140</v>
      </c>
      <c r="G10" s="2">
        <v>24</v>
      </c>
      <c r="H10" s="8">
        <v>80</v>
      </c>
      <c r="I10" s="8">
        <v>70</v>
      </c>
      <c r="J10" s="8">
        <v>85</v>
      </c>
      <c r="K10" s="8">
        <v>80</v>
      </c>
      <c r="L10" s="8">
        <v>50</v>
      </c>
      <c r="M10" s="8">
        <v>90</v>
      </c>
      <c r="N10" s="8">
        <v>75</v>
      </c>
      <c r="O10" s="1">
        <f t="shared" si="0"/>
        <v>450</v>
      </c>
      <c r="P10" s="14">
        <f t="shared" si="1"/>
        <v>64.285714285714292</v>
      </c>
      <c r="Q10" s="20">
        <f t="shared" si="2"/>
        <v>4</v>
      </c>
    </row>
    <row r="11" spans="1:17" ht="18" customHeight="1">
      <c r="A11" s="19">
        <v>5</v>
      </c>
      <c r="B11" s="2" t="s">
        <v>1147</v>
      </c>
      <c r="C11" s="1" t="s">
        <v>1148</v>
      </c>
      <c r="D11" s="3" t="s">
        <v>1149</v>
      </c>
      <c r="E11" s="1" t="s">
        <v>64</v>
      </c>
      <c r="F11" s="10" t="s">
        <v>1140</v>
      </c>
      <c r="G11" s="2">
        <v>24</v>
      </c>
      <c r="H11" s="8">
        <v>75</v>
      </c>
      <c r="I11" s="8">
        <v>70</v>
      </c>
      <c r="J11" s="8">
        <v>75</v>
      </c>
      <c r="K11" s="8">
        <v>85</v>
      </c>
      <c r="L11" s="8">
        <v>60</v>
      </c>
      <c r="M11" s="8">
        <v>85</v>
      </c>
      <c r="N11" s="8">
        <v>75</v>
      </c>
      <c r="O11" s="1">
        <f t="shared" si="0"/>
        <v>450</v>
      </c>
      <c r="P11" s="14">
        <f t="shared" si="1"/>
        <v>64.285714285714292</v>
      </c>
      <c r="Q11" s="20">
        <f t="shared" si="2"/>
        <v>4</v>
      </c>
    </row>
    <row r="12" spans="1:17" ht="18" customHeight="1">
      <c r="A12" s="19">
        <v>6</v>
      </c>
      <c r="B12" s="2" t="s">
        <v>1259</v>
      </c>
      <c r="C12" s="1">
        <v>311260279</v>
      </c>
      <c r="D12" s="3" t="s">
        <v>1260</v>
      </c>
      <c r="E12" s="1" t="s">
        <v>71</v>
      </c>
      <c r="F12" s="10" t="s">
        <v>1140</v>
      </c>
      <c r="G12" s="2">
        <v>25</v>
      </c>
      <c r="H12" s="8">
        <v>90</v>
      </c>
      <c r="I12" s="8">
        <v>73</v>
      </c>
      <c r="J12" s="8">
        <v>95</v>
      </c>
      <c r="K12" s="8">
        <v>95</v>
      </c>
      <c r="L12" s="8">
        <v>70</v>
      </c>
      <c r="M12" s="8">
        <v>80</v>
      </c>
      <c r="N12" s="8">
        <v>35</v>
      </c>
      <c r="O12" s="1">
        <f t="shared" si="0"/>
        <v>448</v>
      </c>
      <c r="P12" s="14">
        <f t="shared" si="1"/>
        <v>64</v>
      </c>
      <c r="Q12" s="20">
        <f t="shared" si="2"/>
        <v>6</v>
      </c>
    </row>
    <row r="13" spans="1:17" ht="18" customHeight="1">
      <c r="A13" s="19">
        <v>7</v>
      </c>
      <c r="B13" s="2" t="s">
        <v>1150</v>
      </c>
      <c r="C13" s="1" t="s">
        <v>1151</v>
      </c>
      <c r="D13" s="3" t="s">
        <v>1152</v>
      </c>
      <c r="E13" s="1" t="s">
        <v>82</v>
      </c>
      <c r="F13" s="10" t="s">
        <v>1140</v>
      </c>
      <c r="G13" s="2">
        <v>24</v>
      </c>
      <c r="H13" s="8">
        <v>75</v>
      </c>
      <c r="I13" s="8">
        <v>53</v>
      </c>
      <c r="J13" s="8">
        <v>80</v>
      </c>
      <c r="K13" s="8">
        <v>90</v>
      </c>
      <c r="L13" s="8">
        <v>65</v>
      </c>
      <c r="M13" s="8">
        <v>70</v>
      </c>
      <c r="N13" s="8">
        <v>90</v>
      </c>
      <c r="O13" s="1">
        <f t="shared" si="0"/>
        <v>448</v>
      </c>
      <c r="P13" s="14">
        <f t="shared" si="1"/>
        <v>64</v>
      </c>
      <c r="Q13" s="20">
        <f t="shared" si="2"/>
        <v>6</v>
      </c>
    </row>
    <row r="14" spans="1:17" ht="18" customHeight="1">
      <c r="A14" s="19">
        <v>8</v>
      </c>
      <c r="B14" s="2" t="s">
        <v>1182</v>
      </c>
      <c r="C14" s="1" t="s">
        <v>1183</v>
      </c>
      <c r="D14" s="3" t="s">
        <v>1184</v>
      </c>
      <c r="E14" s="1" t="s">
        <v>71</v>
      </c>
      <c r="F14" s="10" t="s">
        <v>1140</v>
      </c>
      <c r="G14" s="2">
        <v>24</v>
      </c>
      <c r="H14" s="8">
        <v>70</v>
      </c>
      <c r="I14" s="8">
        <v>75</v>
      </c>
      <c r="J14" s="8">
        <v>60</v>
      </c>
      <c r="K14" s="8">
        <v>90</v>
      </c>
      <c r="L14" s="8">
        <v>60</v>
      </c>
      <c r="M14" s="8">
        <v>60</v>
      </c>
      <c r="N14" s="8">
        <v>80</v>
      </c>
      <c r="O14" s="1">
        <f t="shared" si="0"/>
        <v>425</v>
      </c>
      <c r="P14" s="14">
        <f t="shared" si="1"/>
        <v>60.714285714285715</v>
      </c>
      <c r="Q14" s="20">
        <f t="shared" si="2"/>
        <v>8</v>
      </c>
    </row>
    <row r="15" spans="1:17" ht="18" customHeight="1">
      <c r="A15" s="19">
        <v>9</v>
      </c>
      <c r="B15" s="2" t="s">
        <v>1283</v>
      </c>
      <c r="C15" s="1">
        <v>311260886</v>
      </c>
      <c r="D15" s="3" t="s">
        <v>1284</v>
      </c>
      <c r="E15" s="1" t="s">
        <v>55</v>
      </c>
      <c r="F15" s="10" t="s">
        <v>1140</v>
      </c>
      <c r="G15" s="2">
        <v>26</v>
      </c>
      <c r="H15" s="8">
        <v>55</v>
      </c>
      <c r="I15" s="8">
        <v>93</v>
      </c>
      <c r="J15" s="8">
        <v>45</v>
      </c>
      <c r="K15" s="8">
        <v>80</v>
      </c>
      <c r="L15" s="8">
        <v>40</v>
      </c>
      <c r="M15" s="8">
        <v>75</v>
      </c>
      <c r="N15" s="8">
        <v>85</v>
      </c>
      <c r="O15" s="1">
        <f t="shared" si="0"/>
        <v>418</v>
      </c>
      <c r="P15" s="14">
        <f t="shared" si="1"/>
        <v>59.714285714285715</v>
      </c>
      <c r="Q15" s="20">
        <f t="shared" si="2"/>
        <v>9</v>
      </c>
    </row>
    <row r="16" spans="1:17" ht="18" customHeight="1">
      <c r="A16" s="19">
        <v>10</v>
      </c>
      <c r="B16" s="2" t="s">
        <v>1242</v>
      </c>
      <c r="C16" s="1" t="s">
        <v>1243</v>
      </c>
      <c r="D16" s="3" t="s">
        <v>1244</v>
      </c>
      <c r="E16" s="1" t="s">
        <v>76</v>
      </c>
      <c r="F16" s="10" t="s">
        <v>1140</v>
      </c>
      <c r="G16" s="2">
        <v>25</v>
      </c>
      <c r="H16" s="8">
        <v>60</v>
      </c>
      <c r="I16" s="8">
        <v>60</v>
      </c>
      <c r="J16" s="8">
        <v>90</v>
      </c>
      <c r="K16" s="8">
        <v>85</v>
      </c>
      <c r="L16" s="8">
        <v>55</v>
      </c>
      <c r="M16" s="8">
        <v>85</v>
      </c>
      <c r="N16" s="8">
        <v>40</v>
      </c>
      <c r="O16" s="1">
        <f t="shared" si="0"/>
        <v>415</v>
      </c>
      <c r="P16" s="14">
        <f t="shared" si="1"/>
        <v>59.285714285714285</v>
      </c>
      <c r="Q16" s="20">
        <f t="shared" si="2"/>
        <v>10</v>
      </c>
    </row>
    <row r="17" spans="1:17" ht="18" customHeight="1">
      <c r="A17" s="19">
        <v>11</v>
      </c>
      <c r="B17" s="2" t="s">
        <v>1153</v>
      </c>
      <c r="C17" s="1" t="s">
        <v>1154</v>
      </c>
      <c r="D17" s="3" t="s">
        <v>1155</v>
      </c>
      <c r="E17" s="1" t="s">
        <v>69</v>
      </c>
      <c r="F17" s="10" t="s">
        <v>1140</v>
      </c>
      <c r="G17" s="2">
        <v>24</v>
      </c>
      <c r="H17" s="8">
        <v>75</v>
      </c>
      <c r="I17" s="8">
        <v>75</v>
      </c>
      <c r="J17" s="8">
        <v>55</v>
      </c>
      <c r="K17" s="8">
        <v>75</v>
      </c>
      <c r="L17" s="8">
        <v>65</v>
      </c>
      <c r="M17" s="8">
        <v>65</v>
      </c>
      <c r="N17" s="8">
        <v>75</v>
      </c>
      <c r="O17" s="1">
        <f t="shared" si="0"/>
        <v>410</v>
      </c>
      <c r="P17" s="14">
        <f t="shared" si="1"/>
        <v>58.571428571428569</v>
      </c>
      <c r="Q17" s="20">
        <f t="shared" si="2"/>
        <v>11</v>
      </c>
    </row>
    <row r="18" spans="1:17" ht="18" customHeight="1">
      <c r="A18" s="19">
        <v>12</v>
      </c>
      <c r="B18" s="2" t="s">
        <v>1188</v>
      </c>
      <c r="C18" s="1" t="s">
        <v>1189</v>
      </c>
      <c r="D18" s="3" t="s">
        <v>1190</v>
      </c>
      <c r="E18" s="1" t="s">
        <v>59</v>
      </c>
      <c r="F18" s="10" t="s">
        <v>1140</v>
      </c>
      <c r="G18" s="2">
        <v>24</v>
      </c>
      <c r="H18" s="8">
        <v>60</v>
      </c>
      <c r="I18" s="8">
        <v>78</v>
      </c>
      <c r="J18" s="8">
        <v>75</v>
      </c>
      <c r="K18" s="8">
        <v>65</v>
      </c>
      <c r="L18" s="8">
        <v>50</v>
      </c>
      <c r="M18" s="8">
        <v>45</v>
      </c>
      <c r="N18" s="8">
        <v>95</v>
      </c>
      <c r="O18" s="1">
        <f t="shared" si="0"/>
        <v>408</v>
      </c>
      <c r="P18" s="14">
        <f t="shared" si="1"/>
        <v>58.285714285714285</v>
      </c>
      <c r="Q18" s="20">
        <f t="shared" si="2"/>
        <v>12</v>
      </c>
    </row>
    <row r="19" spans="1:17" ht="18" customHeight="1">
      <c r="A19" s="19">
        <v>13</v>
      </c>
      <c r="B19" s="2" t="s">
        <v>1197</v>
      </c>
      <c r="C19" s="1" t="s">
        <v>1198</v>
      </c>
      <c r="D19" s="3" t="s">
        <v>1199</v>
      </c>
      <c r="E19" s="1" t="s">
        <v>62</v>
      </c>
      <c r="F19" s="10" t="s">
        <v>1140</v>
      </c>
      <c r="G19" s="2">
        <v>24</v>
      </c>
      <c r="H19" s="8">
        <v>100</v>
      </c>
      <c r="I19" s="8">
        <v>55</v>
      </c>
      <c r="J19" s="8">
        <v>70</v>
      </c>
      <c r="K19" s="8">
        <v>85</v>
      </c>
      <c r="L19" s="8">
        <v>70</v>
      </c>
      <c r="M19" s="8">
        <v>85</v>
      </c>
      <c r="N19" s="8">
        <v>40</v>
      </c>
      <c r="O19" s="1">
        <f t="shared" si="0"/>
        <v>405</v>
      </c>
      <c r="P19" s="14">
        <f t="shared" si="1"/>
        <v>57.857142857142854</v>
      </c>
      <c r="Q19" s="20">
        <f t="shared" si="2"/>
        <v>13</v>
      </c>
    </row>
    <row r="20" spans="1:17" ht="18" customHeight="1">
      <c r="A20" s="19">
        <v>14</v>
      </c>
      <c r="B20" s="2" t="s">
        <v>1203</v>
      </c>
      <c r="C20" s="1" t="s">
        <v>1204</v>
      </c>
      <c r="D20" s="3" t="s">
        <v>1205</v>
      </c>
      <c r="E20" s="1" t="s">
        <v>80</v>
      </c>
      <c r="F20" s="10" t="s">
        <v>1140</v>
      </c>
      <c r="G20" s="2">
        <v>24</v>
      </c>
      <c r="H20" s="8">
        <v>75</v>
      </c>
      <c r="I20" s="8">
        <v>65</v>
      </c>
      <c r="J20" s="8">
        <v>75</v>
      </c>
      <c r="K20" s="8">
        <v>65</v>
      </c>
      <c r="L20" s="8">
        <v>70</v>
      </c>
      <c r="M20" s="8">
        <v>75</v>
      </c>
      <c r="N20" s="8">
        <v>50</v>
      </c>
      <c r="O20" s="1">
        <f t="shared" si="0"/>
        <v>400</v>
      </c>
      <c r="P20" s="14">
        <f t="shared" si="1"/>
        <v>57.142857142857146</v>
      </c>
      <c r="Q20" s="20">
        <f t="shared" si="2"/>
        <v>14</v>
      </c>
    </row>
    <row r="21" spans="1:17" ht="18" customHeight="1">
      <c r="A21" s="19">
        <v>15</v>
      </c>
      <c r="B21" s="2" t="s">
        <v>1239</v>
      </c>
      <c r="C21" s="1" t="s">
        <v>1240</v>
      </c>
      <c r="D21" s="3" t="s">
        <v>1241</v>
      </c>
      <c r="E21" s="1" t="s">
        <v>76</v>
      </c>
      <c r="F21" s="10" t="s">
        <v>1140</v>
      </c>
      <c r="G21" s="2">
        <v>25</v>
      </c>
      <c r="H21" s="8">
        <v>75</v>
      </c>
      <c r="I21" s="8">
        <v>60</v>
      </c>
      <c r="J21" s="8">
        <v>90</v>
      </c>
      <c r="K21" s="8">
        <v>90</v>
      </c>
      <c r="L21" s="8">
        <v>55</v>
      </c>
      <c r="M21" s="8">
        <v>80</v>
      </c>
      <c r="N21" s="8">
        <v>20</v>
      </c>
      <c r="O21" s="1">
        <f t="shared" si="0"/>
        <v>395</v>
      </c>
      <c r="P21" s="14">
        <f t="shared" si="1"/>
        <v>56.428571428571431</v>
      </c>
      <c r="Q21" s="20">
        <f t="shared" si="2"/>
        <v>15</v>
      </c>
    </row>
    <row r="22" spans="1:17" ht="18" customHeight="1">
      <c r="A22" s="19">
        <v>16</v>
      </c>
      <c r="B22" s="2" t="s">
        <v>1271</v>
      </c>
      <c r="C22" s="1">
        <v>311260405</v>
      </c>
      <c r="D22" s="3" t="s">
        <v>1272</v>
      </c>
      <c r="E22" s="1" t="s">
        <v>69</v>
      </c>
      <c r="F22" s="10" t="s">
        <v>1140</v>
      </c>
      <c r="G22" s="2">
        <v>26</v>
      </c>
      <c r="H22" s="8">
        <v>60</v>
      </c>
      <c r="I22" s="8">
        <v>70</v>
      </c>
      <c r="J22" s="8">
        <v>50</v>
      </c>
      <c r="K22" s="8">
        <v>50</v>
      </c>
      <c r="L22" s="8">
        <v>80</v>
      </c>
      <c r="M22" s="8">
        <v>65</v>
      </c>
      <c r="N22" s="8">
        <v>75</v>
      </c>
      <c r="O22" s="1">
        <f t="shared" si="0"/>
        <v>390</v>
      </c>
      <c r="P22" s="14">
        <f t="shared" si="1"/>
        <v>55.714285714285715</v>
      </c>
      <c r="Q22" s="20">
        <f t="shared" si="2"/>
        <v>16</v>
      </c>
    </row>
    <row r="23" spans="1:17" ht="18" customHeight="1">
      <c r="A23" s="19">
        <v>17</v>
      </c>
      <c r="B23" s="2" t="s">
        <v>1168</v>
      </c>
      <c r="C23" s="1" t="s">
        <v>1169</v>
      </c>
      <c r="D23" s="3" t="s">
        <v>83</v>
      </c>
      <c r="E23" s="1" t="s">
        <v>55</v>
      </c>
      <c r="F23" s="10" t="s">
        <v>1140</v>
      </c>
      <c r="G23" s="2">
        <v>24</v>
      </c>
      <c r="H23" s="8">
        <v>60</v>
      </c>
      <c r="I23" s="8">
        <v>73</v>
      </c>
      <c r="J23" s="8">
        <v>60</v>
      </c>
      <c r="K23" s="8">
        <v>50</v>
      </c>
      <c r="L23" s="8">
        <v>60</v>
      </c>
      <c r="M23" s="8">
        <v>55</v>
      </c>
      <c r="N23" s="8">
        <v>80</v>
      </c>
      <c r="O23" s="1">
        <f t="shared" si="0"/>
        <v>378</v>
      </c>
      <c r="P23" s="14">
        <f t="shared" si="1"/>
        <v>54</v>
      </c>
      <c r="Q23" s="20">
        <f t="shared" si="2"/>
        <v>17</v>
      </c>
    </row>
    <row r="24" spans="1:17" ht="18" customHeight="1">
      <c r="A24" s="19">
        <v>18</v>
      </c>
      <c r="B24" s="2" t="s">
        <v>1144</v>
      </c>
      <c r="C24" s="1" t="s">
        <v>1145</v>
      </c>
      <c r="D24" s="3" t="s">
        <v>1146</v>
      </c>
      <c r="E24" s="1" t="s">
        <v>81</v>
      </c>
      <c r="F24" s="10" t="s">
        <v>1140</v>
      </c>
      <c r="G24" s="2">
        <v>24</v>
      </c>
      <c r="H24" s="8">
        <v>55</v>
      </c>
      <c r="I24" s="8">
        <v>58</v>
      </c>
      <c r="J24" s="8">
        <v>70</v>
      </c>
      <c r="K24" s="8">
        <v>45</v>
      </c>
      <c r="L24" s="8">
        <v>75</v>
      </c>
      <c r="M24" s="8">
        <v>80</v>
      </c>
      <c r="N24" s="8">
        <v>35</v>
      </c>
      <c r="O24" s="1">
        <f t="shared" si="0"/>
        <v>363</v>
      </c>
      <c r="P24" s="14">
        <f t="shared" si="1"/>
        <v>51.857142857142854</v>
      </c>
      <c r="Q24" s="20">
        <f t="shared" si="2"/>
        <v>18</v>
      </c>
    </row>
    <row r="25" spans="1:17" ht="18" customHeight="1">
      <c r="A25" s="19">
        <v>19</v>
      </c>
      <c r="B25" s="2" t="s">
        <v>1257</v>
      </c>
      <c r="C25" s="1">
        <v>311260278</v>
      </c>
      <c r="D25" s="3" t="s">
        <v>1258</v>
      </c>
      <c r="E25" s="1" t="s">
        <v>56</v>
      </c>
      <c r="F25" s="10" t="s">
        <v>1140</v>
      </c>
      <c r="G25" s="2">
        <v>25</v>
      </c>
      <c r="H25" s="8">
        <v>55</v>
      </c>
      <c r="I25" s="8">
        <v>65</v>
      </c>
      <c r="J25" s="8">
        <v>45</v>
      </c>
      <c r="K25" s="8">
        <v>85</v>
      </c>
      <c r="L25" s="8">
        <v>35</v>
      </c>
      <c r="M25" s="8">
        <v>85</v>
      </c>
      <c r="N25" s="8">
        <v>45</v>
      </c>
      <c r="O25" s="1">
        <f t="shared" si="0"/>
        <v>360</v>
      </c>
      <c r="P25" s="14">
        <f t="shared" si="1"/>
        <v>51.428571428571431</v>
      </c>
      <c r="Q25" s="20">
        <f t="shared" si="2"/>
        <v>19</v>
      </c>
    </row>
    <row r="26" spans="1:17" ht="18" customHeight="1">
      <c r="A26" s="19">
        <v>20</v>
      </c>
      <c r="B26" s="2" t="s">
        <v>1162</v>
      </c>
      <c r="C26" s="1" t="s">
        <v>1163</v>
      </c>
      <c r="D26" s="3" t="s">
        <v>1164</v>
      </c>
      <c r="E26" s="1" t="s">
        <v>55</v>
      </c>
      <c r="F26" s="10" t="s">
        <v>1140</v>
      </c>
      <c r="G26" s="2">
        <v>24</v>
      </c>
      <c r="H26" s="8">
        <v>85</v>
      </c>
      <c r="I26" s="8">
        <v>65</v>
      </c>
      <c r="J26" s="8">
        <v>45</v>
      </c>
      <c r="K26" s="8">
        <v>50</v>
      </c>
      <c r="L26" s="8">
        <v>55</v>
      </c>
      <c r="M26" s="8">
        <v>60</v>
      </c>
      <c r="N26" s="8">
        <v>70</v>
      </c>
      <c r="O26" s="1">
        <f t="shared" si="0"/>
        <v>345</v>
      </c>
      <c r="P26" s="14">
        <f t="shared" si="1"/>
        <v>49.285714285714285</v>
      </c>
      <c r="Q26" s="20">
        <f t="shared" si="2"/>
        <v>20</v>
      </c>
    </row>
    <row r="27" spans="1:17" ht="18" customHeight="1">
      <c r="A27" s="19">
        <v>21</v>
      </c>
      <c r="B27" s="2" t="s">
        <v>1279</v>
      </c>
      <c r="C27" s="1">
        <v>311260409</v>
      </c>
      <c r="D27" s="3" t="s">
        <v>1280</v>
      </c>
      <c r="E27" s="1" t="s">
        <v>70</v>
      </c>
      <c r="F27" s="10" t="s">
        <v>1140</v>
      </c>
      <c r="G27" s="2">
        <v>26</v>
      </c>
      <c r="H27" s="8">
        <v>40</v>
      </c>
      <c r="I27" s="8">
        <v>63</v>
      </c>
      <c r="J27" s="8">
        <v>45</v>
      </c>
      <c r="K27" s="8">
        <v>70</v>
      </c>
      <c r="L27" s="8">
        <v>65</v>
      </c>
      <c r="M27" s="8">
        <v>65</v>
      </c>
      <c r="N27" s="8">
        <v>35</v>
      </c>
      <c r="O27" s="1">
        <f t="shared" si="0"/>
        <v>343</v>
      </c>
      <c r="P27" s="14">
        <f t="shared" si="1"/>
        <v>49</v>
      </c>
      <c r="Q27" s="20">
        <f t="shared" si="2"/>
        <v>21</v>
      </c>
    </row>
    <row r="28" spans="1:17" ht="18" customHeight="1">
      <c r="A28" s="19">
        <v>22</v>
      </c>
      <c r="B28" s="2" t="s">
        <v>1251</v>
      </c>
      <c r="C28" s="1" t="s">
        <v>1252</v>
      </c>
      <c r="D28" s="3" t="s">
        <v>1253</v>
      </c>
      <c r="E28" s="1" t="s">
        <v>85</v>
      </c>
      <c r="F28" s="10" t="s">
        <v>1140</v>
      </c>
      <c r="G28" s="2">
        <v>25</v>
      </c>
      <c r="H28" s="8"/>
      <c r="I28" s="8">
        <v>73</v>
      </c>
      <c r="J28" s="8">
        <v>45</v>
      </c>
      <c r="K28" s="8">
        <v>70</v>
      </c>
      <c r="L28" s="8">
        <v>30</v>
      </c>
      <c r="M28" s="8">
        <v>60</v>
      </c>
      <c r="N28" s="8">
        <v>65</v>
      </c>
      <c r="O28" s="1">
        <f t="shared" si="0"/>
        <v>343</v>
      </c>
      <c r="P28" s="14">
        <f t="shared" si="1"/>
        <v>49</v>
      </c>
      <c r="Q28" s="20">
        <f t="shared" si="2"/>
        <v>21</v>
      </c>
    </row>
    <row r="29" spans="1:17" ht="18" customHeight="1">
      <c r="A29" s="19">
        <v>23</v>
      </c>
      <c r="B29" s="2" t="s">
        <v>1287</v>
      </c>
      <c r="C29" s="1">
        <v>311260888</v>
      </c>
      <c r="D29" s="3" t="s">
        <v>1288</v>
      </c>
      <c r="E29" s="1" t="s">
        <v>79</v>
      </c>
      <c r="F29" s="10" t="s">
        <v>1140</v>
      </c>
      <c r="G29" s="2">
        <v>26</v>
      </c>
      <c r="H29" s="8">
        <v>50</v>
      </c>
      <c r="I29" s="8">
        <v>58</v>
      </c>
      <c r="J29" s="8">
        <v>80</v>
      </c>
      <c r="K29" s="8">
        <v>50</v>
      </c>
      <c r="L29" s="8">
        <v>35</v>
      </c>
      <c r="M29" s="8">
        <v>75</v>
      </c>
      <c r="N29" s="8">
        <v>40</v>
      </c>
      <c r="O29" s="1">
        <f t="shared" si="0"/>
        <v>338</v>
      </c>
      <c r="P29" s="14">
        <f t="shared" si="1"/>
        <v>48.285714285714285</v>
      </c>
      <c r="Q29" s="20">
        <f t="shared" si="2"/>
        <v>23</v>
      </c>
    </row>
    <row r="30" spans="1:17" ht="18" customHeight="1">
      <c r="A30" s="19">
        <v>24</v>
      </c>
      <c r="B30" s="2" t="s">
        <v>1209</v>
      </c>
      <c r="C30" s="1" t="s">
        <v>1210</v>
      </c>
      <c r="D30" s="3" t="s">
        <v>1211</v>
      </c>
      <c r="E30" s="1" t="s">
        <v>84</v>
      </c>
      <c r="F30" s="10" t="s">
        <v>1140</v>
      </c>
      <c r="G30" s="2">
        <v>25</v>
      </c>
      <c r="H30" s="8">
        <v>70</v>
      </c>
      <c r="I30" s="8">
        <v>58</v>
      </c>
      <c r="J30" s="8">
        <v>30</v>
      </c>
      <c r="K30" s="8">
        <v>55</v>
      </c>
      <c r="L30" s="8">
        <v>50</v>
      </c>
      <c r="M30" s="8">
        <v>60</v>
      </c>
      <c r="N30" s="8">
        <v>75</v>
      </c>
      <c r="O30" s="1">
        <f t="shared" si="0"/>
        <v>328</v>
      </c>
      <c r="P30" s="14">
        <f t="shared" si="1"/>
        <v>46.857142857142854</v>
      </c>
      <c r="Q30" s="20">
        <f t="shared" si="2"/>
        <v>24</v>
      </c>
    </row>
    <row r="31" spans="1:17" ht="18" customHeight="1">
      <c r="A31" s="19">
        <v>25</v>
      </c>
      <c r="B31" s="2" t="s">
        <v>1227</v>
      </c>
      <c r="C31" s="1" t="s">
        <v>1228</v>
      </c>
      <c r="D31" s="3" t="s">
        <v>1229</v>
      </c>
      <c r="E31" s="1" t="s">
        <v>64</v>
      </c>
      <c r="F31" s="10" t="s">
        <v>1140</v>
      </c>
      <c r="G31" s="2">
        <v>25</v>
      </c>
      <c r="H31" s="8">
        <v>55</v>
      </c>
      <c r="I31" s="8">
        <v>63</v>
      </c>
      <c r="J31" s="8">
        <v>70</v>
      </c>
      <c r="K31" s="8">
        <v>50</v>
      </c>
      <c r="L31" s="8">
        <v>40</v>
      </c>
      <c r="M31" s="8">
        <v>30</v>
      </c>
      <c r="N31" s="8">
        <v>70</v>
      </c>
      <c r="O31" s="1">
        <f t="shared" si="0"/>
        <v>323</v>
      </c>
      <c r="P31" s="14">
        <f t="shared" si="1"/>
        <v>46.142857142857146</v>
      </c>
      <c r="Q31" s="20">
        <f t="shared" si="2"/>
        <v>25</v>
      </c>
    </row>
    <row r="32" spans="1:17" ht="18" customHeight="1">
      <c r="A32" s="19">
        <v>26</v>
      </c>
      <c r="B32" s="2" t="s">
        <v>1215</v>
      </c>
      <c r="C32" s="1" t="s">
        <v>1216</v>
      </c>
      <c r="D32" s="3" t="s">
        <v>1217</v>
      </c>
      <c r="E32" s="1" t="s">
        <v>84</v>
      </c>
      <c r="F32" s="10" t="s">
        <v>1140</v>
      </c>
      <c r="G32" s="2">
        <v>25</v>
      </c>
      <c r="H32" s="8">
        <v>55</v>
      </c>
      <c r="I32" s="8">
        <v>65</v>
      </c>
      <c r="J32" s="8">
        <v>30</v>
      </c>
      <c r="K32" s="8">
        <v>55</v>
      </c>
      <c r="L32" s="8">
        <v>50</v>
      </c>
      <c r="M32" s="8">
        <v>65</v>
      </c>
      <c r="N32" s="8">
        <v>55</v>
      </c>
      <c r="O32" s="1">
        <f t="shared" si="0"/>
        <v>320</v>
      </c>
      <c r="P32" s="14">
        <f t="shared" si="1"/>
        <v>45.714285714285715</v>
      </c>
      <c r="Q32" s="20">
        <f t="shared" si="2"/>
        <v>26</v>
      </c>
    </row>
    <row r="33" spans="1:17" ht="18" customHeight="1">
      <c r="A33" s="19">
        <v>27</v>
      </c>
      <c r="B33" s="2" t="s">
        <v>1212</v>
      </c>
      <c r="C33" s="1" t="s">
        <v>1213</v>
      </c>
      <c r="D33" s="3" t="s">
        <v>1214</v>
      </c>
      <c r="E33" s="1" t="s">
        <v>84</v>
      </c>
      <c r="F33" s="10" t="s">
        <v>1140</v>
      </c>
      <c r="G33" s="2">
        <v>25</v>
      </c>
      <c r="H33" s="8">
        <v>75</v>
      </c>
      <c r="I33" s="8">
        <v>53</v>
      </c>
      <c r="J33" s="8">
        <v>45</v>
      </c>
      <c r="K33" s="8">
        <v>80</v>
      </c>
      <c r="L33" s="8">
        <v>60</v>
      </c>
      <c r="M33" s="8">
        <v>70</v>
      </c>
      <c r="N33" s="8">
        <v>5</v>
      </c>
      <c r="O33" s="1">
        <f t="shared" si="0"/>
        <v>313</v>
      </c>
      <c r="P33" s="14">
        <f t="shared" si="1"/>
        <v>44.714285714285715</v>
      </c>
      <c r="Q33" s="20">
        <f t="shared" si="2"/>
        <v>27</v>
      </c>
    </row>
    <row r="34" spans="1:17" ht="18" customHeight="1">
      <c r="A34" s="19">
        <v>28</v>
      </c>
      <c r="B34" s="2" t="s">
        <v>1245</v>
      </c>
      <c r="C34" s="1" t="s">
        <v>1246</v>
      </c>
      <c r="D34" s="3" t="s">
        <v>1247</v>
      </c>
      <c r="E34" s="1" t="s">
        <v>85</v>
      </c>
      <c r="F34" s="10" t="s">
        <v>1140</v>
      </c>
      <c r="G34" s="2">
        <v>25</v>
      </c>
      <c r="H34" s="8">
        <v>55</v>
      </c>
      <c r="I34" s="8">
        <v>68</v>
      </c>
      <c r="J34" s="8">
        <v>35</v>
      </c>
      <c r="K34" s="8">
        <v>50</v>
      </c>
      <c r="L34" s="8">
        <v>55</v>
      </c>
      <c r="M34" s="8">
        <v>35</v>
      </c>
      <c r="N34" s="8">
        <v>70</v>
      </c>
      <c r="O34" s="1">
        <f t="shared" si="0"/>
        <v>313</v>
      </c>
      <c r="P34" s="14">
        <f t="shared" si="1"/>
        <v>44.714285714285715</v>
      </c>
      <c r="Q34" s="20">
        <f t="shared" si="2"/>
        <v>27</v>
      </c>
    </row>
    <row r="35" spans="1:17" ht="18" customHeight="1">
      <c r="A35" s="19">
        <v>29</v>
      </c>
      <c r="B35" s="2" t="s">
        <v>1179</v>
      </c>
      <c r="C35" s="1" t="s">
        <v>1180</v>
      </c>
      <c r="D35" s="3" t="s">
        <v>1181</v>
      </c>
      <c r="E35" s="1" t="s">
        <v>71</v>
      </c>
      <c r="F35" s="10" t="s">
        <v>1140</v>
      </c>
      <c r="G35" s="2">
        <v>24</v>
      </c>
      <c r="H35" s="8">
        <v>50</v>
      </c>
      <c r="I35" s="8">
        <v>60</v>
      </c>
      <c r="J35" s="8">
        <v>45</v>
      </c>
      <c r="K35" s="8">
        <v>65</v>
      </c>
      <c r="L35" s="8">
        <v>55</v>
      </c>
      <c r="M35" s="8">
        <v>60</v>
      </c>
      <c r="N35" s="8">
        <v>25</v>
      </c>
      <c r="O35" s="1">
        <f t="shared" si="0"/>
        <v>310</v>
      </c>
      <c r="P35" s="14">
        <f t="shared" si="1"/>
        <v>44.285714285714285</v>
      </c>
      <c r="Q35" s="20">
        <f t="shared" si="2"/>
        <v>29</v>
      </c>
    </row>
    <row r="36" spans="1:17" ht="18" customHeight="1">
      <c r="A36" s="19">
        <v>30</v>
      </c>
      <c r="B36" s="2" t="s">
        <v>1236</v>
      </c>
      <c r="C36" s="1" t="s">
        <v>1237</v>
      </c>
      <c r="D36" s="3" t="s">
        <v>1238</v>
      </c>
      <c r="E36" s="1" t="s">
        <v>75</v>
      </c>
      <c r="F36" s="10" t="s">
        <v>1140</v>
      </c>
      <c r="G36" s="2">
        <v>25</v>
      </c>
      <c r="H36" s="8">
        <v>35</v>
      </c>
      <c r="I36" s="8">
        <v>75</v>
      </c>
      <c r="J36" s="8">
        <v>35</v>
      </c>
      <c r="K36" s="8">
        <v>65</v>
      </c>
      <c r="L36" s="8">
        <v>30</v>
      </c>
      <c r="M36" s="8">
        <v>25</v>
      </c>
      <c r="N36" s="8">
        <v>80</v>
      </c>
      <c r="O36" s="1">
        <f t="shared" si="0"/>
        <v>310</v>
      </c>
      <c r="P36" s="14">
        <f t="shared" si="1"/>
        <v>44.285714285714285</v>
      </c>
      <c r="Q36" s="20">
        <f t="shared" si="2"/>
        <v>29</v>
      </c>
    </row>
    <row r="37" spans="1:17" ht="18" customHeight="1">
      <c r="A37" s="19">
        <v>31</v>
      </c>
      <c r="B37" s="2" t="s">
        <v>1221</v>
      </c>
      <c r="C37" s="1" t="s">
        <v>1222</v>
      </c>
      <c r="D37" s="3" t="s">
        <v>1223</v>
      </c>
      <c r="E37" s="1" t="s">
        <v>84</v>
      </c>
      <c r="F37" s="10" t="s">
        <v>1140</v>
      </c>
      <c r="G37" s="2">
        <v>25</v>
      </c>
      <c r="H37" s="8">
        <v>65</v>
      </c>
      <c r="I37" s="8">
        <v>65</v>
      </c>
      <c r="J37" s="8">
        <v>45</v>
      </c>
      <c r="K37" s="8">
        <v>45</v>
      </c>
      <c r="L37" s="8">
        <v>35</v>
      </c>
      <c r="M37" s="8">
        <v>65</v>
      </c>
      <c r="N37" s="8">
        <v>50</v>
      </c>
      <c r="O37" s="1">
        <f t="shared" si="0"/>
        <v>305</v>
      </c>
      <c r="P37" s="14">
        <f t="shared" si="1"/>
        <v>43.571428571428569</v>
      </c>
      <c r="Q37" s="20">
        <f t="shared" si="2"/>
        <v>31</v>
      </c>
    </row>
    <row r="38" spans="1:17" ht="18" customHeight="1">
      <c r="A38" s="19">
        <v>32</v>
      </c>
      <c r="B38" s="2" t="s">
        <v>1165</v>
      </c>
      <c r="C38" s="1" t="s">
        <v>1166</v>
      </c>
      <c r="D38" s="3" t="s">
        <v>1167</v>
      </c>
      <c r="E38" s="1" t="s">
        <v>55</v>
      </c>
      <c r="F38" s="10" t="s">
        <v>1140</v>
      </c>
      <c r="G38" s="2">
        <v>24</v>
      </c>
      <c r="H38" s="8">
        <v>55</v>
      </c>
      <c r="I38" s="8">
        <v>58</v>
      </c>
      <c r="J38" s="8">
        <v>30</v>
      </c>
      <c r="K38" s="8">
        <v>50</v>
      </c>
      <c r="L38" s="8">
        <v>35</v>
      </c>
      <c r="M38" s="8">
        <v>45</v>
      </c>
      <c r="N38" s="8">
        <v>85</v>
      </c>
      <c r="O38" s="1">
        <f t="shared" si="0"/>
        <v>303</v>
      </c>
      <c r="P38" s="14">
        <f t="shared" si="1"/>
        <v>43.285714285714285</v>
      </c>
      <c r="Q38" s="20">
        <f t="shared" si="2"/>
        <v>32</v>
      </c>
    </row>
    <row r="39" spans="1:17" ht="18" customHeight="1">
      <c r="A39" s="19">
        <v>33</v>
      </c>
      <c r="B39" s="2" t="s">
        <v>1218</v>
      </c>
      <c r="C39" s="1" t="s">
        <v>1219</v>
      </c>
      <c r="D39" s="3" t="s">
        <v>1220</v>
      </c>
      <c r="E39" s="1" t="s">
        <v>84</v>
      </c>
      <c r="F39" s="10" t="s">
        <v>1140</v>
      </c>
      <c r="G39" s="2">
        <v>25</v>
      </c>
      <c r="H39" s="8">
        <v>55</v>
      </c>
      <c r="I39" s="8">
        <v>53</v>
      </c>
      <c r="J39" s="8">
        <v>30</v>
      </c>
      <c r="K39" s="8">
        <v>50</v>
      </c>
      <c r="L39" s="8">
        <v>55</v>
      </c>
      <c r="M39" s="8">
        <v>70</v>
      </c>
      <c r="N39" s="8">
        <v>45</v>
      </c>
      <c r="O39" s="1">
        <f t="shared" ref="O39:O67" si="3">SUBTOTAL(9,I39:N39)</f>
        <v>303</v>
      </c>
      <c r="P39" s="14">
        <f t="shared" ref="P39:P67" si="4">O39/7</f>
        <v>43.285714285714285</v>
      </c>
      <c r="Q39" s="20">
        <f t="shared" ref="Q39:Q67" si="5">RANK(P39,P$7:P$311,0)</f>
        <v>32</v>
      </c>
    </row>
    <row r="40" spans="1:17" ht="18" customHeight="1">
      <c r="A40" s="19">
        <v>34</v>
      </c>
      <c r="B40" s="2" t="s">
        <v>1206</v>
      </c>
      <c r="C40" s="1" t="s">
        <v>1207</v>
      </c>
      <c r="D40" s="3" t="s">
        <v>1208</v>
      </c>
      <c r="E40" s="1" t="s">
        <v>77</v>
      </c>
      <c r="F40" s="10" t="s">
        <v>1140</v>
      </c>
      <c r="G40" s="2">
        <v>25</v>
      </c>
      <c r="H40" s="8">
        <v>45</v>
      </c>
      <c r="I40" s="8">
        <v>55</v>
      </c>
      <c r="J40" s="8">
        <v>60</v>
      </c>
      <c r="K40" s="8">
        <v>35</v>
      </c>
      <c r="L40" s="8">
        <v>45</v>
      </c>
      <c r="M40" s="8">
        <v>65</v>
      </c>
      <c r="N40" s="8">
        <v>35</v>
      </c>
      <c r="O40" s="1">
        <f t="shared" si="3"/>
        <v>295</v>
      </c>
      <c r="P40" s="14">
        <f t="shared" si="4"/>
        <v>42.142857142857146</v>
      </c>
      <c r="Q40" s="20">
        <f t="shared" si="5"/>
        <v>34</v>
      </c>
    </row>
    <row r="41" spans="1:17" ht="18" customHeight="1">
      <c r="A41" s="19">
        <v>35</v>
      </c>
      <c r="B41" s="2" t="s">
        <v>1230</v>
      </c>
      <c r="C41" s="1" t="s">
        <v>1231</v>
      </c>
      <c r="D41" s="3" t="s">
        <v>1232</v>
      </c>
      <c r="E41" s="1" t="s">
        <v>65</v>
      </c>
      <c r="F41" s="10" t="s">
        <v>1140</v>
      </c>
      <c r="G41" s="2">
        <v>25</v>
      </c>
      <c r="H41" s="8">
        <v>55</v>
      </c>
      <c r="I41" s="8">
        <v>43</v>
      </c>
      <c r="J41" s="8">
        <v>35</v>
      </c>
      <c r="K41" s="8">
        <v>75</v>
      </c>
      <c r="L41" s="8">
        <v>40</v>
      </c>
      <c r="M41" s="8">
        <v>50</v>
      </c>
      <c r="N41" s="8">
        <v>40</v>
      </c>
      <c r="O41" s="1">
        <f t="shared" si="3"/>
        <v>283</v>
      </c>
      <c r="P41" s="14">
        <f t="shared" si="4"/>
        <v>40.428571428571431</v>
      </c>
      <c r="Q41" s="20">
        <f t="shared" si="5"/>
        <v>35</v>
      </c>
    </row>
    <row r="42" spans="1:17" ht="18" customHeight="1">
      <c r="A42" s="19">
        <v>36</v>
      </c>
      <c r="B42" s="2" t="s">
        <v>1295</v>
      </c>
      <c r="C42" s="1">
        <v>311260892</v>
      </c>
      <c r="D42" s="3" t="s">
        <v>1296</v>
      </c>
      <c r="E42" s="1" t="s">
        <v>74</v>
      </c>
      <c r="F42" s="10" t="s">
        <v>1140</v>
      </c>
      <c r="G42" s="2">
        <v>26</v>
      </c>
      <c r="H42" s="8">
        <v>55</v>
      </c>
      <c r="I42" s="8">
        <v>25</v>
      </c>
      <c r="J42" s="8">
        <v>55</v>
      </c>
      <c r="K42" s="8">
        <v>20</v>
      </c>
      <c r="L42" s="8">
        <v>60</v>
      </c>
      <c r="M42" s="8">
        <v>55</v>
      </c>
      <c r="N42" s="8">
        <v>65</v>
      </c>
      <c r="O42" s="1">
        <f t="shared" si="3"/>
        <v>280</v>
      </c>
      <c r="P42" s="14">
        <f t="shared" si="4"/>
        <v>40</v>
      </c>
      <c r="Q42" s="20">
        <f t="shared" si="5"/>
        <v>36</v>
      </c>
    </row>
    <row r="43" spans="1:17" ht="18" customHeight="1">
      <c r="A43" s="19">
        <v>37</v>
      </c>
      <c r="B43" s="2" t="s">
        <v>1159</v>
      </c>
      <c r="C43" s="1" t="s">
        <v>1160</v>
      </c>
      <c r="D43" s="3" t="s">
        <v>1161</v>
      </c>
      <c r="E43" s="1" t="s">
        <v>55</v>
      </c>
      <c r="F43" s="10" t="s">
        <v>1140</v>
      </c>
      <c r="G43" s="2">
        <v>24</v>
      </c>
      <c r="H43" s="8">
        <v>25</v>
      </c>
      <c r="I43" s="8">
        <v>78</v>
      </c>
      <c r="J43" s="8">
        <v>35</v>
      </c>
      <c r="K43" s="8">
        <v>60</v>
      </c>
      <c r="L43" s="8">
        <v>40</v>
      </c>
      <c r="M43" s="8">
        <v>30</v>
      </c>
      <c r="N43" s="8">
        <v>30</v>
      </c>
      <c r="O43" s="1">
        <f t="shared" si="3"/>
        <v>273</v>
      </c>
      <c r="P43" s="14">
        <f t="shared" si="4"/>
        <v>39</v>
      </c>
      <c r="Q43" s="20">
        <f t="shared" si="5"/>
        <v>37</v>
      </c>
    </row>
    <row r="44" spans="1:17" ht="18" customHeight="1">
      <c r="A44" s="19">
        <v>38</v>
      </c>
      <c r="B44" s="2" t="s">
        <v>1173</v>
      </c>
      <c r="C44" s="1" t="s">
        <v>1174</v>
      </c>
      <c r="D44" s="3" t="s">
        <v>1175</v>
      </c>
      <c r="E44" s="1" t="s">
        <v>71</v>
      </c>
      <c r="F44" s="10" t="s">
        <v>1140</v>
      </c>
      <c r="G44" s="2">
        <v>24</v>
      </c>
      <c r="H44" s="8">
        <v>55</v>
      </c>
      <c r="I44" s="8">
        <v>60</v>
      </c>
      <c r="J44" s="8">
        <v>35</v>
      </c>
      <c r="K44" s="8">
        <v>55</v>
      </c>
      <c r="L44" s="8">
        <v>20</v>
      </c>
      <c r="M44" s="8">
        <v>40</v>
      </c>
      <c r="N44" s="8">
        <v>60</v>
      </c>
      <c r="O44" s="1">
        <f t="shared" si="3"/>
        <v>270</v>
      </c>
      <c r="P44" s="14">
        <f t="shared" si="4"/>
        <v>38.571428571428569</v>
      </c>
      <c r="Q44" s="20">
        <f t="shared" si="5"/>
        <v>38</v>
      </c>
    </row>
    <row r="45" spans="1:17" ht="18" customHeight="1">
      <c r="A45" s="19">
        <v>39</v>
      </c>
      <c r="B45" s="2" t="s">
        <v>1263</v>
      </c>
      <c r="C45" s="1">
        <v>311260281</v>
      </c>
      <c r="D45" s="3" t="s">
        <v>1264</v>
      </c>
      <c r="E45" s="1" t="s">
        <v>64</v>
      </c>
      <c r="F45" s="10" t="s">
        <v>1140</v>
      </c>
      <c r="G45" s="2">
        <v>25</v>
      </c>
      <c r="H45" s="8">
        <v>75</v>
      </c>
      <c r="I45" s="8">
        <v>40</v>
      </c>
      <c r="J45" s="8">
        <v>55</v>
      </c>
      <c r="K45" s="8">
        <v>60</v>
      </c>
      <c r="L45" s="8">
        <v>50</v>
      </c>
      <c r="M45" s="8">
        <v>65</v>
      </c>
      <c r="N45" s="8">
        <v>0</v>
      </c>
      <c r="O45" s="1">
        <f t="shared" si="3"/>
        <v>270</v>
      </c>
      <c r="P45" s="14">
        <f t="shared" si="4"/>
        <v>38.571428571428569</v>
      </c>
      <c r="Q45" s="20">
        <f t="shared" si="5"/>
        <v>38</v>
      </c>
    </row>
    <row r="46" spans="1:17" ht="18" customHeight="1">
      <c r="A46" s="19">
        <v>40</v>
      </c>
      <c r="B46" s="2" t="s">
        <v>1156</v>
      </c>
      <c r="C46" s="1" t="s">
        <v>1157</v>
      </c>
      <c r="D46" s="3" t="s">
        <v>1158</v>
      </c>
      <c r="E46" s="1" t="s">
        <v>69</v>
      </c>
      <c r="F46" s="10" t="s">
        <v>1140</v>
      </c>
      <c r="G46" s="2">
        <v>24</v>
      </c>
      <c r="H46" s="8">
        <v>50</v>
      </c>
      <c r="I46" s="8">
        <v>68</v>
      </c>
      <c r="J46" s="8">
        <v>35</v>
      </c>
      <c r="K46" s="8">
        <v>80</v>
      </c>
      <c r="L46" s="8">
        <v>35</v>
      </c>
      <c r="M46" s="8">
        <v>40</v>
      </c>
      <c r="N46" s="8">
        <v>5</v>
      </c>
      <c r="O46" s="1">
        <f t="shared" si="3"/>
        <v>263</v>
      </c>
      <c r="P46" s="14">
        <f t="shared" si="4"/>
        <v>37.571428571428569</v>
      </c>
      <c r="Q46" s="20">
        <f t="shared" si="5"/>
        <v>40</v>
      </c>
    </row>
    <row r="47" spans="1:17" ht="18" customHeight="1">
      <c r="A47" s="19">
        <v>41</v>
      </c>
      <c r="B47" s="2" t="s">
        <v>1281</v>
      </c>
      <c r="C47" s="1">
        <v>311260885</v>
      </c>
      <c r="D47" s="3" t="s">
        <v>1282</v>
      </c>
      <c r="E47" s="1" t="s">
        <v>55</v>
      </c>
      <c r="F47" s="10" t="s">
        <v>1140</v>
      </c>
      <c r="G47" s="2">
        <v>26</v>
      </c>
      <c r="H47" s="8">
        <v>55</v>
      </c>
      <c r="I47" s="8">
        <v>53</v>
      </c>
      <c r="J47" s="8">
        <v>20</v>
      </c>
      <c r="K47" s="8">
        <v>40</v>
      </c>
      <c r="L47" s="8">
        <v>20</v>
      </c>
      <c r="M47" s="8">
        <v>45</v>
      </c>
      <c r="N47" s="8">
        <v>75</v>
      </c>
      <c r="O47" s="1">
        <f t="shared" si="3"/>
        <v>253</v>
      </c>
      <c r="P47" s="14">
        <f t="shared" si="4"/>
        <v>36.142857142857146</v>
      </c>
      <c r="Q47" s="20">
        <f t="shared" si="5"/>
        <v>41</v>
      </c>
    </row>
    <row r="48" spans="1:17" ht="18" customHeight="1">
      <c r="A48" s="19">
        <v>42</v>
      </c>
      <c r="B48" s="2" t="s">
        <v>1293</v>
      </c>
      <c r="C48" s="1">
        <v>311260891</v>
      </c>
      <c r="D48" s="3" t="s">
        <v>1294</v>
      </c>
      <c r="E48" s="1" t="s">
        <v>80</v>
      </c>
      <c r="F48" s="10" t="s">
        <v>1140</v>
      </c>
      <c r="G48" s="2">
        <v>26</v>
      </c>
      <c r="H48" s="8">
        <v>75</v>
      </c>
      <c r="I48" s="8">
        <v>70</v>
      </c>
      <c r="J48" s="8">
        <v>35</v>
      </c>
      <c r="K48" s="8">
        <v>25</v>
      </c>
      <c r="L48" s="8">
        <v>75</v>
      </c>
      <c r="M48" s="8"/>
      <c r="N48" s="8">
        <v>45</v>
      </c>
      <c r="O48" s="1">
        <f t="shared" si="3"/>
        <v>250</v>
      </c>
      <c r="P48" s="14">
        <f t="shared" si="4"/>
        <v>35.714285714285715</v>
      </c>
      <c r="Q48" s="20">
        <f t="shared" si="5"/>
        <v>42</v>
      </c>
    </row>
    <row r="49" spans="1:17" ht="18" customHeight="1">
      <c r="A49" s="19">
        <v>43</v>
      </c>
      <c r="B49" s="2" t="s">
        <v>1267</v>
      </c>
      <c r="C49" s="1">
        <v>311260283</v>
      </c>
      <c r="D49" s="3" t="s">
        <v>1268</v>
      </c>
      <c r="E49" s="1" t="s">
        <v>67</v>
      </c>
      <c r="F49" s="10" t="s">
        <v>1140</v>
      </c>
      <c r="G49" s="2">
        <v>25</v>
      </c>
      <c r="H49" s="8">
        <v>45</v>
      </c>
      <c r="I49" s="8">
        <v>60</v>
      </c>
      <c r="J49" s="8">
        <v>30</v>
      </c>
      <c r="K49" s="8">
        <v>35</v>
      </c>
      <c r="L49" s="8">
        <v>40</v>
      </c>
      <c r="M49" s="8">
        <v>75</v>
      </c>
      <c r="N49" s="8">
        <v>10</v>
      </c>
      <c r="O49" s="1">
        <f t="shared" si="3"/>
        <v>250</v>
      </c>
      <c r="P49" s="14">
        <f t="shared" si="4"/>
        <v>35.714285714285715</v>
      </c>
      <c r="Q49" s="20">
        <f t="shared" si="5"/>
        <v>42</v>
      </c>
    </row>
    <row r="50" spans="1:17" ht="18" customHeight="1">
      <c r="A50" s="19">
        <v>44</v>
      </c>
      <c r="B50" s="2" t="s">
        <v>1191</v>
      </c>
      <c r="C50" s="1" t="s">
        <v>1192</v>
      </c>
      <c r="D50" s="3" t="s">
        <v>1193</v>
      </c>
      <c r="E50" s="1" t="s">
        <v>59</v>
      </c>
      <c r="F50" s="10" t="s">
        <v>1140</v>
      </c>
      <c r="G50" s="2">
        <v>24</v>
      </c>
      <c r="H50" s="8">
        <v>50</v>
      </c>
      <c r="I50" s="8">
        <v>58</v>
      </c>
      <c r="J50" s="8">
        <v>65</v>
      </c>
      <c r="K50" s="8">
        <v>35</v>
      </c>
      <c r="L50" s="8">
        <v>25</v>
      </c>
      <c r="M50" s="8">
        <v>65</v>
      </c>
      <c r="N50" s="8">
        <v>0</v>
      </c>
      <c r="O50" s="1">
        <f t="shared" si="3"/>
        <v>248</v>
      </c>
      <c r="P50" s="14">
        <f t="shared" si="4"/>
        <v>35.428571428571431</v>
      </c>
      <c r="Q50" s="20">
        <f t="shared" si="5"/>
        <v>44</v>
      </c>
    </row>
    <row r="51" spans="1:17" ht="18" customHeight="1">
      <c r="A51" s="19">
        <v>45</v>
      </c>
      <c r="B51" s="2" t="s">
        <v>1248</v>
      </c>
      <c r="C51" s="1" t="s">
        <v>1249</v>
      </c>
      <c r="D51" s="3" t="s">
        <v>1250</v>
      </c>
      <c r="E51" s="1" t="s">
        <v>85</v>
      </c>
      <c r="F51" s="10" t="s">
        <v>1140</v>
      </c>
      <c r="G51" s="2">
        <v>25</v>
      </c>
      <c r="H51" s="8">
        <v>60</v>
      </c>
      <c r="I51" s="8">
        <v>58</v>
      </c>
      <c r="J51" s="8">
        <v>25</v>
      </c>
      <c r="K51" s="8">
        <v>85</v>
      </c>
      <c r="L51" s="8">
        <v>30</v>
      </c>
      <c r="M51" s="8"/>
      <c r="N51" s="8">
        <v>50</v>
      </c>
      <c r="O51" s="1">
        <f t="shared" si="3"/>
        <v>248</v>
      </c>
      <c r="P51" s="14">
        <f t="shared" si="4"/>
        <v>35.428571428571431</v>
      </c>
      <c r="Q51" s="20">
        <f t="shared" si="5"/>
        <v>44</v>
      </c>
    </row>
    <row r="52" spans="1:17" ht="18" customHeight="1">
      <c r="A52" s="19">
        <v>46</v>
      </c>
      <c r="B52" s="2" t="s">
        <v>1297</v>
      </c>
      <c r="C52" s="1">
        <v>311260959</v>
      </c>
      <c r="D52" s="3" t="s">
        <v>1298</v>
      </c>
      <c r="E52" s="1" t="s">
        <v>58</v>
      </c>
      <c r="F52" s="10" t="s">
        <v>1140</v>
      </c>
      <c r="G52" s="2">
        <v>26</v>
      </c>
      <c r="H52" s="8">
        <v>65</v>
      </c>
      <c r="I52" s="8">
        <v>55</v>
      </c>
      <c r="J52" s="8">
        <v>45</v>
      </c>
      <c r="K52" s="8">
        <v>45</v>
      </c>
      <c r="L52" s="8">
        <v>40</v>
      </c>
      <c r="M52" s="8">
        <v>40</v>
      </c>
      <c r="N52" s="8">
        <v>10</v>
      </c>
      <c r="O52" s="1">
        <f t="shared" si="3"/>
        <v>235</v>
      </c>
      <c r="P52" s="14">
        <f t="shared" si="4"/>
        <v>33.571428571428569</v>
      </c>
      <c r="Q52" s="20">
        <f t="shared" si="5"/>
        <v>46</v>
      </c>
    </row>
    <row r="53" spans="1:17" ht="18" customHeight="1">
      <c r="A53" s="19">
        <v>47</v>
      </c>
      <c r="B53" s="2" t="s">
        <v>1141</v>
      </c>
      <c r="C53" s="1" t="s">
        <v>1142</v>
      </c>
      <c r="D53" s="3" t="s">
        <v>1143</v>
      </c>
      <c r="E53" s="1" t="s">
        <v>81</v>
      </c>
      <c r="F53" s="10" t="s">
        <v>1140</v>
      </c>
      <c r="G53" s="2">
        <v>24</v>
      </c>
      <c r="H53" s="8">
        <v>60</v>
      </c>
      <c r="I53" s="8">
        <v>65</v>
      </c>
      <c r="J53" s="8">
        <v>35</v>
      </c>
      <c r="K53" s="8">
        <v>20</v>
      </c>
      <c r="L53" s="8">
        <v>30</v>
      </c>
      <c r="M53" s="8">
        <v>60</v>
      </c>
      <c r="N53" s="8">
        <v>20</v>
      </c>
      <c r="O53" s="1">
        <f t="shared" si="3"/>
        <v>230</v>
      </c>
      <c r="P53" s="14">
        <f t="shared" si="4"/>
        <v>32.857142857142854</v>
      </c>
      <c r="Q53" s="20">
        <f t="shared" si="5"/>
        <v>47</v>
      </c>
    </row>
    <row r="54" spans="1:17" ht="18" customHeight="1">
      <c r="A54" s="19">
        <v>48</v>
      </c>
      <c r="B54" s="2" t="s">
        <v>1261</v>
      </c>
      <c r="C54" s="1">
        <v>311260280</v>
      </c>
      <c r="D54" s="3" t="s">
        <v>1262</v>
      </c>
      <c r="E54" s="1" t="s">
        <v>64</v>
      </c>
      <c r="F54" s="10" t="s">
        <v>1140</v>
      </c>
      <c r="G54" s="2">
        <v>25</v>
      </c>
      <c r="H54" s="8">
        <v>60</v>
      </c>
      <c r="I54" s="8">
        <v>53</v>
      </c>
      <c r="J54" s="8">
        <v>30</v>
      </c>
      <c r="K54" s="8">
        <v>35</v>
      </c>
      <c r="L54" s="8">
        <v>45</v>
      </c>
      <c r="M54" s="8">
        <v>45</v>
      </c>
      <c r="N54" s="8">
        <v>20</v>
      </c>
      <c r="O54" s="1">
        <f t="shared" si="3"/>
        <v>228</v>
      </c>
      <c r="P54" s="14">
        <f t="shared" si="4"/>
        <v>32.571428571428569</v>
      </c>
      <c r="Q54" s="20">
        <f t="shared" si="5"/>
        <v>48</v>
      </c>
    </row>
    <row r="55" spans="1:17" ht="18" customHeight="1">
      <c r="A55" s="19">
        <v>49</v>
      </c>
      <c r="B55" s="2" t="s">
        <v>1277</v>
      </c>
      <c r="C55" s="1">
        <v>311260408</v>
      </c>
      <c r="D55" s="3" t="s">
        <v>1278</v>
      </c>
      <c r="E55" s="1" t="s">
        <v>55</v>
      </c>
      <c r="F55" s="10" t="s">
        <v>1140</v>
      </c>
      <c r="G55" s="2">
        <v>26</v>
      </c>
      <c r="H55" s="8">
        <v>40</v>
      </c>
      <c r="I55" s="8">
        <v>68</v>
      </c>
      <c r="J55" s="8">
        <v>40</v>
      </c>
      <c r="K55" s="8">
        <v>30</v>
      </c>
      <c r="L55" s="8">
        <v>35</v>
      </c>
      <c r="M55" s="8">
        <v>20</v>
      </c>
      <c r="N55" s="8">
        <v>25</v>
      </c>
      <c r="O55" s="1">
        <f t="shared" si="3"/>
        <v>218</v>
      </c>
      <c r="P55" s="14">
        <f t="shared" si="4"/>
        <v>31.142857142857142</v>
      </c>
      <c r="Q55" s="20">
        <f t="shared" si="5"/>
        <v>49</v>
      </c>
    </row>
    <row r="56" spans="1:17" ht="18" customHeight="1">
      <c r="A56" s="19">
        <v>50</v>
      </c>
      <c r="B56" s="2" t="s">
        <v>1200</v>
      </c>
      <c r="C56" s="1" t="s">
        <v>1201</v>
      </c>
      <c r="D56" s="3" t="s">
        <v>1202</v>
      </c>
      <c r="E56" s="1" t="s">
        <v>62</v>
      </c>
      <c r="F56" s="10" t="s">
        <v>1140</v>
      </c>
      <c r="G56" s="2">
        <v>24</v>
      </c>
      <c r="H56" s="8">
        <v>45</v>
      </c>
      <c r="I56" s="8">
        <v>58</v>
      </c>
      <c r="J56" s="8">
        <v>25</v>
      </c>
      <c r="K56" s="8">
        <v>35</v>
      </c>
      <c r="L56" s="8">
        <v>20</v>
      </c>
      <c r="M56" s="8">
        <v>50</v>
      </c>
      <c r="N56" s="8">
        <v>30</v>
      </c>
      <c r="O56" s="1">
        <f t="shared" si="3"/>
        <v>218</v>
      </c>
      <c r="P56" s="14">
        <f t="shared" si="4"/>
        <v>31.142857142857142</v>
      </c>
      <c r="Q56" s="20">
        <f t="shared" si="5"/>
        <v>49</v>
      </c>
    </row>
    <row r="57" spans="1:17" ht="18" customHeight="1">
      <c r="A57" s="19">
        <v>51</v>
      </c>
      <c r="B57" s="2" t="s">
        <v>1273</v>
      </c>
      <c r="C57" s="1">
        <v>311260406</v>
      </c>
      <c r="D57" s="3" t="s">
        <v>1274</v>
      </c>
      <c r="E57" s="1" t="s">
        <v>69</v>
      </c>
      <c r="F57" s="10" t="s">
        <v>1140</v>
      </c>
      <c r="G57" s="2">
        <v>26</v>
      </c>
      <c r="H57" s="8">
        <v>50</v>
      </c>
      <c r="I57" s="8">
        <v>65</v>
      </c>
      <c r="J57" s="8">
        <v>35</v>
      </c>
      <c r="K57" s="8">
        <v>50</v>
      </c>
      <c r="L57" s="8">
        <v>30</v>
      </c>
      <c r="M57" s="8"/>
      <c r="N57" s="8">
        <v>35</v>
      </c>
      <c r="O57" s="1">
        <f t="shared" si="3"/>
        <v>215</v>
      </c>
      <c r="P57" s="14">
        <f t="shared" si="4"/>
        <v>30.714285714285715</v>
      </c>
      <c r="Q57" s="20">
        <f t="shared" si="5"/>
        <v>51</v>
      </c>
    </row>
    <row r="58" spans="1:17" ht="18" customHeight="1">
      <c r="A58" s="19">
        <v>52</v>
      </c>
      <c r="B58" s="2" t="s">
        <v>1233</v>
      </c>
      <c r="C58" s="1" t="s">
        <v>1234</v>
      </c>
      <c r="D58" s="3" t="s">
        <v>1235</v>
      </c>
      <c r="E58" s="1" t="s">
        <v>75</v>
      </c>
      <c r="F58" s="10" t="s">
        <v>1140</v>
      </c>
      <c r="G58" s="2">
        <v>25</v>
      </c>
      <c r="H58" s="8">
        <v>35</v>
      </c>
      <c r="I58" s="8">
        <v>40</v>
      </c>
      <c r="J58" s="8">
        <v>15</v>
      </c>
      <c r="K58" s="8">
        <v>60</v>
      </c>
      <c r="L58" s="8">
        <v>40</v>
      </c>
      <c r="M58" s="8">
        <v>50</v>
      </c>
      <c r="N58" s="8">
        <v>5</v>
      </c>
      <c r="O58" s="1">
        <f t="shared" si="3"/>
        <v>210</v>
      </c>
      <c r="P58" s="14">
        <f t="shared" si="4"/>
        <v>30</v>
      </c>
      <c r="Q58" s="20">
        <f t="shared" si="5"/>
        <v>52</v>
      </c>
    </row>
    <row r="59" spans="1:17" ht="18" customHeight="1">
      <c r="A59" s="19">
        <v>53</v>
      </c>
      <c r="B59" s="2" t="s">
        <v>1269</v>
      </c>
      <c r="C59" s="1">
        <v>311260404</v>
      </c>
      <c r="D59" s="3" t="s">
        <v>1270</v>
      </c>
      <c r="E59" s="1" t="s">
        <v>69</v>
      </c>
      <c r="F59" s="10" t="s">
        <v>1140</v>
      </c>
      <c r="G59" s="2">
        <v>26</v>
      </c>
      <c r="H59" s="8">
        <v>30</v>
      </c>
      <c r="I59" s="8">
        <v>55</v>
      </c>
      <c r="J59" s="8">
        <v>30</v>
      </c>
      <c r="K59" s="8">
        <v>10</v>
      </c>
      <c r="L59" s="8">
        <v>30</v>
      </c>
      <c r="M59" s="8">
        <v>50</v>
      </c>
      <c r="N59" s="8">
        <v>10</v>
      </c>
      <c r="O59" s="1">
        <f t="shared" si="3"/>
        <v>185</v>
      </c>
      <c r="P59" s="14">
        <f t="shared" si="4"/>
        <v>26.428571428571427</v>
      </c>
      <c r="Q59" s="20">
        <f t="shared" si="5"/>
        <v>53</v>
      </c>
    </row>
    <row r="60" spans="1:17" ht="18" customHeight="1">
      <c r="A60" s="19">
        <v>54</v>
      </c>
      <c r="B60" s="2" t="s">
        <v>1289</v>
      </c>
      <c r="C60" s="1">
        <v>311260889</v>
      </c>
      <c r="D60" s="3" t="s">
        <v>1290</v>
      </c>
      <c r="E60" s="1" t="s">
        <v>71</v>
      </c>
      <c r="F60" s="10" t="s">
        <v>1140</v>
      </c>
      <c r="G60" s="2">
        <v>26</v>
      </c>
      <c r="H60" s="8">
        <v>55</v>
      </c>
      <c r="I60" s="8">
        <v>53</v>
      </c>
      <c r="J60" s="8">
        <v>25</v>
      </c>
      <c r="K60" s="8">
        <v>30</v>
      </c>
      <c r="L60" s="8">
        <v>35</v>
      </c>
      <c r="M60" s="8">
        <v>30</v>
      </c>
      <c r="N60" s="8">
        <v>10</v>
      </c>
      <c r="O60" s="1">
        <f t="shared" si="3"/>
        <v>183</v>
      </c>
      <c r="P60" s="14">
        <f t="shared" si="4"/>
        <v>26.142857142857142</v>
      </c>
      <c r="Q60" s="20">
        <f t="shared" si="5"/>
        <v>54</v>
      </c>
    </row>
    <row r="61" spans="1:17" ht="18" customHeight="1">
      <c r="A61" s="19">
        <v>55</v>
      </c>
      <c r="B61" s="2" t="s">
        <v>1170</v>
      </c>
      <c r="C61" s="1" t="s">
        <v>1171</v>
      </c>
      <c r="D61" s="3" t="s">
        <v>1172</v>
      </c>
      <c r="E61" s="1" t="s">
        <v>56</v>
      </c>
      <c r="F61" s="10" t="s">
        <v>1140</v>
      </c>
      <c r="G61" s="2">
        <v>24</v>
      </c>
      <c r="H61" s="8">
        <v>25</v>
      </c>
      <c r="I61" s="8">
        <v>43</v>
      </c>
      <c r="J61" s="8">
        <v>25</v>
      </c>
      <c r="K61" s="8">
        <v>35</v>
      </c>
      <c r="L61" s="8">
        <v>15</v>
      </c>
      <c r="M61" s="8">
        <v>60</v>
      </c>
      <c r="N61" s="8">
        <v>0</v>
      </c>
      <c r="O61" s="1">
        <f t="shared" si="3"/>
        <v>178</v>
      </c>
      <c r="P61" s="14">
        <f t="shared" si="4"/>
        <v>25.428571428571427</v>
      </c>
      <c r="Q61" s="20">
        <f t="shared" si="5"/>
        <v>55</v>
      </c>
    </row>
    <row r="62" spans="1:17" ht="18" customHeight="1">
      <c r="A62" s="19">
        <v>56</v>
      </c>
      <c r="B62" s="2" t="s">
        <v>1275</v>
      </c>
      <c r="C62" s="1">
        <v>311260407</v>
      </c>
      <c r="D62" s="3" t="s">
        <v>1276</v>
      </c>
      <c r="E62" s="1" t="s">
        <v>69</v>
      </c>
      <c r="F62" s="10" t="s">
        <v>1140</v>
      </c>
      <c r="G62" s="2">
        <v>26</v>
      </c>
      <c r="H62" s="8">
        <v>50</v>
      </c>
      <c r="I62" s="8">
        <v>40</v>
      </c>
      <c r="J62" s="8">
        <v>15</v>
      </c>
      <c r="K62" s="8">
        <v>25</v>
      </c>
      <c r="L62" s="8">
        <v>25</v>
      </c>
      <c r="M62" s="8">
        <v>40</v>
      </c>
      <c r="N62" s="8">
        <v>0</v>
      </c>
      <c r="O62" s="1">
        <f t="shared" si="3"/>
        <v>145</v>
      </c>
      <c r="P62" s="14">
        <f t="shared" si="4"/>
        <v>20.714285714285715</v>
      </c>
      <c r="Q62" s="20">
        <f t="shared" si="5"/>
        <v>56</v>
      </c>
    </row>
    <row r="63" spans="1:17" ht="18" customHeight="1">
      <c r="A63" s="19">
        <v>57</v>
      </c>
      <c r="B63" s="2" t="s">
        <v>1285</v>
      </c>
      <c r="C63" s="1">
        <v>311260887</v>
      </c>
      <c r="D63" s="3" t="s">
        <v>1286</v>
      </c>
      <c r="E63" s="1" t="s">
        <v>79</v>
      </c>
      <c r="F63" s="10" t="s">
        <v>1140</v>
      </c>
      <c r="G63" s="2">
        <v>26</v>
      </c>
      <c r="H63" s="8">
        <v>20</v>
      </c>
      <c r="I63" s="8">
        <v>23</v>
      </c>
      <c r="J63" s="8">
        <v>15</v>
      </c>
      <c r="K63" s="8">
        <v>25</v>
      </c>
      <c r="L63" s="8">
        <v>20</v>
      </c>
      <c r="M63" s="8">
        <v>35</v>
      </c>
      <c r="N63" s="8">
        <v>0</v>
      </c>
      <c r="O63" s="1">
        <f t="shared" si="3"/>
        <v>118</v>
      </c>
      <c r="P63" s="14">
        <f t="shared" si="4"/>
        <v>16.857142857142858</v>
      </c>
      <c r="Q63" s="20">
        <f t="shared" si="5"/>
        <v>57</v>
      </c>
    </row>
    <row r="64" spans="1:17" ht="18" customHeight="1">
      <c r="A64" s="19">
        <v>58</v>
      </c>
      <c r="B64" s="2" t="s">
        <v>1291</v>
      </c>
      <c r="C64" s="1">
        <v>311260890</v>
      </c>
      <c r="D64" s="3" t="s">
        <v>1292</v>
      </c>
      <c r="E64" s="1" t="s">
        <v>72</v>
      </c>
      <c r="F64" s="10" t="s">
        <v>1140</v>
      </c>
      <c r="G64" s="2">
        <v>26</v>
      </c>
      <c r="H64" s="8">
        <v>60</v>
      </c>
      <c r="I64" s="8">
        <v>10</v>
      </c>
      <c r="J64" s="8">
        <v>15</v>
      </c>
      <c r="K64" s="8">
        <v>35</v>
      </c>
      <c r="L64" s="8">
        <v>15</v>
      </c>
      <c r="M64" s="8">
        <v>35</v>
      </c>
      <c r="N64" s="8">
        <v>0</v>
      </c>
      <c r="O64" s="1">
        <f t="shared" si="3"/>
        <v>110</v>
      </c>
      <c r="P64" s="14">
        <f t="shared" si="4"/>
        <v>15.714285714285714</v>
      </c>
      <c r="Q64" s="20">
        <f t="shared" si="5"/>
        <v>58</v>
      </c>
    </row>
    <row r="65" spans="1:17" ht="18" customHeight="1">
      <c r="A65" s="19">
        <v>59</v>
      </c>
      <c r="B65" s="2" t="s">
        <v>1137</v>
      </c>
      <c r="C65" s="1" t="s">
        <v>1138</v>
      </c>
      <c r="D65" s="3" t="s">
        <v>1139</v>
      </c>
      <c r="E65" s="1" t="s">
        <v>70</v>
      </c>
      <c r="F65" s="10" t="s">
        <v>1140</v>
      </c>
      <c r="G65" s="2">
        <v>24</v>
      </c>
      <c r="H65" s="8">
        <v>45</v>
      </c>
      <c r="I65" s="8">
        <v>63</v>
      </c>
      <c r="J65" s="8">
        <v>20</v>
      </c>
      <c r="K65" s="8">
        <v>10</v>
      </c>
      <c r="L65" s="8">
        <v>10</v>
      </c>
      <c r="M65" s="8">
        <v>5</v>
      </c>
      <c r="N65" s="8">
        <v>0</v>
      </c>
      <c r="O65" s="1">
        <f t="shared" si="3"/>
        <v>108</v>
      </c>
      <c r="P65" s="14">
        <f t="shared" si="4"/>
        <v>15.428571428571429</v>
      </c>
      <c r="Q65" s="20">
        <f t="shared" si="5"/>
        <v>59</v>
      </c>
    </row>
    <row r="66" spans="1:17" ht="18" customHeight="1">
      <c r="A66" s="19">
        <v>60</v>
      </c>
      <c r="B66" s="2" t="s">
        <v>1265</v>
      </c>
      <c r="C66" s="1">
        <v>311260282</v>
      </c>
      <c r="D66" s="3" t="s">
        <v>1266</v>
      </c>
      <c r="E66" s="1" t="s">
        <v>67</v>
      </c>
      <c r="F66" s="10" t="s">
        <v>1140</v>
      </c>
      <c r="G66" s="2">
        <v>25</v>
      </c>
      <c r="H66" s="8"/>
      <c r="I66" s="8"/>
      <c r="J66" s="8"/>
      <c r="K66" s="8"/>
      <c r="L66" s="8"/>
      <c r="M66" s="8"/>
      <c r="N66" s="8"/>
      <c r="O66" s="1">
        <f t="shared" si="3"/>
        <v>0</v>
      </c>
      <c r="P66" s="14">
        <f t="shared" si="4"/>
        <v>0</v>
      </c>
      <c r="Q66" s="20">
        <f t="shared" si="5"/>
        <v>60</v>
      </c>
    </row>
    <row r="67" spans="1:17" ht="18" customHeight="1">
      <c r="A67" s="19">
        <v>61</v>
      </c>
      <c r="B67" s="28" t="s">
        <v>1254</v>
      </c>
      <c r="C67" s="29" t="s">
        <v>1255</v>
      </c>
      <c r="D67" s="30" t="s">
        <v>1256</v>
      </c>
      <c r="E67" s="29" t="s">
        <v>85</v>
      </c>
      <c r="F67" s="31" t="s">
        <v>1140</v>
      </c>
      <c r="G67" s="28">
        <v>25</v>
      </c>
      <c r="H67" s="40">
        <v>60</v>
      </c>
      <c r="I67" s="40"/>
      <c r="J67" s="40"/>
      <c r="K67" s="40"/>
      <c r="L67" s="40"/>
      <c r="M67" s="40"/>
      <c r="N67" s="40"/>
      <c r="O67" s="29">
        <f t="shared" si="3"/>
        <v>0</v>
      </c>
      <c r="P67" s="41">
        <f t="shared" si="4"/>
        <v>0</v>
      </c>
      <c r="Q67" s="33">
        <f t="shared" si="5"/>
        <v>60</v>
      </c>
    </row>
  </sheetData>
  <mergeCells count="4">
    <mergeCell ref="A1:P1"/>
    <mergeCell ref="A2:P2"/>
    <mergeCell ref="A3:P3"/>
    <mergeCell ref="A5:B5"/>
  </mergeCells>
  <conditionalFormatting sqref="H7:N7">
    <cfRule type="cellIs" dxfId="8037" priority="244" operator="lessThan">
      <formula>5</formula>
    </cfRule>
  </conditionalFormatting>
  <conditionalFormatting sqref="H7:N7">
    <cfRule type="expression" dxfId="8036" priority="243">
      <formula>5</formula>
    </cfRule>
  </conditionalFormatting>
  <conditionalFormatting sqref="H7:N7">
    <cfRule type="cellIs" dxfId="8035" priority="242" operator="lessThan">
      <formula>50</formula>
    </cfRule>
  </conditionalFormatting>
  <conditionalFormatting sqref="P7">
    <cfRule type="cellIs" dxfId="8034" priority="241" operator="lessThan">
      <formula>50</formula>
    </cfRule>
  </conditionalFormatting>
  <conditionalFormatting sqref="H8:N8">
    <cfRule type="cellIs" dxfId="8033" priority="240" operator="lessThan">
      <formula>5</formula>
    </cfRule>
  </conditionalFormatting>
  <conditionalFormatting sqref="H8:N8">
    <cfRule type="expression" dxfId="8032" priority="239">
      <formula>5</formula>
    </cfRule>
  </conditionalFormatting>
  <conditionalFormatting sqref="H8:N8">
    <cfRule type="cellIs" dxfId="8031" priority="238" operator="lessThan">
      <formula>50</formula>
    </cfRule>
  </conditionalFormatting>
  <conditionalFormatting sqref="P8">
    <cfRule type="cellIs" dxfId="8030" priority="237" operator="lessThan">
      <formula>50</formula>
    </cfRule>
  </conditionalFormatting>
  <conditionalFormatting sqref="H9:N9">
    <cfRule type="cellIs" dxfId="8029" priority="236" operator="lessThan">
      <formula>5</formula>
    </cfRule>
  </conditionalFormatting>
  <conditionalFormatting sqref="H9:N9">
    <cfRule type="expression" dxfId="8028" priority="235">
      <formula>5</formula>
    </cfRule>
  </conditionalFormatting>
  <conditionalFormatting sqref="H9:N9">
    <cfRule type="cellIs" dxfId="8027" priority="234" operator="lessThan">
      <formula>50</formula>
    </cfRule>
  </conditionalFormatting>
  <conditionalFormatting sqref="P9">
    <cfRule type="cellIs" dxfId="8026" priority="233" operator="lessThan">
      <formula>50</formula>
    </cfRule>
  </conditionalFormatting>
  <conditionalFormatting sqref="H10:N10">
    <cfRule type="cellIs" dxfId="8025" priority="232" operator="lessThan">
      <formula>5</formula>
    </cfRule>
  </conditionalFormatting>
  <conditionalFormatting sqref="H10:N10">
    <cfRule type="expression" dxfId="8024" priority="231">
      <formula>5</formula>
    </cfRule>
  </conditionalFormatting>
  <conditionalFormatting sqref="H10:N10">
    <cfRule type="cellIs" dxfId="8023" priority="230" operator="lessThan">
      <formula>50</formula>
    </cfRule>
  </conditionalFormatting>
  <conditionalFormatting sqref="P10">
    <cfRule type="cellIs" dxfId="8022" priority="229" operator="lessThan">
      <formula>50</formula>
    </cfRule>
  </conditionalFormatting>
  <conditionalFormatting sqref="H11:N11">
    <cfRule type="cellIs" dxfId="8021" priority="228" operator="lessThan">
      <formula>5</formula>
    </cfRule>
  </conditionalFormatting>
  <conditionalFormatting sqref="H11:N11">
    <cfRule type="expression" dxfId="8020" priority="227">
      <formula>5</formula>
    </cfRule>
  </conditionalFormatting>
  <conditionalFormatting sqref="H11:N11">
    <cfRule type="cellIs" dxfId="8019" priority="226" operator="lessThan">
      <formula>50</formula>
    </cfRule>
  </conditionalFormatting>
  <conditionalFormatting sqref="P11">
    <cfRule type="cellIs" dxfId="8018" priority="225" operator="lessThan">
      <formula>50</formula>
    </cfRule>
  </conditionalFormatting>
  <conditionalFormatting sqref="H12:N12">
    <cfRule type="cellIs" dxfId="8017" priority="224" operator="lessThan">
      <formula>5</formula>
    </cfRule>
  </conditionalFormatting>
  <conditionalFormatting sqref="H12:N12">
    <cfRule type="expression" dxfId="8016" priority="223">
      <formula>5</formula>
    </cfRule>
  </conditionalFormatting>
  <conditionalFormatting sqref="H12:N12">
    <cfRule type="cellIs" dxfId="8015" priority="222" operator="lessThan">
      <formula>50</formula>
    </cfRule>
  </conditionalFormatting>
  <conditionalFormatting sqref="P12">
    <cfRule type="cellIs" dxfId="8014" priority="221" operator="lessThan">
      <formula>50</formula>
    </cfRule>
  </conditionalFormatting>
  <conditionalFormatting sqref="H13:N13">
    <cfRule type="cellIs" dxfId="8013" priority="220" operator="lessThan">
      <formula>5</formula>
    </cfRule>
  </conditionalFormatting>
  <conditionalFormatting sqref="H13:N13">
    <cfRule type="expression" dxfId="8012" priority="219">
      <formula>5</formula>
    </cfRule>
  </conditionalFormatting>
  <conditionalFormatting sqref="H13:N13">
    <cfRule type="cellIs" dxfId="8011" priority="218" operator="lessThan">
      <formula>50</formula>
    </cfRule>
  </conditionalFormatting>
  <conditionalFormatting sqref="P13">
    <cfRule type="cellIs" dxfId="8010" priority="217" operator="lessThan">
      <formula>50</formula>
    </cfRule>
  </conditionalFormatting>
  <conditionalFormatting sqref="H14:N14">
    <cfRule type="cellIs" dxfId="8009" priority="216" operator="lessThan">
      <formula>5</formula>
    </cfRule>
  </conditionalFormatting>
  <conditionalFormatting sqref="H14:N14">
    <cfRule type="expression" dxfId="8008" priority="215">
      <formula>5</formula>
    </cfRule>
  </conditionalFormatting>
  <conditionalFormatting sqref="H14:N14">
    <cfRule type="cellIs" dxfId="8007" priority="214" operator="lessThan">
      <formula>50</formula>
    </cfRule>
  </conditionalFormatting>
  <conditionalFormatting sqref="P14">
    <cfRule type="cellIs" dxfId="8006" priority="213" operator="lessThan">
      <formula>50</formula>
    </cfRule>
  </conditionalFormatting>
  <conditionalFormatting sqref="H15:N15">
    <cfRule type="cellIs" dxfId="8005" priority="212" operator="lessThan">
      <formula>5</formula>
    </cfRule>
  </conditionalFormatting>
  <conditionalFormatting sqref="H15:N15">
    <cfRule type="expression" dxfId="8004" priority="211">
      <formula>5</formula>
    </cfRule>
  </conditionalFormatting>
  <conditionalFormatting sqref="H15:N15">
    <cfRule type="cellIs" dxfId="8003" priority="210" operator="lessThan">
      <formula>50</formula>
    </cfRule>
  </conditionalFormatting>
  <conditionalFormatting sqref="P15">
    <cfRule type="cellIs" dxfId="8002" priority="209" operator="lessThan">
      <formula>50</formula>
    </cfRule>
  </conditionalFormatting>
  <conditionalFormatting sqref="H16:N16">
    <cfRule type="cellIs" dxfId="8001" priority="208" operator="lessThan">
      <formula>5</formula>
    </cfRule>
  </conditionalFormatting>
  <conditionalFormatting sqref="H16:N16">
    <cfRule type="expression" dxfId="8000" priority="207">
      <formula>5</formula>
    </cfRule>
  </conditionalFormatting>
  <conditionalFormatting sqref="H16:N16">
    <cfRule type="cellIs" dxfId="7999" priority="206" operator="lessThan">
      <formula>50</formula>
    </cfRule>
  </conditionalFormatting>
  <conditionalFormatting sqref="P16">
    <cfRule type="cellIs" dxfId="7998" priority="205" operator="lessThan">
      <formula>50</formula>
    </cfRule>
  </conditionalFormatting>
  <conditionalFormatting sqref="H17:N17">
    <cfRule type="cellIs" dxfId="7997" priority="204" operator="lessThan">
      <formula>5</formula>
    </cfRule>
  </conditionalFormatting>
  <conditionalFormatting sqref="H17:N17">
    <cfRule type="expression" dxfId="7996" priority="203">
      <formula>5</formula>
    </cfRule>
  </conditionalFormatting>
  <conditionalFormatting sqref="H17:N17">
    <cfRule type="cellIs" dxfId="7995" priority="202" operator="lessThan">
      <formula>50</formula>
    </cfRule>
  </conditionalFormatting>
  <conditionalFormatting sqref="P17">
    <cfRule type="cellIs" dxfId="7994" priority="201" operator="lessThan">
      <formula>50</formula>
    </cfRule>
  </conditionalFormatting>
  <conditionalFormatting sqref="H18:N18">
    <cfRule type="cellIs" dxfId="7993" priority="200" operator="lessThan">
      <formula>5</formula>
    </cfRule>
  </conditionalFormatting>
  <conditionalFormatting sqref="H18:N18">
    <cfRule type="expression" dxfId="7992" priority="199">
      <formula>5</formula>
    </cfRule>
  </conditionalFormatting>
  <conditionalFormatting sqref="H18:N18">
    <cfRule type="cellIs" dxfId="7991" priority="198" operator="lessThan">
      <formula>50</formula>
    </cfRule>
  </conditionalFormatting>
  <conditionalFormatting sqref="P18">
    <cfRule type="cellIs" dxfId="7990" priority="197" operator="lessThan">
      <formula>50</formula>
    </cfRule>
  </conditionalFormatting>
  <conditionalFormatting sqref="H19:N19">
    <cfRule type="cellIs" dxfId="7989" priority="196" operator="lessThan">
      <formula>5</formula>
    </cfRule>
  </conditionalFormatting>
  <conditionalFormatting sqref="H19:N19">
    <cfRule type="expression" dxfId="7988" priority="195">
      <formula>5</formula>
    </cfRule>
  </conditionalFormatting>
  <conditionalFormatting sqref="H19:N19">
    <cfRule type="cellIs" dxfId="7987" priority="194" operator="lessThan">
      <formula>50</formula>
    </cfRule>
  </conditionalFormatting>
  <conditionalFormatting sqref="P19">
    <cfRule type="cellIs" dxfId="7986" priority="193" operator="lessThan">
      <formula>50</formula>
    </cfRule>
  </conditionalFormatting>
  <conditionalFormatting sqref="H20:N20">
    <cfRule type="cellIs" dxfId="7985" priority="192" operator="lessThan">
      <formula>5</formula>
    </cfRule>
  </conditionalFormatting>
  <conditionalFormatting sqref="H20:N20">
    <cfRule type="expression" dxfId="7984" priority="191">
      <formula>5</formula>
    </cfRule>
  </conditionalFormatting>
  <conditionalFormatting sqref="H20:N20">
    <cfRule type="cellIs" dxfId="7983" priority="190" operator="lessThan">
      <formula>50</formula>
    </cfRule>
  </conditionalFormatting>
  <conditionalFormatting sqref="P20">
    <cfRule type="cellIs" dxfId="7982" priority="189" operator="lessThan">
      <formula>50</formula>
    </cfRule>
  </conditionalFormatting>
  <conditionalFormatting sqref="H21:N21">
    <cfRule type="cellIs" dxfId="7981" priority="188" operator="lessThan">
      <formula>5</formula>
    </cfRule>
  </conditionalFormatting>
  <conditionalFormatting sqref="H21:N21">
    <cfRule type="expression" dxfId="7980" priority="187">
      <formula>5</formula>
    </cfRule>
  </conditionalFormatting>
  <conditionalFormatting sqref="H21:N21">
    <cfRule type="cellIs" dxfId="7979" priority="186" operator="lessThan">
      <formula>50</formula>
    </cfRule>
  </conditionalFormatting>
  <conditionalFormatting sqref="P21">
    <cfRule type="cellIs" dxfId="7978" priority="185" operator="lessThan">
      <formula>50</formula>
    </cfRule>
  </conditionalFormatting>
  <conditionalFormatting sqref="H22:N22">
    <cfRule type="cellIs" dxfId="7977" priority="184" operator="lessThan">
      <formula>5</formula>
    </cfRule>
  </conditionalFormatting>
  <conditionalFormatting sqref="H22:N22">
    <cfRule type="expression" dxfId="7976" priority="183">
      <formula>5</formula>
    </cfRule>
  </conditionalFormatting>
  <conditionalFormatting sqref="H22:N22">
    <cfRule type="cellIs" dxfId="7975" priority="182" operator="lessThan">
      <formula>50</formula>
    </cfRule>
  </conditionalFormatting>
  <conditionalFormatting sqref="P22">
    <cfRule type="cellIs" dxfId="7974" priority="181" operator="lessThan">
      <formula>50</formula>
    </cfRule>
  </conditionalFormatting>
  <conditionalFormatting sqref="H23:N23">
    <cfRule type="cellIs" dxfId="7973" priority="180" operator="lessThan">
      <formula>5</formula>
    </cfRule>
  </conditionalFormatting>
  <conditionalFormatting sqref="H23:N23">
    <cfRule type="expression" dxfId="7972" priority="179">
      <formula>5</formula>
    </cfRule>
  </conditionalFormatting>
  <conditionalFormatting sqref="H23:N23">
    <cfRule type="cellIs" dxfId="7971" priority="178" operator="lessThan">
      <formula>50</formula>
    </cfRule>
  </conditionalFormatting>
  <conditionalFormatting sqref="P23">
    <cfRule type="cellIs" dxfId="7970" priority="177" operator="lessThan">
      <formula>50</formula>
    </cfRule>
  </conditionalFormatting>
  <conditionalFormatting sqref="H24:N24">
    <cfRule type="cellIs" dxfId="7969" priority="176" operator="lessThan">
      <formula>5</formula>
    </cfRule>
  </conditionalFormatting>
  <conditionalFormatting sqref="H24:N24">
    <cfRule type="expression" dxfId="7968" priority="175">
      <formula>5</formula>
    </cfRule>
  </conditionalFormatting>
  <conditionalFormatting sqref="H24:N24">
    <cfRule type="cellIs" dxfId="7967" priority="174" operator="lessThan">
      <formula>50</formula>
    </cfRule>
  </conditionalFormatting>
  <conditionalFormatting sqref="P24">
    <cfRule type="cellIs" dxfId="7966" priority="173" operator="lessThan">
      <formula>50</formula>
    </cfRule>
  </conditionalFormatting>
  <conditionalFormatting sqref="H25:N25">
    <cfRule type="cellIs" dxfId="7965" priority="172" operator="lessThan">
      <formula>5</formula>
    </cfRule>
  </conditionalFormatting>
  <conditionalFormatting sqref="H25:N25">
    <cfRule type="expression" dxfId="7964" priority="171">
      <formula>5</formula>
    </cfRule>
  </conditionalFormatting>
  <conditionalFormatting sqref="H25:N25">
    <cfRule type="cellIs" dxfId="7963" priority="170" operator="lessThan">
      <formula>50</formula>
    </cfRule>
  </conditionalFormatting>
  <conditionalFormatting sqref="P25">
    <cfRule type="cellIs" dxfId="7962" priority="169" operator="lessThan">
      <formula>50</formula>
    </cfRule>
  </conditionalFormatting>
  <conditionalFormatting sqref="H26:N26">
    <cfRule type="cellIs" dxfId="7961" priority="168" operator="lessThan">
      <formula>5</formula>
    </cfRule>
  </conditionalFormatting>
  <conditionalFormatting sqref="H26:N26">
    <cfRule type="expression" dxfId="7960" priority="167">
      <formula>5</formula>
    </cfRule>
  </conditionalFormatting>
  <conditionalFormatting sqref="H26:N26">
    <cfRule type="cellIs" dxfId="7959" priority="166" operator="lessThan">
      <formula>50</formula>
    </cfRule>
  </conditionalFormatting>
  <conditionalFormatting sqref="P26">
    <cfRule type="cellIs" dxfId="7958" priority="165" operator="lessThan">
      <formula>50</formula>
    </cfRule>
  </conditionalFormatting>
  <conditionalFormatting sqref="H27:N27">
    <cfRule type="cellIs" dxfId="7957" priority="164" operator="lessThan">
      <formula>5</formula>
    </cfRule>
  </conditionalFormatting>
  <conditionalFormatting sqref="H27:N27">
    <cfRule type="expression" dxfId="7956" priority="163">
      <formula>5</formula>
    </cfRule>
  </conditionalFormatting>
  <conditionalFormatting sqref="H27:N27">
    <cfRule type="cellIs" dxfId="7955" priority="162" operator="lessThan">
      <formula>50</formula>
    </cfRule>
  </conditionalFormatting>
  <conditionalFormatting sqref="P27">
    <cfRule type="cellIs" dxfId="7954" priority="161" operator="lessThan">
      <formula>50</formula>
    </cfRule>
  </conditionalFormatting>
  <conditionalFormatting sqref="H28:N28">
    <cfRule type="cellIs" dxfId="7953" priority="160" operator="lessThan">
      <formula>5</formula>
    </cfRule>
  </conditionalFormatting>
  <conditionalFormatting sqref="H28:N28">
    <cfRule type="expression" dxfId="7952" priority="159">
      <formula>5</formula>
    </cfRule>
  </conditionalFormatting>
  <conditionalFormatting sqref="H28:N28">
    <cfRule type="cellIs" dxfId="7951" priority="158" operator="lessThan">
      <formula>50</formula>
    </cfRule>
  </conditionalFormatting>
  <conditionalFormatting sqref="P28">
    <cfRule type="cellIs" dxfId="7950" priority="157" operator="lessThan">
      <formula>50</formula>
    </cfRule>
  </conditionalFormatting>
  <conditionalFormatting sqref="H29:N29">
    <cfRule type="cellIs" dxfId="7949" priority="156" operator="lessThan">
      <formula>5</formula>
    </cfRule>
  </conditionalFormatting>
  <conditionalFormatting sqref="H29:N29">
    <cfRule type="expression" dxfId="7948" priority="155">
      <formula>5</formula>
    </cfRule>
  </conditionalFormatting>
  <conditionalFormatting sqref="H29:N29">
    <cfRule type="cellIs" dxfId="7947" priority="154" operator="lessThan">
      <formula>50</formula>
    </cfRule>
  </conditionalFormatting>
  <conditionalFormatting sqref="P29">
    <cfRule type="cellIs" dxfId="7946" priority="153" operator="lessThan">
      <formula>50</formula>
    </cfRule>
  </conditionalFormatting>
  <conditionalFormatting sqref="H30:N30">
    <cfRule type="cellIs" dxfId="7945" priority="152" operator="lessThan">
      <formula>5</formula>
    </cfRule>
  </conditionalFormatting>
  <conditionalFormatting sqref="H30:N30">
    <cfRule type="expression" dxfId="7944" priority="151">
      <formula>5</formula>
    </cfRule>
  </conditionalFormatting>
  <conditionalFormatting sqref="H30:N30">
    <cfRule type="cellIs" dxfId="7943" priority="150" operator="lessThan">
      <formula>50</formula>
    </cfRule>
  </conditionalFormatting>
  <conditionalFormatting sqref="P30">
    <cfRule type="cellIs" dxfId="7942" priority="149" operator="lessThan">
      <formula>50</formula>
    </cfRule>
  </conditionalFormatting>
  <conditionalFormatting sqref="H31:N31">
    <cfRule type="cellIs" dxfId="7941" priority="148" operator="lessThan">
      <formula>5</formula>
    </cfRule>
  </conditionalFormatting>
  <conditionalFormatting sqref="H31:N31">
    <cfRule type="expression" dxfId="7940" priority="147">
      <formula>5</formula>
    </cfRule>
  </conditionalFormatting>
  <conditionalFormatting sqref="H31:N31">
    <cfRule type="cellIs" dxfId="7939" priority="146" operator="lessThan">
      <formula>50</formula>
    </cfRule>
  </conditionalFormatting>
  <conditionalFormatting sqref="P31">
    <cfRule type="cellIs" dxfId="7938" priority="145" operator="lessThan">
      <formula>50</formula>
    </cfRule>
  </conditionalFormatting>
  <conditionalFormatting sqref="H32:N32">
    <cfRule type="cellIs" dxfId="7937" priority="144" operator="lessThan">
      <formula>5</formula>
    </cfRule>
  </conditionalFormatting>
  <conditionalFormatting sqref="H32:N32">
    <cfRule type="expression" dxfId="7936" priority="143">
      <formula>5</formula>
    </cfRule>
  </conditionalFormatting>
  <conditionalFormatting sqref="H32:N32">
    <cfRule type="cellIs" dxfId="7935" priority="142" operator="lessThan">
      <formula>50</formula>
    </cfRule>
  </conditionalFormatting>
  <conditionalFormatting sqref="P32">
    <cfRule type="cellIs" dxfId="7934" priority="141" operator="lessThan">
      <formula>50</formula>
    </cfRule>
  </conditionalFormatting>
  <conditionalFormatting sqref="H33:N33">
    <cfRule type="cellIs" dxfId="7933" priority="140" operator="lessThan">
      <formula>5</formula>
    </cfRule>
  </conditionalFormatting>
  <conditionalFormatting sqref="H33:N33">
    <cfRule type="expression" dxfId="7932" priority="139">
      <formula>5</formula>
    </cfRule>
  </conditionalFormatting>
  <conditionalFormatting sqref="H33:N33">
    <cfRule type="cellIs" dxfId="7931" priority="138" operator="lessThan">
      <formula>50</formula>
    </cfRule>
  </conditionalFormatting>
  <conditionalFormatting sqref="P33">
    <cfRule type="cellIs" dxfId="7930" priority="137" operator="lessThan">
      <formula>50</formula>
    </cfRule>
  </conditionalFormatting>
  <conditionalFormatting sqref="H34:N34">
    <cfRule type="cellIs" dxfId="7929" priority="136" operator="lessThan">
      <formula>5</formula>
    </cfRule>
  </conditionalFormatting>
  <conditionalFormatting sqref="H34:N34">
    <cfRule type="expression" dxfId="7928" priority="135">
      <formula>5</formula>
    </cfRule>
  </conditionalFormatting>
  <conditionalFormatting sqref="H34:N34">
    <cfRule type="cellIs" dxfId="7927" priority="134" operator="lessThan">
      <formula>50</formula>
    </cfRule>
  </conditionalFormatting>
  <conditionalFormatting sqref="P34">
    <cfRule type="cellIs" dxfId="7926" priority="133" operator="lessThan">
      <formula>50</formula>
    </cfRule>
  </conditionalFormatting>
  <conditionalFormatting sqref="H35:N35">
    <cfRule type="cellIs" dxfId="7925" priority="132" operator="lessThan">
      <formula>5</formula>
    </cfRule>
  </conditionalFormatting>
  <conditionalFormatting sqref="H35:N35">
    <cfRule type="expression" dxfId="7924" priority="131">
      <formula>5</formula>
    </cfRule>
  </conditionalFormatting>
  <conditionalFormatting sqref="H35:N35">
    <cfRule type="cellIs" dxfId="7923" priority="130" operator="lessThan">
      <formula>50</formula>
    </cfRule>
  </conditionalFormatting>
  <conditionalFormatting sqref="P35">
    <cfRule type="cellIs" dxfId="7922" priority="129" operator="lessThan">
      <formula>50</formula>
    </cfRule>
  </conditionalFormatting>
  <conditionalFormatting sqref="H36:N36">
    <cfRule type="cellIs" dxfId="7921" priority="128" operator="lessThan">
      <formula>5</formula>
    </cfRule>
  </conditionalFormatting>
  <conditionalFormatting sqref="H36:N36">
    <cfRule type="expression" dxfId="7920" priority="127">
      <formula>5</formula>
    </cfRule>
  </conditionalFormatting>
  <conditionalFormatting sqref="H36:N36">
    <cfRule type="cellIs" dxfId="7919" priority="126" operator="lessThan">
      <formula>50</formula>
    </cfRule>
  </conditionalFormatting>
  <conditionalFormatting sqref="P36">
    <cfRule type="cellIs" dxfId="7918" priority="125" operator="lessThan">
      <formula>50</formula>
    </cfRule>
  </conditionalFormatting>
  <conditionalFormatting sqref="H37:N37">
    <cfRule type="cellIs" dxfId="7917" priority="124" operator="lessThan">
      <formula>5</formula>
    </cfRule>
  </conditionalFormatting>
  <conditionalFormatting sqref="H37:N37">
    <cfRule type="expression" dxfId="7916" priority="123">
      <formula>5</formula>
    </cfRule>
  </conditionalFormatting>
  <conditionalFormatting sqref="H37:N37">
    <cfRule type="cellIs" dxfId="7915" priority="122" operator="lessThan">
      <formula>50</formula>
    </cfRule>
  </conditionalFormatting>
  <conditionalFormatting sqref="P37">
    <cfRule type="cellIs" dxfId="7914" priority="121" operator="lessThan">
      <formula>50</formula>
    </cfRule>
  </conditionalFormatting>
  <conditionalFormatting sqref="H38:N38">
    <cfRule type="cellIs" dxfId="7913" priority="120" operator="lessThan">
      <formula>5</formula>
    </cfRule>
  </conditionalFormatting>
  <conditionalFormatting sqref="H38:N38">
    <cfRule type="expression" dxfId="7912" priority="119">
      <formula>5</formula>
    </cfRule>
  </conditionalFormatting>
  <conditionalFormatting sqref="H38:N38">
    <cfRule type="cellIs" dxfId="7911" priority="118" operator="lessThan">
      <formula>50</formula>
    </cfRule>
  </conditionalFormatting>
  <conditionalFormatting sqref="P38">
    <cfRule type="cellIs" dxfId="7910" priority="117" operator="lessThan">
      <formula>50</formula>
    </cfRule>
  </conditionalFormatting>
  <conditionalFormatting sqref="H39:N39">
    <cfRule type="cellIs" dxfId="7909" priority="116" operator="lessThan">
      <formula>5</formula>
    </cfRule>
  </conditionalFormatting>
  <conditionalFormatting sqref="H39:N39">
    <cfRule type="expression" dxfId="7908" priority="115">
      <formula>5</formula>
    </cfRule>
  </conditionalFormatting>
  <conditionalFormatting sqref="H39:N39">
    <cfRule type="cellIs" dxfId="7907" priority="114" operator="lessThan">
      <formula>50</formula>
    </cfRule>
  </conditionalFormatting>
  <conditionalFormatting sqref="P39">
    <cfRule type="cellIs" dxfId="7906" priority="113" operator="lessThan">
      <formula>50</formula>
    </cfRule>
  </conditionalFormatting>
  <conditionalFormatting sqref="H40:N40">
    <cfRule type="cellIs" dxfId="7905" priority="112" operator="lessThan">
      <formula>5</formula>
    </cfRule>
  </conditionalFormatting>
  <conditionalFormatting sqref="H40:N40">
    <cfRule type="expression" dxfId="7904" priority="111">
      <formula>5</formula>
    </cfRule>
  </conditionalFormatting>
  <conditionalFormatting sqref="H40:N40">
    <cfRule type="cellIs" dxfId="7903" priority="110" operator="lessThan">
      <formula>50</formula>
    </cfRule>
  </conditionalFormatting>
  <conditionalFormatting sqref="P40">
    <cfRule type="cellIs" dxfId="7902" priority="109" operator="lessThan">
      <formula>50</formula>
    </cfRule>
  </conditionalFormatting>
  <conditionalFormatting sqref="H41:N41">
    <cfRule type="cellIs" dxfId="7901" priority="108" operator="lessThan">
      <formula>5</formula>
    </cfRule>
  </conditionalFormatting>
  <conditionalFormatting sqref="H41:N41">
    <cfRule type="expression" dxfId="7900" priority="107">
      <formula>5</formula>
    </cfRule>
  </conditionalFormatting>
  <conditionalFormatting sqref="H41:N41">
    <cfRule type="cellIs" dxfId="7899" priority="106" operator="lessThan">
      <formula>50</formula>
    </cfRule>
  </conditionalFormatting>
  <conditionalFormatting sqref="P41">
    <cfRule type="cellIs" dxfId="7898" priority="105" operator="lessThan">
      <formula>50</formula>
    </cfRule>
  </conditionalFormatting>
  <conditionalFormatting sqref="H42:N42">
    <cfRule type="cellIs" dxfId="7897" priority="104" operator="lessThan">
      <formula>5</formula>
    </cfRule>
  </conditionalFormatting>
  <conditionalFormatting sqref="H42:N42">
    <cfRule type="expression" dxfId="7896" priority="103">
      <formula>5</formula>
    </cfRule>
  </conditionalFormatting>
  <conditionalFormatting sqref="H42:N42">
    <cfRule type="cellIs" dxfId="7895" priority="102" operator="lessThan">
      <formula>50</formula>
    </cfRule>
  </conditionalFormatting>
  <conditionalFormatting sqref="P42">
    <cfRule type="cellIs" dxfId="7894" priority="101" operator="lessThan">
      <formula>50</formula>
    </cfRule>
  </conditionalFormatting>
  <conditionalFormatting sqref="H43:N43">
    <cfRule type="cellIs" dxfId="7893" priority="100" operator="lessThan">
      <formula>5</formula>
    </cfRule>
  </conditionalFormatting>
  <conditionalFormatting sqref="H43:N43">
    <cfRule type="expression" dxfId="7892" priority="99">
      <formula>5</formula>
    </cfRule>
  </conditionalFormatting>
  <conditionalFormatting sqref="H43:N43">
    <cfRule type="cellIs" dxfId="7891" priority="98" operator="lessThan">
      <formula>50</formula>
    </cfRule>
  </conditionalFormatting>
  <conditionalFormatting sqref="P43">
    <cfRule type="cellIs" dxfId="7890" priority="97" operator="lessThan">
      <formula>50</formula>
    </cfRule>
  </conditionalFormatting>
  <conditionalFormatting sqref="H44:N44">
    <cfRule type="cellIs" dxfId="7889" priority="96" operator="lessThan">
      <formula>5</formula>
    </cfRule>
  </conditionalFormatting>
  <conditionalFormatting sqref="H44:N44">
    <cfRule type="expression" dxfId="7888" priority="95">
      <formula>5</formula>
    </cfRule>
  </conditionalFormatting>
  <conditionalFormatting sqref="H44:N44">
    <cfRule type="cellIs" dxfId="7887" priority="94" operator="lessThan">
      <formula>50</formula>
    </cfRule>
  </conditionalFormatting>
  <conditionalFormatting sqref="P44">
    <cfRule type="cellIs" dxfId="7886" priority="93" operator="lessThan">
      <formula>50</formula>
    </cfRule>
  </conditionalFormatting>
  <conditionalFormatting sqref="H45:N45">
    <cfRule type="cellIs" dxfId="7885" priority="92" operator="lessThan">
      <formula>5</formula>
    </cfRule>
  </conditionalFormatting>
  <conditionalFormatting sqref="H45:N45">
    <cfRule type="expression" dxfId="7884" priority="91">
      <formula>5</formula>
    </cfRule>
  </conditionalFormatting>
  <conditionalFormatting sqref="H45:N45">
    <cfRule type="cellIs" dxfId="7883" priority="90" operator="lessThan">
      <formula>50</formula>
    </cfRule>
  </conditionalFormatting>
  <conditionalFormatting sqref="P45">
    <cfRule type="cellIs" dxfId="7882" priority="89" operator="lessThan">
      <formula>50</formula>
    </cfRule>
  </conditionalFormatting>
  <conditionalFormatting sqref="H46:N46">
    <cfRule type="cellIs" dxfId="7881" priority="88" operator="lessThan">
      <formula>5</formula>
    </cfRule>
  </conditionalFormatting>
  <conditionalFormatting sqref="H46:N46">
    <cfRule type="expression" dxfId="7880" priority="87">
      <formula>5</formula>
    </cfRule>
  </conditionalFormatting>
  <conditionalFormatting sqref="H46:N46">
    <cfRule type="cellIs" dxfId="7879" priority="86" operator="lessThan">
      <formula>50</formula>
    </cfRule>
  </conditionalFormatting>
  <conditionalFormatting sqref="P46">
    <cfRule type="cellIs" dxfId="7878" priority="85" operator="lessThan">
      <formula>50</formula>
    </cfRule>
  </conditionalFormatting>
  <conditionalFormatting sqref="H47:N47">
    <cfRule type="cellIs" dxfId="7877" priority="84" operator="lessThan">
      <formula>5</formula>
    </cfRule>
  </conditionalFormatting>
  <conditionalFormatting sqref="H47:N47">
    <cfRule type="expression" dxfId="7876" priority="83">
      <formula>5</formula>
    </cfRule>
  </conditionalFormatting>
  <conditionalFormatting sqref="H47:N47">
    <cfRule type="cellIs" dxfId="7875" priority="82" operator="lessThan">
      <formula>50</formula>
    </cfRule>
  </conditionalFormatting>
  <conditionalFormatting sqref="P47">
    <cfRule type="cellIs" dxfId="7874" priority="81" operator="lessThan">
      <formula>50</formula>
    </cfRule>
  </conditionalFormatting>
  <conditionalFormatting sqref="H48:N48">
    <cfRule type="cellIs" dxfId="7873" priority="80" operator="lessThan">
      <formula>5</formula>
    </cfRule>
  </conditionalFormatting>
  <conditionalFormatting sqref="H48:N48">
    <cfRule type="expression" dxfId="7872" priority="79">
      <formula>5</formula>
    </cfRule>
  </conditionalFormatting>
  <conditionalFormatting sqref="H48:N48">
    <cfRule type="cellIs" dxfId="7871" priority="78" operator="lessThan">
      <formula>50</formula>
    </cfRule>
  </conditionalFormatting>
  <conditionalFormatting sqref="P48">
    <cfRule type="cellIs" dxfId="7870" priority="77" operator="lessThan">
      <formula>50</formula>
    </cfRule>
  </conditionalFormatting>
  <conditionalFormatting sqref="H49:N49">
    <cfRule type="cellIs" dxfId="7869" priority="76" operator="lessThan">
      <formula>5</formula>
    </cfRule>
  </conditionalFormatting>
  <conditionalFormatting sqref="H49:N49">
    <cfRule type="expression" dxfId="7868" priority="75">
      <formula>5</formula>
    </cfRule>
  </conditionalFormatting>
  <conditionalFormatting sqref="H49:N49">
    <cfRule type="cellIs" dxfId="7867" priority="74" operator="lessThan">
      <formula>50</formula>
    </cfRule>
  </conditionalFormatting>
  <conditionalFormatting sqref="P49">
    <cfRule type="cellIs" dxfId="7866" priority="73" operator="lessThan">
      <formula>50</formula>
    </cfRule>
  </conditionalFormatting>
  <conditionalFormatting sqref="H50:N50">
    <cfRule type="cellIs" dxfId="7865" priority="72" operator="lessThan">
      <formula>5</formula>
    </cfRule>
  </conditionalFormatting>
  <conditionalFormatting sqref="H50:N50">
    <cfRule type="expression" dxfId="7864" priority="71">
      <formula>5</formula>
    </cfRule>
  </conditionalFormatting>
  <conditionalFormatting sqref="H50:N50">
    <cfRule type="cellIs" dxfId="7863" priority="70" operator="lessThan">
      <formula>50</formula>
    </cfRule>
  </conditionalFormatting>
  <conditionalFormatting sqref="P50">
    <cfRule type="cellIs" dxfId="7862" priority="69" operator="lessThan">
      <formula>50</formula>
    </cfRule>
  </conditionalFormatting>
  <conditionalFormatting sqref="H51:N51">
    <cfRule type="cellIs" dxfId="7861" priority="68" operator="lessThan">
      <formula>5</formula>
    </cfRule>
  </conditionalFormatting>
  <conditionalFormatting sqref="H51:N51">
    <cfRule type="expression" dxfId="7860" priority="67">
      <formula>5</formula>
    </cfRule>
  </conditionalFormatting>
  <conditionalFormatting sqref="H51:N51">
    <cfRule type="cellIs" dxfId="7859" priority="66" operator="lessThan">
      <formula>50</formula>
    </cfRule>
  </conditionalFormatting>
  <conditionalFormatting sqref="P51">
    <cfRule type="cellIs" dxfId="7858" priority="65" operator="lessThan">
      <formula>50</formula>
    </cfRule>
  </conditionalFormatting>
  <conditionalFormatting sqref="H52:N52">
    <cfRule type="cellIs" dxfId="7857" priority="64" operator="lessThan">
      <formula>5</formula>
    </cfRule>
  </conditionalFormatting>
  <conditionalFormatting sqref="H52:N52">
    <cfRule type="expression" dxfId="7856" priority="63">
      <formula>5</formula>
    </cfRule>
  </conditionalFormatting>
  <conditionalFormatting sqref="H52:N52">
    <cfRule type="cellIs" dxfId="7855" priority="62" operator="lessThan">
      <formula>50</formula>
    </cfRule>
  </conditionalFormatting>
  <conditionalFormatting sqref="P52">
    <cfRule type="cellIs" dxfId="7854" priority="61" operator="lessThan">
      <formula>50</formula>
    </cfRule>
  </conditionalFormatting>
  <conditionalFormatting sqref="H53:N53">
    <cfRule type="cellIs" dxfId="7853" priority="60" operator="lessThan">
      <formula>5</formula>
    </cfRule>
  </conditionalFormatting>
  <conditionalFormatting sqref="H53:N53">
    <cfRule type="expression" dxfId="7852" priority="59">
      <formula>5</formula>
    </cfRule>
  </conditionalFormatting>
  <conditionalFormatting sqref="H53:N53">
    <cfRule type="cellIs" dxfId="7851" priority="58" operator="lessThan">
      <formula>50</formula>
    </cfRule>
  </conditionalFormatting>
  <conditionalFormatting sqref="P53">
    <cfRule type="cellIs" dxfId="7850" priority="57" operator="lessThan">
      <formula>50</formula>
    </cfRule>
  </conditionalFormatting>
  <conditionalFormatting sqref="H54:N54">
    <cfRule type="cellIs" dxfId="7849" priority="56" operator="lessThan">
      <formula>5</formula>
    </cfRule>
  </conditionalFormatting>
  <conditionalFormatting sqref="H54:N54">
    <cfRule type="expression" dxfId="7848" priority="55">
      <formula>5</formula>
    </cfRule>
  </conditionalFormatting>
  <conditionalFormatting sqref="H54:N54">
    <cfRule type="cellIs" dxfId="7847" priority="54" operator="lessThan">
      <formula>50</formula>
    </cfRule>
  </conditionalFormatting>
  <conditionalFormatting sqref="P54">
    <cfRule type="cellIs" dxfId="7846" priority="53" operator="lessThan">
      <formula>50</formula>
    </cfRule>
  </conditionalFormatting>
  <conditionalFormatting sqref="H55:N55">
    <cfRule type="cellIs" dxfId="7845" priority="52" operator="lessThan">
      <formula>5</formula>
    </cfRule>
  </conditionalFormatting>
  <conditionalFormatting sqref="H55:N55">
    <cfRule type="expression" dxfId="7844" priority="51">
      <formula>5</formula>
    </cfRule>
  </conditionalFormatting>
  <conditionalFormatting sqref="H55:N55">
    <cfRule type="cellIs" dxfId="7843" priority="50" operator="lessThan">
      <formula>50</formula>
    </cfRule>
  </conditionalFormatting>
  <conditionalFormatting sqref="P55">
    <cfRule type="cellIs" dxfId="7842" priority="49" operator="lessThan">
      <formula>50</formula>
    </cfRule>
  </conditionalFormatting>
  <conditionalFormatting sqref="H56:N56">
    <cfRule type="cellIs" dxfId="7841" priority="48" operator="lessThan">
      <formula>5</formula>
    </cfRule>
  </conditionalFormatting>
  <conditionalFormatting sqref="H56:N56">
    <cfRule type="expression" dxfId="7840" priority="47">
      <formula>5</formula>
    </cfRule>
  </conditionalFormatting>
  <conditionalFormatting sqref="H56:N56">
    <cfRule type="cellIs" dxfId="7839" priority="46" operator="lessThan">
      <formula>50</formula>
    </cfRule>
  </conditionalFormatting>
  <conditionalFormatting sqref="P56">
    <cfRule type="cellIs" dxfId="7838" priority="45" operator="lessThan">
      <formula>50</formula>
    </cfRule>
  </conditionalFormatting>
  <conditionalFormatting sqref="H57:N57">
    <cfRule type="cellIs" dxfId="7837" priority="44" operator="lessThan">
      <formula>5</formula>
    </cfRule>
  </conditionalFormatting>
  <conditionalFormatting sqref="H57:N57">
    <cfRule type="expression" dxfId="7836" priority="43">
      <formula>5</formula>
    </cfRule>
  </conditionalFormatting>
  <conditionalFormatting sqref="H57:N57">
    <cfRule type="cellIs" dxfId="7835" priority="42" operator="lessThan">
      <formula>50</formula>
    </cfRule>
  </conditionalFormatting>
  <conditionalFormatting sqref="P57">
    <cfRule type="cellIs" dxfId="7834" priority="41" operator="lessThan">
      <formula>50</formula>
    </cfRule>
  </conditionalFormatting>
  <conditionalFormatting sqref="H58:N58">
    <cfRule type="cellIs" dxfId="7833" priority="40" operator="lessThan">
      <formula>5</formula>
    </cfRule>
  </conditionalFormatting>
  <conditionalFormatting sqref="H58:N58">
    <cfRule type="expression" dxfId="7832" priority="39">
      <formula>5</formula>
    </cfRule>
  </conditionalFormatting>
  <conditionalFormatting sqref="H58:N58">
    <cfRule type="cellIs" dxfId="7831" priority="38" operator="lessThan">
      <formula>50</formula>
    </cfRule>
  </conditionalFormatting>
  <conditionalFormatting sqref="P58">
    <cfRule type="cellIs" dxfId="7830" priority="37" operator="lessThan">
      <formula>50</formula>
    </cfRule>
  </conditionalFormatting>
  <conditionalFormatting sqref="H59:N59">
    <cfRule type="cellIs" dxfId="7829" priority="36" operator="lessThan">
      <formula>5</formula>
    </cfRule>
  </conditionalFormatting>
  <conditionalFormatting sqref="H59:N59">
    <cfRule type="expression" dxfId="7828" priority="35">
      <formula>5</formula>
    </cfRule>
  </conditionalFormatting>
  <conditionalFormatting sqref="H59:N59">
    <cfRule type="cellIs" dxfId="7827" priority="34" operator="lessThan">
      <formula>50</formula>
    </cfRule>
  </conditionalFormatting>
  <conditionalFormatting sqref="P59">
    <cfRule type="cellIs" dxfId="7826" priority="33" operator="lessThan">
      <formula>50</formula>
    </cfRule>
  </conditionalFormatting>
  <conditionalFormatting sqref="H60:N60">
    <cfRule type="cellIs" dxfId="7825" priority="32" operator="lessThan">
      <formula>5</formula>
    </cfRule>
  </conditionalFormatting>
  <conditionalFormatting sqref="H60:N60">
    <cfRule type="expression" dxfId="7824" priority="31">
      <formula>5</formula>
    </cfRule>
  </conditionalFormatting>
  <conditionalFormatting sqref="H60:N60">
    <cfRule type="cellIs" dxfId="7823" priority="30" operator="lessThan">
      <formula>50</formula>
    </cfRule>
  </conditionalFormatting>
  <conditionalFormatting sqref="P60">
    <cfRule type="cellIs" dxfId="7822" priority="29" operator="lessThan">
      <formula>50</formula>
    </cfRule>
  </conditionalFormatting>
  <conditionalFormatting sqref="H61:N61">
    <cfRule type="cellIs" dxfId="7821" priority="28" operator="lessThan">
      <formula>5</formula>
    </cfRule>
  </conditionalFormatting>
  <conditionalFormatting sqref="H61:N61">
    <cfRule type="expression" dxfId="7820" priority="27">
      <formula>5</formula>
    </cfRule>
  </conditionalFormatting>
  <conditionalFormatting sqref="H61:N61">
    <cfRule type="cellIs" dxfId="7819" priority="26" operator="lessThan">
      <formula>50</formula>
    </cfRule>
  </conditionalFormatting>
  <conditionalFormatting sqref="P61">
    <cfRule type="cellIs" dxfId="7818" priority="25" operator="lessThan">
      <formula>50</formula>
    </cfRule>
  </conditionalFormatting>
  <conditionalFormatting sqref="H62:N62">
    <cfRule type="cellIs" dxfId="7817" priority="24" operator="lessThan">
      <formula>5</formula>
    </cfRule>
  </conditionalFormatting>
  <conditionalFormatting sqref="H62:N62">
    <cfRule type="expression" dxfId="7816" priority="23">
      <formula>5</formula>
    </cfRule>
  </conditionalFormatting>
  <conditionalFormatting sqref="H62:N62">
    <cfRule type="cellIs" dxfId="7815" priority="22" operator="lessThan">
      <formula>50</formula>
    </cfRule>
  </conditionalFormatting>
  <conditionalFormatting sqref="P62">
    <cfRule type="cellIs" dxfId="7814" priority="21" operator="lessThan">
      <formula>50</formula>
    </cfRule>
  </conditionalFormatting>
  <conditionalFormatting sqref="H63:N63">
    <cfRule type="cellIs" dxfId="7813" priority="20" operator="lessThan">
      <formula>5</formula>
    </cfRule>
  </conditionalFormatting>
  <conditionalFormatting sqref="H63:N63">
    <cfRule type="expression" dxfId="7812" priority="19">
      <formula>5</formula>
    </cfRule>
  </conditionalFormatting>
  <conditionalFormatting sqref="H63:N63">
    <cfRule type="cellIs" dxfId="7811" priority="18" operator="lessThan">
      <formula>50</formula>
    </cfRule>
  </conditionalFormatting>
  <conditionalFormatting sqref="P63">
    <cfRule type="cellIs" dxfId="7810" priority="17" operator="lessThan">
      <formula>50</formula>
    </cfRule>
  </conditionalFormatting>
  <conditionalFormatting sqref="H64:N64">
    <cfRule type="cellIs" dxfId="7809" priority="16" operator="lessThan">
      <formula>5</formula>
    </cfRule>
  </conditionalFormatting>
  <conditionalFormatting sqref="H64:N64">
    <cfRule type="expression" dxfId="7808" priority="15">
      <formula>5</formula>
    </cfRule>
  </conditionalFormatting>
  <conditionalFormatting sqref="H64:N64">
    <cfRule type="cellIs" dxfId="7807" priority="14" operator="lessThan">
      <formula>50</formula>
    </cfRule>
  </conditionalFormatting>
  <conditionalFormatting sqref="P64">
    <cfRule type="cellIs" dxfId="7806" priority="13" operator="lessThan">
      <formula>50</formula>
    </cfRule>
  </conditionalFormatting>
  <conditionalFormatting sqref="H65:N65">
    <cfRule type="cellIs" dxfId="7805" priority="12" operator="lessThan">
      <formula>5</formula>
    </cfRule>
  </conditionalFormatting>
  <conditionalFormatting sqref="H65:N65">
    <cfRule type="expression" dxfId="7804" priority="11">
      <formula>5</formula>
    </cfRule>
  </conditionalFormatting>
  <conditionalFormatting sqref="H65:N65">
    <cfRule type="cellIs" dxfId="7803" priority="10" operator="lessThan">
      <formula>50</formula>
    </cfRule>
  </conditionalFormatting>
  <conditionalFormatting sqref="P65">
    <cfRule type="cellIs" dxfId="7802" priority="9" operator="lessThan">
      <formula>50</formula>
    </cfRule>
  </conditionalFormatting>
  <conditionalFormatting sqref="H66:N66">
    <cfRule type="cellIs" dxfId="7801" priority="8" operator="lessThan">
      <formula>5</formula>
    </cfRule>
  </conditionalFormatting>
  <conditionalFormatting sqref="H66:N66">
    <cfRule type="expression" dxfId="7800" priority="7">
      <formula>5</formula>
    </cfRule>
  </conditionalFormatting>
  <conditionalFormatting sqref="H66:N66">
    <cfRule type="cellIs" dxfId="7799" priority="6" operator="lessThan">
      <formula>50</formula>
    </cfRule>
  </conditionalFormatting>
  <conditionalFormatting sqref="P66">
    <cfRule type="cellIs" dxfId="7798" priority="5" operator="lessThan">
      <formula>50</formula>
    </cfRule>
  </conditionalFormatting>
  <conditionalFormatting sqref="H67:N67">
    <cfRule type="cellIs" dxfId="7797" priority="4" operator="lessThan">
      <formula>5</formula>
    </cfRule>
  </conditionalFormatting>
  <conditionalFormatting sqref="H67:N67">
    <cfRule type="expression" dxfId="7796" priority="3">
      <formula>5</formula>
    </cfRule>
  </conditionalFormatting>
  <conditionalFormatting sqref="H67:N67">
    <cfRule type="cellIs" dxfId="7795" priority="2" operator="lessThan">
      <formula>50</formula>
    </cfRule>
  </conditionalFormatting>
  <conditionalFormatting sqref="P67">
    <cfRule type="cellIs" dxfId="7794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4:E22 D33:E33 D38:E40 D54:E54" xr:uid="{DC0B6FD9-8F84-433B-B840-165504A8F63B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6E75-54B5-4294-A6E6-D72D02E7B1CA}">
  <sheetPr codeName="Sheet91"/>
  <dimension ref="A1:Q67"/>
  <sheetViews>
    <sheetView showGridLines="0" topLeftCell="A37" workbookViewId="0">
      <selection activeCell="F9" sqref="F9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6" width="4.7109375" style="44" customWidth="1"/>
    <col min="17" max="17" width="4.7109375" customWidth="1"/>
  </cols>
  <sheetData>
    <row r="1" spans="1:17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42"/>
      <c r="Q4" s="11"/>
    </row>
    <row r="5" spans="1:17" ht="16.5" customHeight="1">
      <c r="A5" s="57" t="s">
        <v>5326</v>
      </c>
      <c r="B5" s="57"/>
      <c r="C5" s="17"/>
      <c r="D5" s="15" t="s">
        <v>5335</v>
      </c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42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7" t="s">
        <v>7</v>
      </c>
      <c r="I6" s="38" t="s">
        <v>1</v>
      </c>
      <c r="J6" s="37" t="s">
        <v>8</v>
      </c>
      <c r="K6" s="37" t="s">
        <v>2</v>
      </c>
      <c r="L6" s="37" t="s">
        <v>9</v>
      </c>
      <c r="M6" s="47" t="s">
        <v>10</v>
      </c>
      <c r="N6" s="37" t="s">
        <v>3</v>
      </c>
      <c r="O6" s="37" t="s">
        <v>5320</v>
      </c>
      <c r="P6" s="45" t="s">
        <v>5321</v>
      </c>
      <c r="Q6" s="39" t="s">
        <v>5324</v>
      </c>
    </row>
    <row r="7" spans="1:17" ht="18" customHeight="1" thickTop="1">
      <c r="A7" s="19">
        <v>1</v>
      </c>
      <c r="B7" s="2" t="s">
        <v>1404</v>
      </c>
      <c r="C7" s="1" t="s">
        <v>1405</v>
      </c>
      <c r="D7" s="3" t="s">
        <v>1406</v>
      </c>
      <c r="E7" s="1" t="s">
        <v>74</v>
      </c>
      <c r="F7" s="10" t="s">
        <v>1302</v>
      </c>
      <c r="G7" s="2">
        <v>28</v>
      </c>
      <c r="H7" s="8">
        <v>95</v>
      </c>
      <c r="I7" s="8">
        <v>70</v>
      </c>
      <c r="J7" s="8">
        <v>100</v>
      </c>
      <c r="K7" s="8">
        <v>90</v>
      </c>
      <c r="L7" s="8">
        <v>95</v>
      </c>
      <c r="M7" s="8">
        <v>100</v>
      </c>
      <c r="N7" s="8">
        <v>80</v>
      </c>
      <c r="O7" s="1">
        <f t="shared" ref="O7:O38" si="0">SUBTOTAL(9,I7:N7)</f>
        <v>535</v>
      </c>
      <c r="P7" s="14">
        <f t="shared" ref="P7:P38" si="1">O7/7</f>
        <v>76.428571428571431</v>
      </c>
      <c r="Q7" s="20">
        <f t="shared" ref="Q7:Q38" si="2">RANK(P7,P$7:P$311,0)</f>
        <v>1</v>
      </c>
    </row>
    <row r="8" spans="1:17" ht="18" customHeight="1">
      <c r="A8" s="19">
        <v>2</v>
      </c>
      <c r="B8" s="2" t="s">
        <v>1335</v>
      </c>
      <c r="C8" s="1" t="s">
        <v>1336</v>
      </c>
      <c r="D8" s="3" t="s">
        <v>1337</v>
      </c>
      <c r="E8" s="1" t="s">
        <v>71</v>
      </c>
      <c r="F8" s="10" t="s">
        <v>1302</v>
      </c>
      <c r="G8" s="2">
        <v>27</v>
      </c>
      <c r="H8" s="8">
        <v>80</v>
      </c>
      <c r="I8" s="8">
        <v>73</v>
      </c>
      <c r="J8" s="8">
        <v>95</v>
      </c>
      <c r="K8" s="8">
        <v>90</v>
      </c>
      <c r="L8" s="8">
        <v>80</v>
      </c>
      <c r="M8" s="8">
        <v>95</v>
      </c>
      <c r="N8" s="8">
        <v>90</v>
      </c>
      <c r="O8" s="1">
        <f t="shared" si="0"/>
        <v>523</v>
      </c>
      <c r="P8" s="14">
        <f t="shared" si="1"/>
        <v>74.714285714285708</v>
      </c>
      <c r="Q8" s="20">
        <f t="shared" si="2"/>
        <v>2</v>
      </c>
    </row>
    <row r="9" spans="1:17" ht="18" customHeight="1">
      <c r="A9" s="19">
        <v>3</v>
      </c>
      <c r="B9" s="2" t="s">
        <v>1401</v>
      </c>
      <c r="C9" s="1" t="s">
        <v>1402</v>
      </c>
      <c r="D9" s="3" t="s">
        <v>1403</v>
      </c>
      <c r="E9" s="1" t="s">
        <v>74</v>
      </c>
      <c r="F9" s="10" t="s">
        <v>1302</v>
      </c>
      <c r="G9" s="2">
        <v>28</v>
      </c>
      <c r="H9" s="8">
        <v>100</v>
      </c>
      <c r="I9" s="8">
        <v>73</v>
      </c>
      <c r="J9" s="8">
        <v>80</v>
      </c>
      <c r="K9" s="8">
        <v>95</v>
      </c>
      <c r="L9" s="8">
        <v>90</v>
      </c>
      <c r="M9" s="8">
        <v>100</v>
      </c>
      <c r="N9" s="8">
        <v>80</v>
      </c>
      <c r="O9" s="1">
        <f t="shared" si="0"/>
        <v>518</v>
      </c>
      <c r="P9" s="14">
        <f t="shared" si="1"/>
        <v>74</v>
      </c>
      <c r="Q9" s="20">
        <f t="shared" si="2"/>
        <v>3</v>
      </c>
    </row>
    <row r="10" spans="1:17" ht="18" customHeight="1">
      <c r="A10" s="19">
        <v>4</v>
      </c>
      <c r="B10" s="2" t="s">
        <v>1407</v>
      </c>
      <c r="C10" s="1" t="s">
        <v>1408</v>
      </c>
      <c r="D10" s="3" t="s">
        <v>1409</v>
      </c>
      <c r="E10" s="1" t="s">
        <v>74</v>
      </c>
      <c r="F10" s="10" t="s">
        <v>1302</v>
      </c>
      <c r="G10" s="2">
        <v>28</v>
      </c>
      <c r="H10" s="8">
        <v>90</v>
      </c>
      <c r="I10" s="8">
        <v>58</v>
      </c>
      <c r="J10" s="8">
        <v>85</v>
      </c>
      <c r="K10" s="8">
        <v>90</v>
      </c>
      <c r="L10" s="8">
        <v>95</v>
      </c>
      <c r="M10" s="8">
        <v>80</v>
      </c>
      <c r="N10" s="8">
        <v>70</v>
      </c>
      <c r="O10" s="1">
        <f t="shared" si="0"/>
        <v>478</v>
      </c>
      <c r="P10" s="14">
        <f t="shared" si="1"/>
        <v>68.285714285714292</v>
      </c>
      <c r="Q10" s="20">
        <f t="shared" si="2"/>
        <v>4</v>
      </c>
    </row>
    <row r="11" spans="1:17" ht="18" customHeight="1">
      <c r="A11" s="19">
        <v>5</v>
      </c>
      <c r="B11" s="2" t="s">
        <v>1359</v>
      </c>
      <c r="C11" s="1" t="s">
        <v>1360</v>
      </c>
      <c r="D11" s="3" t="s">
        <v>1361</v>
      </c>
      <c r="E11" s="1" t="s">
        <v>60</v>
      </c>
      <c r="F11" s="10" t="s">
        <v>1302</v>
      </c>
      <c r="G11" s="2">
        <v>27</v>
      </c>
      <c r="H11" s="8">
        <v>95</v>
      </c>
      <c r="I11" s="8">
        <v>70</v>
      </c>
      <c r="J11" s="8">
        <v>100</v>
      </c>
      <c r="K11" s="8">
        <v>70</v>
      </c>
      <c r="L11" s="8">
        <v>90</v>
      </c>
      <c r="M11" s="8">
        <v>85</v>
      </c>
      <c r="N11" s="8">
        <v>60</v>
      </c>
      <c r="O11" s="1">
        <f t="shared" si="0"/>
        <v>475</v>
      </c>
      <c r="P11" s="14">
        <f t="shared" si="1"/>
        <v>67.857142857142861</v>
      </c>
      <c r="Q11" s="20">
        <f t="shared" si="2"/>
        <v>5</v>
      </c>
    </row>
    <row r="12" spans="1:17" ht="18" customHeight="1">
      <c r="A12" s="19">
        <v>6</v>
      </c>
      <c r="B12" s="2" t="s">
        <v>1458</v>
      </c>
      <c r="C12" s="1">
        <v>311260899</v>
      </c>
      <c r="D12" s="3" t="s">
        <v>1459</v>
      </c>
      <c r="E12" s="1" t="s">
        <v>68</v>
      </c>
      <c r="F12" s="10" t="s">
        <v>1302</v>
      </c>
      <c r="G12" s="2">
        <v>29</v>
      </c>
      <c r="H12" s="8">
        <v>50</v>
      </c>
      <c r="I12" s="8">
        <v>90</v>
      </c>
      <c r="J12" s="8">
        <v>85</v>
      </c>
      <c r="K12" s="8">
        <v>65</v>
      </c>
      <c r="L12" s="8">
        <v>90</v>
      </c>
      <c r="M12" s="8">
        <v>80</v>
      </c>
      <c r="N12" s="8">
        <v>55</v>
      </c>
      <c r="O12" s="1">
        <f t="shared" si="0"/>
        <v>465</v>
      </c>
      <c r="P12" s="14">
        <f t="shared" si="1"/>
        <v>66.428571428571431</v>
      </c>
      <c r="Q12" s="20">
        <f t="shared" si="2"/>
        <v>6</v>
      </c>
    </row>
    <row r="13" spans="1:17" ht="18" customHeight="1">
      <c r="A13" s="19">
        <v>7</v>
      </c>
      <c r="B13" s="2" t="s">
        <v>1436</v>
      </c>
      <c r="C13" s="1">
        <v>311260411</v>
      </c>
      <c r="D13" s="3" t="s">
        <v>1437</v>
      </c>
      <c r="E13" s="1" t="s">
        <v>58</v>
      </c>
      <c r="F13" s="10" t="s">
        <v>1302</v>
      </c>
      <c r="G13" s="2">
        <v>28</v>
      </c>
      <c r="H13" s="8">
        <v>65</v>
      </c>
      <c r="I13" s="8">
        <v>73</v>
      </c>
      <c r="J13" s="8">
        <v>60</v>
      </c>
      <c r="K13" s="8">
        <v>50</v>
      </c>
      <c r="L13" s="8">
        <v>100</v>
      </c>
      <c r="M13" s="8">
        <v>95</v>
      </c>
      <c r="N13" s="8">
        <v>75</v>
      </c>
      <c r="O13" s="1">
        <f t="shared" si="0"/>
        <v>453</v>
      </c>
      <c r="P13" s="14">
        <f t="shared" si="1"/>
        <v>64.714285714285708</v>
      </c>
      <c r="Q13" s="20">
        <f t="shared" si="2"/>
        <v>7</v>
      </c>
    </row>
    <row r="14" spans="1:17" ht="18" customHeight="1">
      <c r="A14" s="19">
        <v>8</v>
      </c>
      <c r="B14" s="2" t="s">
        <v>1329</v>
      </c>
      <c r="C14" s="1" t="s">
        <v>1330</v>
      </c>
      <c r="D14" s="3" t="s">
        <v>1331</v>
      </c>
      <c r="E14" s="1" t="s">
        <v>56</v>
      </c>
      <c r="F14" s="10" t="s">
        <v>1302</v>
      </c>
      <c r="G14" s="2">
        <v>27</v>
      </c>
      <c r="H14" s="8">
        <v>75</v>
      </c>
      <c r="I14" s="8">
        <v>68</v>
      </c>
      <c r="J14" s="8">
        <v>85</v>
      </c>
      <c r="K14" s="8">
        <v>90</v>
      </c>
      <c r="L14" s="8">
        <v>70</v>
      </c>
      <c r="M14" s="8">
        <v>95</v>
      </c>
      <c r="N14" s="8">
        <v>35</v>
      </c>
      <c r="O14" s="1">
        <f t="shared" si="0"/>
        <v>443</v>
      </c>
      <c r="P14" s="14">
        <f t="shared" si="1"/>
        <v>63.285714285714285</v>
      </c>
      <c r="Q14" s="20">
        <f t="shared" si="2"/>
        <v>8</v>
      </c>
    </row>
    <row r="15" spans="1:17" ht="18" customHeight="1">
      <c r="A15" s="19">
        <v>9</v>
      </c>
      <c r="B15" s="2" t="s">
        <v>1377</v>
      </c>
      <c r="C15" s="1" t="s">
        <v>1378</v>
      </c>
      <c r="D15" s="3" t="s">
        <v>1379</v>
      </c>
      <c r="E15" s="1" t="s">
        <v>62</v>
      </c>
      <c r="F15" s="10" t="s">
        <v>1302</v>
      </c>
      <c r="G15" s="2">
        <v>27</v>
      </c>
      <c r="H15" s="8">
        <v>60</v>
      </c>
      <c r="I15" s="8">
        <v>75</v>
      </c>
      <c r="J15" s="8">
        <v>85</v>
      </c>
      <c r="K15" s="8">
        <v>85</v>
      </c>
      <c r="L15" s="8">
        <v>60</v>
      </c>
      <c r="M15" s="8">
        <v>45</v>
      </c>
      <c r="N15" s="8">
        <v>85</v>
      </c>
      <c r="O15" s="1">
        <f t="shared" si="0"/>
        <v>435</v>
      </c>
      <c r="P15" s="14">
        <f t="shared" si="1"/>
        <v>62.142857142857146</v>
      </c>
      <c r="Q15" s="20">
        <f t="shared" si="2"/>
        <v>9</v>
      </c>
    </row>
    <row r="16" spans="1:17" ht="18" customHeight="1">
      <c r="A16" s="19">
        <v>10</v>
      </c>
      <c r="B16" s="2" t="s">
        <v>1383</v>
      </c>
      <c r="C16" s="1" t="s">
        <v>1384</v>
      </c>
      <c r="D16" s="3" t="s">
        <v>1385</v>
      </c>
      <c r="E16" s="1" t="s">
        <v>73</v>
      </c>
      <c r="F16" s="10" t="s">
        <v>1302</v>
      </c>
      <c r="G16" s="2">
        <v>27</v>
      </c>
      <c r="H16" s="8">
        <v>90</v>
      </c>
      <c r="I16" s="8">
        <v>55</v>
      </c>
      <c r="J16" s="8">
        <v>70</v>
      </c>
      <c r="K16" s="8">
        <v>65</v>
      </c>
      <c r="L16" s="8">
        <v>80</v>
      </c>
      <c r="M16" s="8">
        <v>90</v>
      </c>
      <c r="N16" s="8">
        <v>70</v>
      </c>
      <c r="O16" s="1">
        <f t="shared" si="0"/>
        <v>430</v>
      </c>
      <c r="P16" s="14">
        <f t="shared" si="1"/>
        <v>61.428571428571431</v>
      </c>
      <c r="Q16" s="20">
        <f t="shared" si="2"/>
        <v>10</v>
      </c>
    </row>
    <row r="17" spans="1:17" ht="18" customHeight="1">
      <c r="A17" s="19">
        <v>11</v>
      </c>
      <c r="B17" s="2" t="s">
        <v>1454</v>
      </c>
      <c r="C17" s="1">
        <v>311260897</v>
      </c>
      <c r="D17" s="3" t="s">
        <v>1455</v>
      </c>
      <c r="E17" s="1" t="s">
        <v>65</v>
      </c>
      <c r="F17" s="10" t="s">
        <v>1302</v>
      </c>
      <c r="G17" s="2">
        <v>29</v>
      </c>
      <c r="H17" s="8">
        <v>60</v>
      </c>
      <c r="I17" s="8">
        <v>73</v>
      </c>
      <c r="J17" s="8">
        <v>65</v>
      </c>
      <c r="K17" s="8">
        <v>65</v>
      </c>
      <c r="L17" s="8">
        <v>95</v>
      </c>
      <c r="M17" s="8">
        <v>80</v>
      </c>
      <c r="N17" s="8">
        <v>50</v>
      </c>
      <c r="O17" s="1">
        <f t="shared" si="0"/>
        <v>428</v>
      </c>
      <c r="P17" s="14">
        <f t="shared" si="1"/>
        <v>61.142857142857146</v>
      </c>
      <c r="Q17" s="20">
        <f t="shared" si="2"/>
        <v>11</v>
      </c>
    </row>
    <row r="18" spans="1:17" ht="18" customHeight="1">
      <c r="A18" s="19">
        <v>12</v>
      </c>
      <c r="B18" s="2" t="s">
        <v>1386</v>
      </c>
      <c r="C18" s="1" t="s">
        <v>1387</v>
      </c>
      <c r="D18" s="3" t="s">
        <v>1388</v>
      </c>
      <c r="E18" s="1" t="s">
        <v>73</v>
      </c>
      <c r="F18" s="10" t="s">
        <v>1302</v>
      </c>
      <c r="G18" s="2">
        <v>27</v>
      </c>
      <c r="H18" s="8">
        <v>80</v>
      </c>
      <c r="I18" s="8">
        <v>65</v>
      </c>
      <c r="J18" s="8">
        <v>75</v>
      </c>
      <c r="K18" s="8">
        <v>90</v>
      </c>
      <c r="L18" s="8">
        <v>80</v>
      </c>
      <c r="M18" s="8">
        <v>100</v>
      </c>
      <c r="N18" s="8">
        <v>15</v>
      </c>
      <c r="O18" s="1">
        <f t="shared" si="0"/>
        <v>425</v>
      </c>
      <c r="P18" s="14">
        <f t="shared" si="1"/>
        <v>60.714285714285715</v>
      </c>
      <c r="Q18" s="20">
        <f t="shared" si="2"/>
        <v>12</v>
      </c>
    </row>
    <row r="19" spans="1:17" ht="18" customHeight="1">
      <c r="A19" s="19">
        <v>13</v>
      </c>
      <c r="B19" s="2" t="s">
        <v>1438</v>
      </c>
      <c r="C19" s="1">
        <v>311260412</v>
      </c>
      <c r="D19" s="3" t="s">
        <v>1439</v>
      </c>
      <c r="E19" s="1" t="s">
        <v>59</v>
      </c>
      <c r="F19" s="10" t="s">
        <v>1302</v>
      </c>
      <c r="G19" s="2">
        <v>28</v>
      </c>
      <c r="H19" s="8">
        <v>75</v>
      </c>
      <c r="I19" s="8">
        <v>70</v>
      </c>
      <c r="J19" s="8">
        <v>75</v>
      </c>
      <c r="K19" s="8">
        <v>70</v>
      </c>
      <c r="L19" s="8">
        <v>60</v>
      </c>
      <c r="M19" s="8">
        <v>75</v>
      </c>
      <c r="N19" s="8">
        <v>70</v>
      </c>
      <c r="O19" s="1">
        <f t="shared" si="0"/>
        <v>420</v>
      </c>
      <c r="P19" s="14">
        <f t="shared" si="1"/>
        <v>60</v>
      </c>
      <c r="Q19" s="20">
        <f t="shared" si="2"/>
        <v>13</v>
      </c>
    </row>
    <row r="20" spans="1:17" ht="18" customHeight="1">
      <c r="A20" s="19">
        <v>14</v>
      </c>
      <c r="B20" s="2" t="s">
        <v>1374</v>
      </c>
      <c r="C20" s="1" t="s">
        <v>1375</v>
      </c>
      <c r="D20" s="3" t="s">
        <v>1376</v>
      </c>
      <c r="E20" s="1" t="s">
        <v>62</v>
      </c>
      <c r="F20" s="10" t="s">
        <v>1302</v>
      </c>
      <c r="G20" s="2">
        <v>27</v>
      </c>
      <c r="H20" s="8">
        <v>80</v>
      </c>
      <c r="I20" s="8">
        <v>70</v>
      </c>
      <c r="J20" s="8">
        <v>70</v>
      </c>
      <c r="K20" s="8">
        <v>55</v>
      </c>
      <c r="L20" s="8">
        <v>55</v>
      </c>
      <c r="M20" s="8">
        <v>90</v>
      </c>
      <c r="N20" s="8">
        <v>75</v>
      </c>
      <c r="O20" s="1">
        <f t="shared" si="0"/>
        <v>415</v>
      </c>
      <c r="P20" s="14">
        <f t="shared" si="1"/>
        <v>59.285714285714285</v>
      </c>
      <c r="Q20" s="20">
        <f t="shared" si="2"/>
        <v>14</v>
      </c>
    </row>
    <row r="21" spans="1:17" ht="18" customHeight="1">
      <c r="A21" s="19">
        <v>15</v>
      </c>
      <c r="B21" s="2" t="s">
        <v>1410</v>
      </c>
      <c r="C21" s="1" t="s">
        <v>1411</v>
      </c>
      <c r="D21" s="3" t="s">
        <v>1412</v>
      </c>
      <c r="E21" s="1" t="s">
        <v>64</v>
      </c>
      <c r="F21" s="10" t="s">
        <v>1302</v>
      </c>
      <c r="G21" s="2">
        <v>28</v>
      </c>
      <c r="H21" s="8">
        <v>75</v>
      </c>
      <c r="I21" s="8">
        <v>70</v>
      </c>
      <c r="J21" s="8">
        <v>65</v>
      </c>
      <c r="K21" s="8">
        <v>65</v>
      </c>
      <c r="L21" s="8">
        <v>70</v>
      </c>
      <c r="M21" s="8">
        <v>85</v>
      </c>
      <c r="N21" s="8">
        <v>55</v>
      </c>
      <c r="O21" s="1">
        <f t="shared" si="0"/>
        <v>410</v>
      </c>
      <c r="P21" s="14">
        <f t="shared" si="1"/>
        <v>58.571428571428569</v>
      </c>
      <c r="Q21" s="20">
        <f t="shared" si="2"/>
        <v>15</v>
      </c>
    </row>
    <row r="22" spans="1:17" ht="18" customHeight="1">
      <c r="A22" s="19">
        <v>16</v>
      </c>
      <c r="B22" s="2" t="s">
        <v>1332</v>
      </c>
      <c r="C22" s="1" t="s">
        <v>1333</v>
      </c>
      <c r="D22" s="3" t="s">
        <v>1334</v>
      </c>
      <c r="E22" s="1" t="s">
        <v>57</v>
      </c>
      <c r="F22" s="10" t="s">
        <v>1302</v>
      </c>
      <c r="G22" s="2">
        <v>27</v>
      </c>
      <c r="H22" s="8">
        <v>60</v>
      </c>
      <c r="I22" s="8">
        <v>73</v>
      </c>
      <c r="J22" s="8">
        <v>55</v>
      </c>
      <c r="K22" s="8">
        <v>60</v>
      </c>
      <c r="L22" s="8">
        <v>65</v>
      </c>
      <c r="M22" s="8">
        <v>80</v>
      </c>
      <c r="N22" s="8">
        <v>75</v>
      </c>
      <c r="O22" s="1">
        <f t="shared" si="0"/>
        <v>408</v>
      </c>
      <c r="P22" s="14">
        <f t="shared" si="1"/>
        <v>58.285714285714285</v>
      </c>
      <c r="Q22" s="20">
        <f t="shared" si="2"/>
        <v>16</v>
      </c>
    </row>
    <row r="23" spans="1:17" ht="18" customHeight="1">
      <c r="A23" s="19">
        <v>17</v>
      </c>
      <c r="B23" s="2" t="s">
        <v>1419</v>
      </c>
      <c r="C23" s="1" t="s">
        <v>1420</v>
      </c>
      <c r="D23" s="3" t="s">
        <v>1421</v>
      </c>
      <c r="E23" s="1" t="s">
        <v>78</v>
      </c>
      <c r="F23" s="10" t="s">
        <v>1302</v>
      </c>
      <c r="G23" s="2">
        <v>28</v>
      </c>
      <c r="H23" s="8">
        <v>75</v>
      </c>
      <c r="I23" s="8">
        <v>65</v>
      </c>
      <c r="J23" s="8">
        <v>80</v>
      </c>
      <c r="K23" s="8">
        <v>65</v>
      </c>
      <c r="L23" s="8">
        <v>50</v>
      </c>
      <c r="M23" s="8">
        <v>75</v>
      </c>
      <c r="N23" s="8">
        <v>50</v>
      </c>
      <c r="O23" s="1">
        <f t="shared" si="0"/>
        <v>385</v>
      </c>
      <c r="P23" s="14">
        <f t="shared" si="1"/>
        <v>55</v>
      </c>
      <c r="Q23" s="20">
        <f t="shared" si="2"/>
        <v>17</v>
      </c>
    </row>
    <row r="24" spans="1:17" ht="18" customHeight="1">
      <c r="A24" s="19">
        <v>18</v>
      </c>
      <c r="B24" s="2" t="s">
        <v>1422</v>
      </c>
      <c r="C24" s="1">
        <v>311260284</v>
      </c>
      <c r="D24" s="3" t="s">
        <v>1423</v>
      </c>
      <c r="E24" s="1" t="s">
        <v>69</v>
      </c>
      <c r="F24" s="10" t="s">
        <v>1302</v>
      </c>
      <c r="G24" s="2">
        <v>28</v>
      </c>
      <c r="H24" s="8">
        <v>70</v>
      </c>
      <c r="I24" s="8">
        <v>73</v>
      </c>
      <c r="J24" s="8">
        <v>55</v>
      </c>
      <c r="K24" s="8">
        <v>80</v>
      </c>
      <c r="L24" s="8">
        <v>60</v>
      </c>
      <c r="M24" s="8">
        <v>65</v>
      </c>
      <c r="N24" s="8">
        <v>50</v>
      </c>
      <c r="O24" s="1">
        <f t="shared" si="0"/>
        <v>383</v>
      </c>
      <c r="P24" s="14">
        <f t="shared" si="1"/>
        <v>54.714285714285715</v>
      </c>
      <c r="Q24" s="20">
        <f t="shared" si="2"/>
        <v>18</v>
      </c>
    </row>
    <row r="25" spans="1:17" ht="18" customHeight="1">
      <c r="A25" s="19">
        <v>19</v>
      </c>
      <c r="B25" s="2" t="s">
        <v>1398</v>
      </c>
      <c r="C25" s="1" t="s">
        <v>1399</v>
      </c>
      <c r="D25" s="3" t="s">
        <v>1400</v>
      </c>
      <c r="E25" s="1" t="s">
        <v>74</v>
      </c>
      <c r="F25" s="10" t="s">
        <v>1302</v>
      </c>
      <c r="G25" s="2">
        <v>28</v>
      </c>
      <c r="H25" s="8">
        <v>45</v>
      </c>
      <c r="I25" s="8">
        <v>68</v>
      </c>
      <c r="J25" s="8">
        <v>40</v>
      </c>
      <c r="K25" s="8">
        <v>75</v>
      </c>
      <c r="L25" s="8">
        <v>70</v>
      </c>
      <c r="M25" s="8">
        <v>85</v>
      </c>
      <c r="N25" s="8">
        <v>45</v>
      </c>
      <c r="O25" s="1">
        <f t="shared" si="0"/>
        <v>383</v>
      </c>
      <c r="P25" s="14">
        <f t="shared" si="1"/>
        <v>54.714285714285715</v>
      </c>
      <c r="Q25" s="20">
        <f t="shared" si="2"/>
        <v>18</v>
      </c>
    </row>
    <row r="26" spans="1:17" ht="18" customHeight="1">
      <c r="A26" s="19">
        <v>20</v>
      </c>
      <c r="B26" s="2" t="s">
        <v>1428</v>
      </c>
      <c r="C26" s="1">
        <v>311260287</v>
      </c>
      <c r="D26" s="3" t="s">
        <v>1429</v>
      </c>
      <c r="E26" s="1" t="s">
        <v>61</v>
      </c>
      <c r="F26" s="10" t="s">
        <v>1302</v>
      </c>
      <c r="G26" s="2">
        <v>28</v>
      </c>
      <c r="H26" s="8">
        <v>50</v>
      </c>
      <c r="I26" s="8">
        <v>65</v>
      </c>
      <c r="J26" s="8">
        <v>80</v>
      </c>
      <c r="K26" s="8">
        <v>75</v>
      </c>
      <c r="L26" s="8">
        <v>55</v>
      </c>
      <c r="M26" s="8">
        <v>65</v>
      </c>
      <c r="N26" s="8">
        <v>40</v>
      </c>
      <c r="O26" s="1">
        <f t="shared" si="0"/>
        <v>380</v>
      </c>
      <c r="P26" s="14">
        <f t="shared" si="1"/>
        <v>54.285714285714285</v>
      </c>
      <c r="Q26" s="20">
        <f t="shared" si="2"/>
        <v>20</v>
      </c>
    </row>
    <row r="27" spans="1:17" ht="18" customHeight="1">
      <c r="A27" s="19">
        <v>21</v>
      </c>
      <c r="B27" s="2" t="s">
        <v>1368</v>
      </c>
      <c r="C27" s="1" t="s">
        <v>1369</v>
      </c>
      <c r="D27" s="3" t="s">
        <v>1370</v>
      </c>
      <c r="E27" s="1" t="s">
        <v>62</v>
      </c>
      <c r="F27" s="10" t="s">
        <v>1302</v>
      </c>
      <c r="G27" s="2">
        <v>27</v>
      </c>
      <c r="H27" s="8">
        <v>85</v>
      </c>
      <c r="I27" s="8">
        <v>60</v>
      </c>
      <c r="J27" s="8">
        <v>80</v>
      </c>
      <c r="K27" s="8">
        <v>65</v>
      </c>
      <c r="L27" s="8">
        <v>50</v>
      </c>
      <c r="M27" s="8">
        <v>80</v>
      </c>
      <c r="N27" s="8">
        <v>40</v>
      </c>
      <c r="O27" s="1">
        <f t="shared" si="0"/>
        <v>375</v>
      </c>
      <c r="P27" s="14">
        <f t="shared" si="1"/>
        <v>53.571428571428569</v>
      </c>
      <c r="Q27" s="20">
        <f t="shared" si="2"/>
        <v>21</v>
      </c>
    </row>
    <row r="28" spans="1:17" ht="18" customHeight="1">
      <c r="A28" s="19">
        <v>22</v>
      </c>
      <c r="B28" s="2" t="s">
        <v>1303</v>
      </c>
      <c r="C28" s="1" t="s">
        <v>1304</v>
      </c>
      <c r="D28" s="3" t="s">
        <v>1305</v>
      </c>
      <c r="E28" s="1" t="s">
        <v>81</v>
      </c>
      <c r="F28" s="10" t="s">
        <v>1302</v>
      </c>
      <c r="G28" s="2">
        <v>26</v>
      </c>
      <c r="H28" s="8">
        <v>55</v>
      </c>
      <c r="I28" s="8">
        <v>75</v>
      </c>
      <c r="J28" s="8">
        <v>55</v>
      </c>
      <c r="K28" s="8">
        <v>45</v>
      </c>
      <c r="L28" s="8">
        <v>50</v>
      </c>
      <c r="M28" s="8">
        <v>50</v>
      </c>
      <c r="N28" s="8">
        <v>85</v>
      </c>
      <c r="O28" s="1">
        <f t="shared" si="0"/>
        <v>360</v>
      </c>
      <c r="P28" s="14">
        <f t="shared" si="1"/>
        <v>51.428571428571431</v>
      </c>
      <c r="Q28" s="20">
        <f t="shared" si="2"/>
        <v>22</v>
      </c>
    </row>
    <row r="29" spans="1:17" ht="18" customHeight="1">
      <c r="A29" s="19">
        <v>23</v>
      </c>
      <c r="B29" s="2" t="s">
        <v>1452</v>
      </c>
      <c r="C29" s="1">
        <v>311260896</v>
      </c>
      <c r="D29" s="3" t="s">
        <v>1453</v>
      </c>
      <c r="E29" s="1" t="s">
        <v>58</v>
      </c>
      <c r="F29" s="10" t="s">
        <v>1302</v>
      </c>
      <c r="G29" s="2">
        <v>29</v>
      </c>
      <c r="H29" s="8">
        <v>70</v>
      </c>
      <c r="I29" s="8">
        <v>78</v>
      </c>
      <c r="J29" s="8">
        <v>55</v>
      </c>
      <c r="K29" s="8">
        <v>30</v>
      </c>
      <c r="L29" s="8">
        <v>60</v>
      </c>
      <c r="M29" s="8">
        <v>80</v>
      </c>
      <c r="N29" s="8">
        <v>55</v>
      </c>
      <c r="O29" s="1">
        <f t="shared" si="0"/>
        <v>358</v>
      </c>
      <c r="P29" s="14">
        <f t="shared" si="1"/>
        <v>51.142857142857146</v>
      </c>
      <c r="Q29" s="20">
        <f t="shared" si="2"/>
        <v>23</v>
      </c>
    </row>
    <row r="30" spans="1:17" ht="18" customHeight="1">
      <c r="A30" s="19">
        <v>24</v>
      </c>
      <c r="B30" s="2" t="s">
        <v>1442</v>
      </c>
      <c r="C30" s="1">
        <v>311260414</v>
      </c>
      <c r="D30" s="3" t="s">
        <v>1443</v>
      </c>
      <c r="E30" s="1" t="s">
        <v>60</v>
      </c>
      <c r="F30" s="10" t="s">
        <v>1302</v>
      </c>
      <c r="G30" s="2">
        <v>28</v>
      </c>
      <c r="H30" s="8">
        <v>75</v>
      </c>
      <c r="I30" s="8">
        <v>60</v>
      </c>
      <c r="J30" s="8">
        <v>75</v>
      </c>
      <c r="K30" s="8">
        <v>50</v>
      </c>
      <c r="L30" s="8">
        <v>55</v>
      </c>
      <c r="M30" s="8">
        <v>85</v>
      </c>
      <c r="N30" s="8">
        <v>15</v>
      </c>
      <c r="O30" s="1">
        <f t="shared" si="0"/>
        <v>340</v>
      </c>
      <c r="P30" s="14">
        <f t="shared" si="1"/>
        <v>48.571428571428569</v>
      </c>
      <c r="Q30" s="20">
        <f t="shared" si="2"/>
        <v>24</v>
      </c>
    </row>
    <row r="31" spans="1:17" ht="18" customHeight="1">
      <c r="A31" s="19">
        <v>25</v>
      </c>
      <c r="B31" s="2" t="s">
        <v>1350</v>
      </c>
      <c r="C31" s="1" t="s">
        <v>1351</v>
      </c>
      <c r="D31" s="3" t="s">
        <v>1352</v>
      </c>
      <c r="E31" s="1" t="s">
        <v>72</v>
      </c>
      <c r="F31" s="10" t="s">
        <v>1302</v>
      </c>
      <c r="G31" s="2">
        <v>27</v>
      </c>
      <c r="H31" s="8">
        <v>70</v>
      </c>
      <c r="I31" s="8">
        <v>63</v>
      </c>
      <c r="J31" s="8">
        <v>65</v>
      </c>
      <c r="K31" s="8">
        <v>45</v>
      </c>
      <c r="L31" s="8">
        <v>55</v>
      </c>
      <c r="M31" s="8">
        <v>70</v>
      </c>
      <c r="N31" s="8">
        <v>40</v>
      </c>
      <c r="O31" s="1">
        <f t="shared" si="0"/>
        <v>338</v>
      </c>
      <c r="P31" s="14">
        <f t="shared" si="1"/>
        <v>48.285714285714285</v>
      </c>
      <c r="Q31" s="20">
        <f t="shared" si="2"/>
        <v>25</v>
      </c>
    </row>
    <row r="32" spans="1:17" ht="18" customHeight="1">
      <c r="A32" s="19">
        <v>26</v>
      </c>
      <c r="B32" s="2" t="s">
        <v>1312</v>
      </c>
      <c r="C32" s="1" t="s">
        <v>1313</v>
      </c>
      <c r="D32" s="3" t="s">
        <v>1314</v>
      </c>
      <c r="E32" s="1" t="s">
        <v>79</v>
      </c>
      <c r="F32" s="10" t="s">
        <v>1302</v>
      </c>
      <c r="G32" s="2">
        <v>26</v>
      </c>
      <c r="H32" s="8">
        <v>75</v>
      </c>
      <c r="I32" s="8">
        <v>63</v>
      </c>
      <c r="J32" s="8">
        <v>15</v>
      </c>
      <c r="K32" s="8">
        <v>35</v>
      </c>
      <c r="L32" s="8">
        <v>65</v>
      </c>
      <c r="M32" s="8">
        <v>75</v>
      </c>
      <c r="N32" s="8">
        <v>80</v>
      </c>
      <c r="O32" s="1">
        <f t="shared" si="0"/>
        <v>333</v>
      </c>
      <c r="P32" s="14">
        <f t="shared" si="1"/>
        <v>47.571428571428569</v>
      </c>
      <c r="Q32" s="20">
        <f t="shared" si="2"/>
        <v>26</v>
      </c>
    </row>
    <row r="33" spans="1:17" ht="18" customHeight="1">
      <c r="A33" s="19">
        <v>27</v>
      </c>
      <c r="B33" s="2" t="s">
        <v>1389</v>
      </c>
      <c r="C33" s="1" t="s">
        <v>1390</v>
      </c>
      <c r="D33" s="3" t="s">
        <v>1391</v>
      </c>
      <c r="E33" s="1" t="s">
        <v>73</v>
      </c>
      <c r="F33" s="10" t="s">
        <v>1302</v>
      </c>
      <c r="G33" s="2">
        <v>27</v>
      </c>
      <c r="H33" s="8">
        <v>50</v>
      </c>
      <c r="I33" s="8">
        <v>63</v>
      </c>
      <c r="J33" s="8">
        <v>70</v>
      </c>
      <c r="K33" s="8">
        <v>30</v>
      </c>
      <c r="L33" s="8">
        <v>50</v>
      </c>
      <c r="M33" s="8">
        <v>70</v>
      </c>
      <c r="N33" s="8">
        <v>50</v>
      </c>
      <c r="O33" s="1">
        <f t="shared" si="0"/>
        <v>333</v>
      </c>
      <c r="P33" s="14">
        <f t="shared" si="1"/>
        <v>47.571428571428569</v>
      </c>
      <c r="Q33" s="20">
        <f t="shared" si="2"/>
        <v>26</v>
      </c>
    </row>
    <row r="34" spans="1:17" ht="18" customHeight="1">
      <c r="A34" s="19">
        <v>28</v>
      </c>
      <c r="B34" s="2" t="s">
        <v>1309</v>
      </c>
      <c r="C34" s="1" t="s">
        <v>1310</v>
      </c>
      <c r="D34" s="3" t="s">
        <v>1311</v>
      </c>
      <c r="E34" s="1" t="s">
        <v>79</v>
      </c>
      <c r="F34" s="10" t="s">
        <v>1302</v>
      </c>
      <c r="G34" s="2">
        <v>26</v>
      </c>
      <c r="H34" s="8">
        <v>50</v>
      </c>
      <c r="I34" s="8">
        <v>63</v>
      </c>
      <c r="J34" s="8">
        <v>60</v>
      </c>
      <c r="K34" s="8">
        <v>55</v>
      </c>
      <c r="L34" s="8">
        <v>35</v>
      </c>
      <c r="M34" s="8">
        <v>90</v>
      </c>
      <c r="N34" s="8">
        <v>10</v>
      </c>
      <c r="O34" s="1">
        <f t="shared" si="0"/>
        <v>313</v>
      </c>
      <c r="P34" s="14">
        <f t="shared" si="1"/>
        <v>44.714285714285715</v>
      </c>
      <c r="Q34" s="20">
        <f t="shared" si="2"/>
        <v>28</v>
      </c>
    </row>
    <row r="35" spans="1:17" ht="18" customHeight="1">
      <c r="A35" s="19">
        <v>29</v>
      </c>
      <c r="B35" s="2" t="s">
        <v>1434</v>
      </c>
      <c r="C35" s="1">
        <v>311260410</v>
      </c>
      <c r="D35" s="3" t="s">
        <v>1435</v>
      </c>
      <c r="E35" s="1" t="s">
        <v>56</v>
      </c>
      <c r="F35" s="10" t="s">
        <v>1302</v>
      </c>
      <c r="G35" s="2">
        <v>28</v>
      </c>
      <c r="H35" s="8">
        <v>70</v>
      </c>
      <c r="I35" s="8">
        <v>68</v>
      </c>
      <c r="J35" s="8">
        <v>25</v>
      </c>
      <c r="K35" s="8">
        <v>55</v>
      </c>
      <c r="L35" s="8">
        <v>30</v>
      </c>
      <c r="M35" s="8">
        <v>60</v>
      </c>
      <c r="N35" s="8">
        <v>75</v>
      </c>
      <c r="O35" s="1">
        <f t="shared" si="0"/>
        <v>313</v>
      </c>
      <c r="P35" s="14">
        <f t="shared" si="1"/>
        <v>44.714285714285715</v>
      </c>
      <c r="Q35" s="20">
        <f t="shared" si="2"/>
        <v>28</v>
      </c>
    </row>
    <row r="36" spans="1:17" ht="18" customHeight="1">
      <c r="A36" s="19">
        <v>30</v>
      </c>
      <c r="B36" s="2" t="s">
        <v>1426</v>
      </c>
      <c r="C36" s="1">
        <v>311260286</v>
      </c>
      <c r="D36" s="3" t="s">
        <v>1427</v>
      </c>
      <c r="E36" s="1" t="s">
        <v>79</v>
      </c>
      <c r="F36" s="10" t="s">
        <v>1302</v>
      </c>
      <c r="G36" s="2">
        <v>28</v>
      </c>
      <c r="H36" s="8">
        <v>55</v>
      </c>
      <c r="I36" s="8">
        <v>48</v>
      </c>
      <c r="J36" s="8">
        <v>45</v>
      </c>
      <c r="K36" s="8">
        <v>80</v>
      </c>
      <c r="L36" s="8">
        <v>50</v>
      </c>
      <c r="M36" s="8">
        <v>60</v>
      </c>
      <c r="N36" s="8">
        <v>25</v>
      </c>
      <c r="O36" s="1">
        <f t="shared" si="0"/>
        <v>308</v>
      </c>
      <c r="P36" s="14">
        <f t="shared" si="1"/>
        <v>44</v>
      </c>
      <c r="Q36" s="20">
        <f t="shared" si="2"/>
        <v>30</v>
      </c>
    </row>
    <row r="37" spans="1:17" ht="18" customHeight="1">
      <c r="A37" s="19">
        <v>31</v>
      </c>
      <c r="B37" s="2" t="s">
        <v>1450</v>
      </c>
      <c r="C37" s="1">
        <v>311260895</v>
      </c>
      <c r="D37" s="3" t="s">
        <v>1451</v>
      </c>
      <c r="E37" s="1" t="s">
        <v>57</v>
      </c>
      <c r="F37" s="10" t="s">
        <v>1302</v>
      </c>
      <c r="G37" s="2">
        <v>29</v>
      </c>
      <c r="H37" s="8">
        <v>40</v>
      </c>
      <c r="I37" s="8">
        <v>60</v>
      </c>
      <c r="J37" s="8">
        <v>30</v>
      </c>
      <c r="K37" s="8">
        <v>50</v>
      </c>
      <c r="L37" s="8">
        <v>35</v>
      </c>
      <c r="M37" s="8">
        <v>65</v>
      </c>
      <c r="N37" s="8">
        <v>55</v>
      </c>
      <c r="O37" s="1">
        <f t="shared" si="0"/>
        <v>295</v>
      </c>
      <c r="P37" s="14">
        <f t="shared" si="1"/>
        <v>42.142857142857146</v>
      </c>
      <c r="Q37" s="20">
        <f t="shared" si="2"/>
        <v>31</v>
      </c>
    </row>
    <row r="38" spans="1:17" ht="18" customHeight="1">
      <c r="A38" s="19">
        <v>32</v>
      </c>
      <c r="B38" s="2" t="s">
        <v>1413</v>
      </c>
      <c r="C38" s="1" t="s">
        <v>1414</v>
      </c>
      <c r="D38" s="3" t="s">
        <v>1415</v>
      </c>
      <c r="E38" s="1" t="s">
        <v>64</v>
      </c>
      <c r="F38" s="10" t="s">
        <v>1302</v>
      </c>
      <c r="G38" s="2">
        <v>28</v>
      </c>
      <c r="H38" s="8">
        <v>60</v>
      </c>
      <c r="I38" s="8">
        <v>50</v>
      </c>
      <c r="J38" s="8">
        <v>30</v>
      </c>
      <c r="K38" s="8">
        <v>60</v>
      </c>
      <c r="L38" s="8">
        <v>50</v>
      </c>
      <c r="M38" s="8">
        <v>35</v>
      </c>
      <c r="N38" s="8">
        <v>70</v>
      </c>
      <c r="O38" s="1">
        <f t="shared" si="0"/>
        <v>295</v>
      </c>
      <c r="P38" s="14">
        <f t="shared" si="1"/>
        <v>42.142857142857146</v>
      </c>
      <c r="Q38" s="20">
        <f t="shared" si="2"/>
        <v>31</v>
      </c>
    </row>
    <row r="39" spans="1:17" ht="18" customHeight="1">
      <c r="A39" s="19">
        <v>33</v>
      </c>
      <c r="B39" s="2" t="s">
        <v>1448</v>
      </c>
      <c r="C39" s="1">
        <v>311260894</v>
      </c>
      <c r="D39" s="3" t="s">
        <v>1449</v>
      </c>
      <c r="E39" s="1" t="s">
        <v>57</v>
      </c>
      <c r="F39" s="10" t="s">
        <v>1302</v>
      </c>
      <c r="G39" s="2">
        <v>29</v>
      </c>
      <c r="H39" s="8">
        <v>65</v>
      </c>
      <c r="I39" s="8">
        <v>63</v>
      </c>
      <c r="J39" s="8">
        <v>60</v>
      </c>
      <c r="K39" s="8">
        <v>45</v>
      </c>
      <c r="L39" s="8">
        <v>25</v>
      </c>
      <c r="M39" s="8">
        <v>65</v>
      </c>
      <c r="N39" s="8">
        <v>30</v>
      </c>
      <c r="O39" s="1">
        <f t="shared" ref="O39:O67" si="3">SUBTOTAL(9,I39:N39)</f>
        <v>288</v>
      </c>
      <c r="P39" s="14">
        <f t="shared" ref="P39:P67" si="4">O39/7</f>
        <v>41.142857142857146</v>
      </c>
      <c r="Q39" s="20">
        <f t="shared" ref="Q39:Q67" si="5">RANK(P39,P$7:P$311,0)</f>
        <v>33</v>
      </c>
    </row>
    <row r="40" spans="1:17" ht="18" customHeight="1">
      <c r="A40" s="19">
        <v>34</v>
      </c>
      <c r="B40" s="2" t="s">
        <v>1356</v>
      </c>
      <c r="C40" s="1" t="s">
        <v>1357</v>
      </c>
      <c r="D40" s="3" t="s">
        <v>1358</v>
      </c>
      <c r="E40" s="1" t="s">
        <v>58</v>
      </c>
      <c r="F40" s="10" t="s">
        <v>1302</v>
      </c>
      <c r="G40" s="2">
        <v>27</v>
      </c>
      <c r="H40" s="8">
        <v>50</v>
      </c>
      <c r="I40" s="8">
        <v>60</v>
      </c>
      <c r="J40" s="8">
        <v>35</v>
      </c>
      <c r="K40" s="8">
        <v>80</v>
      </c>
      <c r="L40" s="8">
        <v>40</v>
      </c>
      <c r="M40" s="8">
        <v>60</v>
      </c>
      <c r="N40" s="8">
        <v>10</v>
      </c>
      <c r="O40" s="1">
        <f t="shared" si="3"/>
        <v>285</v>
      </c>
      <c r="P40" s="14">
        <f t="shared" si="4"/>
        <v>40.714285714285715</v>
      </c>
      <c r="Q40" s="20">
        <f t="shared" si="5"/>
        <v>34</v>
      </c>
    </row>
    <row r="41" spans="1:17" ht="18" customHeight="1">
      <c r="A41" s="19">
        <v>35</v>
      </c>
      <c r="B41" s="2" t="s">
        <v>1315</v>
      </c>
      <c r="C41" s="1" t="s">
        <v>1316</v>
      </c>
      <c r="D41" s="3" t="s">
        <v>86</v>
      </c>
      <c r="E41" s="1" t="s">
        <v>79</v>
      </c>
      <c r="F41" s="10" t="s">
        <v>1302</v>
      </c>
      <c r="G41" s="2">
        <v>26</v>
      </c>
      <c r="H41" s="8">
        <v>45</v>
      </c>
      <c r="I41" s="8">
        <v>65</v>
      </c>
      <c r="J41" s="8">
        <v>65</v>
      </c>
      <c r="K41" s="8">
        <v>50</v>
      </c>
      <c r="L41" s="8">
        <v>30</v>
      </c>
      <c r="M41" s="8">
        <v>50</v>
      </c>
      <c r="N41" s="8">
        <v>20</v>
      </c>
      <c r="O41" s="1">
        <f t="shared" si="3"/>
        <v>280</v>
      </c>
      <c r="P41" s="14">
        <f t="shared" si="4"/>
        <v>40</v>
      </c>
      <c r="Q41" s="20">
        <f t="shared" si="5"/>
        <v>35</v>
      </c>
    </row>
    <row r="42" spans="1:17" ht="18" customHeight="1">
      <c r="A42" s="19">
        <v>36</v>
      </c>
      <c r="B42" s="2" t="s">
        <v>1440</v>
      </c>
      <c r="C42" s="1">
        <v>311260413</v>
      </c>
      <c r="D42" s="3" t="s">
        <v>1441</v>
      </c>
      <c r="E42" s="1" t="s">
        <v>59</v>
      </c>
      <c r="F42" s="10" t="s">
        <v>1302</v>
      </c>
      <c r="G42" s="2">
        <v>28</v>
      </c>
      <c r="H42" s="8">
        <v>55</v>
      </c>
      <c r="I42" s="8">
        <v>55</v>
      </c>
      <c r="J42" s="8">
        <v>40</v>
      </c>
      <c r="K42" s="8">
        <v>45</v>
      </c>
      <c r="L42" s="8">
        <v>50</v>
      </c>
      <c r="M42" s="8">
        <v>65</v>
      </c>
      <c r="N42" s="8">
        <v>25</v>
      </c>
      <c r="O42" s="1">
        <f t="shared" si="3"/>
        <v>280</v>
      </c>
      <c r="P42" s="14">
        <f t="shared" si="4"/>
        <v>40</v>
      </c>
      <c r="Q42" s="20">
        <f t="shared" si="5"/>
        <v>35</v>
      </c>
    </row>
    <row r="43" spans="1:17" ht="18" customHeight="1">
      <c r="A43" s="19">
        <v>37</v>
      </c>
      <c r="B43" s="2" t="s">
        <v>1460</v>
      </c>
      <c r="C43" s="1">
        <v>311260900</v>
      </c>
      <c r="D43" s="3" t="s">
        <v>1461</v>
      </c>
      <c r="E43" s="1" t="s">
        <v>85</v>
      </c>
      <c r="F43" s="10" t="s">
        <v>1302</v>
      </c>
      <c r="G43" s="2">
        <v>29</v>
      </c>
      <c r="H43" s="8">
        <v>65</v>
      </c>
      <c r="I43" s="8">
        <v>60</v>
      </c>
      <c r="J43" s="8">
        <v>45</v>
      </c>
      <c r="K43" s="8">
        <v>55</v>
      </c>
      <c r="L43" s="8">
        <v>30</v>
      </c>
      <c r="M43" s="8">
        <v>55</v>
      </c>
      <c r="N43" s="8">
        <v>30</v>
      </c>
      <c r="O43" s="1">
        <f t="shared" si="3"/>
        <v>275</v>
      </c>
      <c r="P43" s="14">
        <f t="shared" si="4"/>
        <v>39.285714285714285</v>
      </c>
      <c r="Q43" s="20">
        <f t="shared" si="5"/>
        <v>37</v>
      </c>
    </row>
    <row r="44" spans="1:17" ht="18" customHeight="1">
      <c r="A44" s="19">
        <v>38</v>
      </c>
      <c r="B44" s="2" t="s">
        <v>1416</v>
      </c>
      <c r="C44" s="1" t="s">
        <v>1417</v>
      </c>
      <c r="D44" s="3" t="s">
        <v>1418</v>
      </c>
      <c r="E44" s="1" t="s">
        <v>78</v>
      </c>
      <c r="F44" s="10" t="s">
        <v>1302</v>
      </c>
      <c r="G44" s="2">
        <v>28</v>
      </c>
      <c r="H44" s="8">
        <v>65</v>
      </c>
      <c r="I44" s="8">
        <v>45</v>
      </c>
      <c r="J44" s="8">
        <v>50</v>
      </c>
      <c r="K44" s="8">
        <v>45</v>
      </c>
      <c r="L44" s="8">
        <v>35</v>
      </c>
      <c r="M44" s="8">
        <v>95</v>
      </c>
      <c r="N44" s="8">
        <v>0</v>
      </c>
      <c r="O44" s="1">
        <f t="shared" si="3"/>
        <v>270</v>
      </c>
      <c r="P44" s="14">
        <f t="shared" si="4"/>
        <v>38.571428571428569</v>
      </c>
      <c r="Q44" s="20">
        <f t="shared" si="5"/>
        <v>38</v>
      </c>
    </row>
    <row r="45" spans="1:17" ht="18" customHeight="1">
      <c r="A45" s="19">
        <v>39</v>
      </c>
      <c r="B45" s="2" t="s">
        <v>1317</v>
      </c>
      <c r="C45" s="1" t="s">
        <v>1318</v>
      </c>
      <c r="D45" s="3" t="s">
        <v>1319</v>
      </c>
      <c r="E45" s="1" t="s">
        <v>79</v>
      </c>
      <c r="F45" s="10" t="s">
        <v>1302</v>
      </c>
      <c r="G45" s="2">
        <v>26</v>
      </c>
      <c r="H45" s="8">
        <v>55</v>
      </c>
      <c r="I45" s="8">
        <v>53</v>
      </c>
      <c r="J45" s="8">
        <v>30</v>
      </c>
      <c r="K45" s="8">
        <v>50</v>
      </c>
      <c r="L45" s="8">
        <v>25</v>
      </c>
      <c r="M45" s="8">
        <v>20</v>
      </c>
      <c r="N45" s="8">
        <v>80</v>
      </c>
      <c r="O45" s="1">
        <f t="shared" si="3"/>
        <v>258</v>
      </c>
      <c r="P45" s="14">
        <f t="shared" si="4"/>
        <v>36.857142857142854</v>
      </c>
      <c r="Q45" s="20">
        <f t="shared" si="5"/>
        <v>39</v>
      </c>
    </row>
    <row r="46" spans="1:17" ht="18" customHeight="1">
      <c r="A46" s="19">
        <v>40</v>
      </c>
      <c r="B46" s="2" t="s">
        <v>1380</v>
      </c>
      <c r="C46" s="1" t="s">
        <v>1381</v>
      </c>
      <c r="D46" s="3" t="s">
        <v>1382</v>
      </c>
      <c r="E46" s="1" t="s">
        <v>80</v>
      </c>
      <c r="F46" s="10" t="s">
        <v>1302</v>
      </c>
      <c r="G46" s="2">
        <v>27</v>
      </c>
      <c r="H46" s="8">
        <v>60</v>
      </c>
      <c r="I46" s="8">
        <v>58</v>
      </c>
      <c r="J46" s="8">
        <v>60</v>
      </c>
      <c r="K46" s="8">
        <v>45</v>
      </c>
      <c r="L46" s="8">
        <v>15</v>
      </c>
      <c r="M46" s="8">
        <v>75</v>
      </c>
      <c r="N46" s="8">
        <v>5</v>
      </c>
      <c r="O46" s="1">
        <f t="shared" si="3"/>
        <v>258</v>
      </c>
      <c r="P46" s="14">
        <f t="shared" si="4"/>
        <v>36.857142857142854</v>
      </c>
      <c r="Q46" s="20">
        <f t="shared" si="5"/>
        <v>39</v>
      </c>
    </row>
    <row r="47" spans="1:17" ht="18" customHeight="1">
      <c r="A47" s="19">
        <v>41</v>
      </c>
      <c r="B47" s="2" t="s">
        <v>1444</v>
      </c>
      <c r="C47" s="1">
        <v>311260415</v>
      </c>
      <c r="D47" s="3" t="s">
        <v>1445</v>
      </c>
      <c r="E47" s="1" t="s">
        <v>80</v>
      </c>
      <c r="F47" s="10" t="s">
        <v>1302</v>
      </c>
      <c r="G47" s="2">
        <v>28</v>
      </c>
      <c r="H47" s="8">
        <v>55</v>
      </c>
      <c r="I47" s="8">
        <v>63</v>
      </c>
      <c r="J47" s="8">
        <v>60</v>
      </c>
      <c r="K47" s="8">
        <v>45</v>
      </c>
      <c r="L47" s="8">
        <v>25</v>
      </c>
      <c r="M47" s="8">
        <v>50</v>
      </c>
      <c r="N47" s="8">
        <v>10</v>
      </c>
      <c r="O47" s="1">
        <f t="shared" si="3"/>
        <v>253</v>
      </c>
      <c r="P47" s="14">
        <f t="shared" si="4"/>
        <v>36.142857142857146</v>
      </c>
      <c r="Q47" s="20">
        <f t="shared" si="5"/>
        <v>41</v>
      </c>
    </row>
    <row r="48" spans="1:17" ht="18" customHeight="1">
      <c r="A48" s="19">
        <v>42</v>
      </c>
      <c r="B48" s="2" t="s">
        <v>1306</v>
      </c>
      <c r="C48" s="1" t="s">
        <v>1307</v>
      </c>
      <c r="D48" s="3" t="s">
        <v>1308</v>
      </c>
      <c r="E48" s="1" t="s">
        <v>69</v>
      </c>
      <c r="F48" s="10" t="s">
        <v>1302</v>
      </c>
      <c r="G48" s="2">
        <v>26</v>
      </c>
      <c r="H48" s="8">
        <v>75</v>
      </c>
      <c r="I48" s="8">
        <v>55</v>
      </c>
      <c r="J48" s="8">
        <v>50</v>
      </c>
      <c r="K48" s="8">
        <v>35</v>
      </c>
      <c r="L48" s="8">
        <v>25</v>
      </c>
      <c r="M48" s="8">
        <v>75</v>
      </c>
      <c r="N48" s="8">
        <v>10</v>
      </c>
      <c r="O48" s="1">
        <f t="shared" si="3"/>
        <v>250</v>
      </c>
      <c r="P48" s="14">
        <f t="shared" si="4"/>
        <v>35.714285714285715</v>
      </c>
      <c r="Q48" s="20">
        <f t="shared" si="5"/>
        <v>42</v>
      </c>
    </row>
    <row r="49" spans="1:17" ht="18" customHeight="1">
      <c r="A49" s="19">
        <v>43</v>
      </c>
      <c r="B49" s="2" t="s">
        <v>1432</v>
      </c>
      <c r="C49" s="1">
        <v>311260289</v>
      </c>
      <c r="D49" s="3" t="s">
        <v>1433</v>
      </c>
      <c r="E49" s="1" t="s">
        <v>67</v>
      </c>
      <c r="F49" s="10" t="s">
        <v>1302</v>
      </c>
      <c r="G49" s="2">
        <v>28</v>
      </c>
      <c r="H49" s="8">
        <v>70</v>
      </c>
      <c r="I49" s="8">
        <v>50</v>
      </c>
      <c r="J49" s="8">
        <v>25</v>
      </c>
      <c r="K49" s="8">
        <v>55</v>
      </c>
      <c r="L49" s="8">
        <v>45</v>
      </c>
      <c r="M49" s="8">
        <v>70</v>
      </c>
      <c r="N49" s="8">
        <v>0</v>
      </c>
      <c r="O49" s="1">
        <f t="shared" si="3"/>
        <v>245</v>
      </c>
      <c r="P49" s="14">
        <f t="shared" si="4"/>
        <v>35</v>
      </c>
      <c r="Q49" s="20">
        <f t="shared" si="5"/>
        <v>43</v>
      </c>
    </row>
    <row r="50" spans="1:17" ht="18" customHeight="1">
      <c r="A50" s="19">
        <v>44</v>
      </c>
      <c r="B50" s="2" t="s">
        <v>1344</v>
      </c>
      <c r="C50" s="1" t="s">
        <v>1345</v>
      </c>
      <c r="D50" s="3" t="s">
        <v>1346</v>
      </c>
      <c r="E50" s="1" t="s">
        <v>71</v>
      </c>
      <c r="F50" s="10" t="s">
        <v>1302</v>
      </c>
      <c r="G50" s="2">
        <v>27</v>
      </c>
      <c r="H50" s="8">
        <v>55</v>
      </c>
      <c r="I50" s="8">
        <v>60</v>
      </c>
      <c r="J50" s="8">
        <v>35</v>
      </c>
      <c r="K50" s="8">
        <v>55</v>
      </c>
      <c r="L50" s="8">
        <v>30</v>
      </c>
      <c r="M50" s="8">
        <v>60</v>
      </c>
      <c r="N50" s="8">
        <v>0</v>
      </c>
      <c r="O50" s="1">
        <f t="shared" si="3"/>
        <v>240</v>
      </c>
      <c r="P50" s="14">
        <f t="shared" si="4"/>
        <v>34.285714285714285</v>
      </c>
      <c r="Q50" s="20">
        <f t="shared" si="5"/>
        <v>44</v>
      </c>
    </row>
    <row r="51" spans="1:17" ht="18" customHeight="1">
      <c r="A51" s="19">
        <v>45</v>
      </c>
      <c r="B51" s="2" t="s">
        <v>1338</v>
      </c>
      <c r="C51" s="1" t="s">
        <v>1339</v>
      </c>
      <c r="D51" s="3" t="s">
        <v>1340</v>
      </c>
      <c r="E51" s="1" t="s">
        <v>71</v>
      </c>
      <c r="F51" s="10" t="s">
        <v>1302</v>
      </c>
      <c r="G51" s="2">
        <v>27</v>
      </c>
      <c r="H51" s="8">
        <v>60</v>
      </c>
      <c r="I51" s="8">
        <v>53</v>
      </c>
      <c r="J51" s="8">
        <v>30</v>
      </c>
      <c r="K51" s="8">
        <v>35</v>
      </c>
      <c r="L51" s="8">
        <v>25</v>
      </c>
      <c r="M51" s="8">
        <v>60</v>
      </c>
      <c r="N51" s="8">
        <v>25</v>
      </c>
      <c r="O51" s="1">
        <f t="shared" si="3"/>
        <v>228</v>
      </c>
      <c r="P51" s="14">
        <f t="shared" si="4"/>
        <v>32.571428571428569</v>
      </c>
      <c r="Q51" s="20">
        <f t="shared" si="5"/>
        <v>45</v>
      </c>
    </row>
    <row r="52" spans="1:17" ht="18" customHeight="1">
      <c r="A52" s="19">
        <v>46</v>
      </c>
      <c r="B52" s="2" t="s">
        <v>1341</v>
      </c>
      <c r="C52" s="1" t="s">
        <v>1342</v>
      </c>
      <c r="D52" s="3" t="s">
        <v>1343</v>
      </c>
      <c r="E52" s="1" t="s">
        <v>71</v>
      </c>
      <c r="F52" s="10" t="s">
        <v>1302</v>
      </c>
      <c r="G52" s="2">
        <v>27</v>
      </c>
      <c r="H52" s="8">
        <v>35</v>
      </c>
      <c r="I52" s="8">
        <v>43</v>
      </c>
      <c r="J52" s="8">
        <v>30</v>
      </c>
      <c r="K52" s="8">
        <v>55</v>
      </c>
      <c r="L52" s="8">
        <v>40</v>
      </c>
      <c r="M52" s="8">
        <v>45</v>
      </c>
      <c r="N52" s="8">
        <v>15</v>
      </c>
      <c r="O52" s="1">
        <f t="shared" si="3"/>
        <v>228</v>
      </c>
      <c r="P52" s="14">
        <f t="shared" si="4"/>
        <v>32.571428571428569</v>
      </c>
      <c r="Q52" s="20">
        <f t="shared" si="5"/>
        <v>45</v>
      </c>
    </row>
    <row r="53" spans="1:17" ht="18" customHeight="1">
      <c r="A53" s="19">
        <v>47</v>
      </c>
      <c r="B53" s="2" t="s">
        <v>1371</v>
      </c>
      <c r="C53" s="1" t="s">
        <v>1372</v>
      </c>
      <c r="D53" s="3" t="s">
        <v>1373</v>
      </c>
      <c r="E53" s="1" t="s">
        <v>62</v>
      </c>
      <c r="F53" s="10" t="s">
        <v>1302</v>
      </c>
      <c r="G53" s="2">
        <v>27</v>
      </c>
      <c r="H53" s="8">
        <v>50</v>
      </c>
      <c r="I53" s="8">
        <v>58</v>
      </c>
      <c r="J53" s="8">
        <v>25</v>
      </c>
      <c r="K53" s="8">
        <v>45</v>
      </c>
      <c r="L53" s="8">
        <v>25</v>
      </c>
      <c r="M53" s="8">
        <v>75</v>
      </c>
      <c r="N53" s="8">
        <v>0</v>
      </c>
      <c r="O53" s="1">
        <f t="shared" si="3"/>
        <v>228</v>
      </c>
      <c r="P53" s="14">
        <f t="shared" si="4"/>
        <v>32.571428571428569</v>
      </c>
      <c r="Q53" s="20">
        <f t="shared" si="5"/>
        <v>45</v>
      </c>
    </row>
    <row r="54" spans="1:17" ht="18" customHeight="1">
      <c r="A54" s="19">
        <v>48</v>
      </c>
      <c r="B54" s="2" t="s">
        <v>1446</v>
      </c>
      <c r="C54" s="1">
        <v>311260893</v>
      </c>
      <c r="D54" s="3" t="s">
        <v>1447</v>
      </c>
      <c r="E54" s="1" t="s">
        <v>69</v>
      </c>
      <c r="F54" s="10" t="s">
        <v>1302</v>
      </c>
      <c r="G54" s="2">
        <v>28</v>
      </c>
      <c r="H54" s="8">
        <v>35</v>
      </c>
      <c r="I54" s="8">
        <v>70</v>
      </c>
      <c r="J54" s="8">
        <v>25</v>
      </c>
      <c r="K54" s="8">
        <v>40</v>
      </c>
      <c r="L54" s="8">
        <v>25</v>
      </c>
      <c r="M54" s="8">
        <v>45</v>
      </c>
      <c r="N54" s="8">
        <v>20</v>
      </c>
      <c r="O54" s="1">
        <f t="shared" si="3"/>
        <v>225</v>
      </c>
      <c r="P54" s="14">
        <f t="shared" si="4"/>
        <v>32.142857142857146</v>
      </c>
      <c r="Q54" s="20">
        <f t="shared" si="5"/>
        <v>48</v>
      </c>
    </row>
    <row r="55" spans="1:17" ht="18" customHeight="1">
      <c r="A55" s="19">
        <v>49</v>
      </c>
      <c r="B55" s="2" t="s">
        <v>1299</v>
      </c>
      <c r="C55" s="1" t="s">
        <v>1300</v>
      </c>
      <c r="D55" s="3" t="s">
        <v>1301</v>
      </c>
      <c r="E55" s="1" t="s">
        <v>56</v>
      </c>
      <c r="F55" s="10" t="s">
        <v>1302</v>
      </c>
      <c r="G55" s="2">
        <v>26</v>
      </c>
      <c r="H55" s="8">
        <v>40</v>
      </c>
      <c r="I55" s="8">
        <v>58</v>
      </c>
      <c r="J55" s="8">
        <v>20</v>
      </c>
      <c r="K55" s="8">
        <v>45</v>
      </c>
      <c r="L55" s="8">
        <v>25</v>
      </c>
      <c r="M55" s="8">
        <v>60</v>
      </c>
      <c r="N55" s="8">
        <v>5</v>
      </c>
      <c r="O55" s="1">
        <f t="shared" si="3"/>
        <v>213</v>
      </c>
      <c r="P55" s="14">
        <f t="shared" si="4"/>
        <v>30.428571428571427</v>
      </c>
      <c r="Q55" s="20">
        <f t="shared" si="5"/>
        <v>49</v>
      </c>
    </row>
    <row r="56" spans="1:17" ht="18" customHeight="1">
      <c r="A56" s="19">
        <v>50</v>
      </c>
      <c r="B56" s="2" t="s">
        <v>1326</v>
      </c>
      <c r="C56" s="1" t="s">
        <v>1327</v>
      </c>
      <c r="D56" s="3" t="s">
        <v>1328</v>
      </c>
      <c r="E56" s="1" t="s">
        <v>70</v>
      </c>
      <c r="F56" s="10" t="s">
        <v>1302</v>
      </c>
      <c r="G56" s="2">
        <v>27</v>
      </c>
      <c r="H56" s="8">
        <v>70</v>
      </c>
      <c r="I56" s="8">
        <v>68</v>
      </c>
      <c r="J56" s="8">
        <v>15</v>
      </c>
      <c r="K56" s="8">
        <v>25</v>
      </c>
      <c r="L56" s="8">
        <v>40</v>
      </c>
      <c r="M56" s="8">
        <v>30</v>
      </c>
      <c r="N56" s="8">
        <v>10</v>
      </c>
      <c r="O56" s="1">
        <f t="shared" si="3"/>
        <v>188</v>
      </c>
      <c r="P56" s="14">
        <f t="shared" si="4"/>
        <v>26.857142857142858</v>
      </c>
      <c r="Q56" s="20">
        <f t="shared" si="5"/>
        <v>50</v>
      </c>
    </row>
    <row r="57" spans="1:17" ht="18" customHeight="1">
      <c r="A57" s="19">
        <v>51</v>
      </c>
      <c r="B57" s="2" t="s">
        <v>1320</v>
      </c>
      <c r="C57" s="1" t="s">
        <v>1321</v>
      </c>
      <c r="D57" s="3" t="s">
        <v>1322</v>
      </c>
      <c r="E57" s="1" t="s">
        <v>70</v>
      </c>
      <c r="F57" s="10" t="s">
        <v>1302</v>
      </c>
      <c r="G57" s="2">
        <v>26</v>
      </c>
      <c r="H57" s="8">
        <v>70</v>
      </c>
      <c r="I57" s="8">
        <v>60</v>
      </c>
      <c r="J57" s="8">
        <v>30</v>
      </c>
      <c r="K57" s="8">
        <v>30</v>
      </c>
      <c r="L57" s="8">
        <v>15</v>
      </c>
      <c r="M57" s="8">
        <v>35</v>
      </c>
      <c r="N57" s="8">
        <v>10</v>
      </c>
      <c r="O57" s="1">
        <f t="shared" si="3"/>
        <v>180</v>
      </c>
      <c r="P57" s="14">
        <f t="shared" si="4"/>
        <v>25.714285714285715</v>
      </c>
      <c r="Q57" s="20">
        <f t="shared" si="5"/>
        <v>51</v>
      </c>
    </row>
    <row r="58" spans="1:17" ht="18" customHeight="1">
      <c r="A58" s="19">
        <v>52</v>
      </c>
      <c r="B58" s="2" t="s">
        <v>1353</v>
      </c>
      <c r="C58" s="1" t="s">
        <v>1354</v>
      </c>
      <c r="D58" s="3" t="s">
        <v>1355</v>
      </c>
      <c r="E58" s="1" t="s">
        <v>58</v>
      </c>
      <c r="F58" s="10" t="s">
        <v>1302</v>
      </c>
      <c r="G58" s="2">
        <v>27</v>
      </c>
      <c r="H58" s="8">
        <v>55</v>
      </c>
      <c r="I58" s="8">
        <v>53</v>
      </c>
      <c r="J58" s="8">
        <v>15</v>
      </c>
      <c r="K58" s="8">
        <v>30</v>
      </c>
      <c r="L58" s="8">
        <v>20</v>
      </c>
      <c r="M58" s="8">
        <v>60</v>
      </c>
      <c r="N58" s="8">
        <v>0</v>
      </c>
      <c r="O58" s="1">
        <f t="shared" si="3"/>
        <v>178</v>
      </c>
      <c r="P58" s="14">
        <f t="shared" si="4"/>
        <v>25.428571428571427</v>
      </c>
      <c r="Q58" s="20">
        <f t="shared" si="5"/>
        <v>52</v>
      </c>
    </row>
    <row r="59" spans="1:17" ht="18" customHeight="1">
      <c r="A59" s="19">
        <v>53</v>
      </c>
      <c r="B59" s="2" t="s">
        <v>1424</v>
      </c>
      <c r="C59" s="1">
        <v>311260285</v>
      </c>
      <c r="D59" s="3" t="s">
        <v>1425</v>
      </c>
      <c r="E59" s="1" t="s">
        <v>55</v>
      </c>
      <c r="F59" s="10" t="s">
        <v>1302</v>
      </c>
      <c r="G59" s="2">
        <v>28</v>
      </c>
      <c r="H59" s="8">
        <v>45</v>
      </c>
      <c r="I59" s="8">
        <v>55</v>
      </c>
      <c r="J59" s="8">
        <v>10</v>
      </c>
      <c r="K59" s="8">
        <v>60</v>
      </c>
      <c r="L59" s="8">
        <v>15</v>
      </c>
      <c r="M59" s="8">
        <v>20</v>
      </c>
      <c r="N59" s="8">
        <v>5</v>
      </c>
      <c r="O59" s="1">
        <f t="shared" si="3"/>
        <v>165</v>
      </c>
      <c r="P59" s="14">
        <f t="shared" si="4"/>
        <v>23.571428571428573</v>
      </c>
      <c r="Q59" s="20">
        <f t="shared" si="5"/>
        <v>53</v>
      </c>
    </row>
    <row r="60" spans="1:17" ht="18" customHeight="1">
      <c r="A60" s="19">
        <v>54</v>
      </c>
      <c r="B60" s="2" t="s">
        <v>1392</v>
      </c>
      <c r="C60" s="1" t="s">
        <v>1393</v>
      </c>
      <c r="D60" s="3" t="s">
        <v>1394</v>
      </c>
      <c r="E60" s="1" t="s">
        <v>63</v>
      </c>
      <c r="F60" s="10" t="s">
        <v>1302</v>
      </c>
      <c r="G60" s="2">
        <v>28</v>
      </c>
      <c r="H60" s="8">
        <v>45</v>
      </c>
      <c r="I60" s="8">
        <v>40</v>
      </c>
      <c r="J60" s="8">
        <v>20</v>
      </c>
      <c r="K60" s="8">
        <v>20</v>
      </c>
      <c r="L60" s="8">
        <v>25</v>
      </c>
      <c r="M60" s="8">
        <v>25</v>
      </c>
      <c r="N60" s="8">
        <v>20</v>
      </c>
      <c r="O60" s="1">
        <f t="shared" si="3"/>
        <v>150</v>
      </c>
      <c r="P60" s="14">
        <f t="shared" si="4"/>
        <v>21.428571428571427</v>
      </c>
      <c r="Q60" s="20">
        <f t="shared" si="5"/>
        <v>54</v>
      </c>
    </row>
    <row r="61" spans="1:17" ht="18" customHeight="1">
      <c r="A61" s="19">
        <v>55</v>
      </c>
      <c r="B61" s="2" t="s">
        <v>1395</v>
      </c>
      <c r="C61" s="1" t="s">
        <v>1396</v>
      </c>
      <c r="D61" s="3" t="s">
        <v>1397</v>
      </c>
      <c r="E61" s="1" t="s">
        <v>63</v>
      </c>
      <c r="F61" s="10" t="s">
        <v>1302</v>
      </c>
      <c r="G61" s="2">
        <v>28</v>
      </c>
      <c r="H61" s="8">
        <v>45</v>
      </c>
      <c r="I61" s="8">
        <v>45</v>
      </c>
      <c r="J61" s="8">
        <v>10</v>
      </c>
      <c r="K61" s="8">
        <v>35</v>
      </c>
      <c r="L61" s="8">
        <v>30</v>
      </c>
      <c r="M61" s="8">
        <v>20</v>
      </c>
      <c r="N61" s="8">
        <v>5</v>
      </c>
      <c r="O61" s="1">
        <f t="shared" si="3"/>
        <v>145</v>
      </c>
      <c r="P61" s="14">
        <f t="shared" si="4"/>
        <v>20.714285714285715</v>
      </c>
      <c r="Q61" s="20">
        <f t="shared" si="5"/>
        <v>55</v>
      </c>
    </row>
    <row r="62" spans="1:17" ht="18" customHeight="1">
      <c r="A62" s="19">
        <v>56</v>
      </c>
      <c r="B62" s="2" t="s">
        <v>1347</v>
      </c>
      <c r="C62" s="1" t="s">
        <v>1348</v>
      </c>
      <c r="D62" s="3" t="s">
        <v>1349</v>
      </c>
      <c r="E62" s="1" t="s">
        <v>72</v>
      </c>
      <c r="F62" s="10" t="s">
        <v>1302</v>
      </c>
      <c r="G62" s="2">
        <v>27</v>
      </c>
      <c r="H62" s="8">
        <v>55</v>
      </c>
      <c r="I62" s="8"/>
      <c r="J62" s="8"/>
      <c r="K62" s="8">
        <v>15</v>
      </c>
      <c r="L62" s="8">
        <v>20</v>
      </c>
      <c r="M62" s="8"/>
      <c r="N62" s="8">
        <v>15</v>
      </c>
      <c r="O62" s="1">
        <f t="shared" si="3"/>
        <v>50</v>
      </c>
      <c r="P62" s="14">
        <f t="shared" si="4"/>
        <v>7.1428571428571432</v>
      </c>
      <c r="Q62" s="20">
        <f t="shared" si="5"/>
        <v>56</v>
      </c>
    </row>
    <row r="63" spans="1:17" ht="18" customHeight="1">
      <c r="A63" s="19">
        <v>57</v>
      </c>
      <c r="B63" s="2" t="s">
        <v>1323</v>
      </c>
      <c r="C63" s="1" t="s">
        <v>1324</v>
      </c>
      <c r="D63" s="3" t="s">
        <v>1325</v>
      </c>
      <c r="E63" s="1" t="s">
        <v>70</v>
      </c>
      <c r="F63" s="10" t="s">
        <v>1302</v>
      </c>
      <c r="G63" s="2">
        <v>27</v>
      </c>
      <c r="H63" s="8"/>
      <c r="I63" s="8"/>
      <c r="J63" s="8"/>
      <c r="K63" s="8"/>
      <c r="L63" s="8"/>
      <c r="M63" s="8"/>
      <c r="N63" s="8"/>
      <c r="O63" s="1">
        <f t="shared" si="3"/>
        <v>0</v>
      </c>
      <c r="P63" s="14">
        <f t="shared" si="4"/>
        <v>0</v>
      </c>
      <c r="Q63" s="20">
        <f t="shared" si="5"/>
        <v>57</v>
      </c>
    </row>
    <row r="64" spans="1:17" ht="18" customHeight="1">
      <c r="A64" s="19">
        <v>58</v>
      </c>
      <c r="B64" s="2" t="s">
        <v>1362</v>
      </c>
      <c r="C64" s="1" t="s">
        <v>1363</v>
      </c>
      <c r="D64" s="3" t="s">
        <v>1364</v>
      </c>
      <c r="E64" s="1" t="s">
        <v>61</v>
      </c>
      <c r="F64" s="10" t="s">
        <v>1302</v>
      </c>
      <c r="G64" s="2">
        <v>27</v>
      </c>
      <c r="H64" s="8"/>
      <c r="I64" s="8"/>
      <c r="J64" s="8"/>
      <c r="K64" s="8"/>
      <c r="L64" s="8"/>
      <c r="M64" s="8"/>
      <c r="N64" s="8"/>
      <c r="O64" s="1">
        <f t="shared" si="3"/>
        <v>0</v>
      </c>
      <c r="P64" s="14">
        <f t="shared" si="4"/>
        <v>0</v>
      </c>
      <c r="Q64" s="20">
        <f t="shared" si="5"/>
        <v>57</v>
      </c>
    </row>
    <row r="65" spans="1:17" ht="18" customHeight="1">
      <c r="A65" s="19">
        <v>59</v>
      </c>
      <c r="B65" s="2" t="s">
        <v>1365</v>
      </c>
      <c r="C65" s="1" t="s">
        <v>1366</v>
      </c>
      <c r="D65" s="3" t="s">
        <v>1367</v>
      </c>
      <c r="E65" s="1" t="s">
        <v>61</v>
      </c>
      <c r="F65" s="10" t="s">
        <v>1302</v>
      </c>
      <c r="G65" s="2">
        <v>27</v>
      </c>
      <c r="H65" s="8"/>
      <c r="I65" s="8"/>
      <c r="J65" s="8"/>
      <c r="K65" s="8"/>
      <c r="L65" s="8"/>
      <c r="M65" s="8"/>
      <c r="N65" s="8"/>
      <c r="O65" s="1">
        <f t="shared" si="3"/>
        <v>0</v>
      </c>
      <c r="P65" s="14">
        <f t="shared" si="4"/>
        <v>0</v>
      </c>
      <c r="Q65" s="20">
        <f t="shared" si="5"/>
        <v>57</v>
      </c>
    </row>
    <row r="66" spans="1:17" ht="18" customHeight="1">
      <c r="A66" s="19">
        <v>60</v>
      </c>
      <c r="B66" s="2" t="s">
        <v>1430</v>
      </c>
      <c r="C66" s="1">
        <v>311260288</v>
      </c>
      <c r="D66" s="3" t="s">
        <v>1431</v>
      </c>
      <c r="E66" s="1" t="s">
        <v>73</v>
      </c>
      <c r="F66" s="10" t="s">
        <v>1302</v>
      </c>
      <c r="G66" s="2">
        <v>28</v>
      </c>
      <c r="H66" s="8"/>
      <c r="I66" s="8"/>
      <c r="J66" s="8"/>
      <c r="K66" s="8"/>
      <c r="L66" s="8"/>
      <c r="M66" s="8"/>
      <c r="N66" s="8"/>
      <c r="O66" s="1">
        <f t="shared" si="3"/>
        <v>0</v>
      </c>
      <c r="P66" s="14">
        <f t="shared" si="4"/>
        <v>0</v>
      </c>
      <c r="Q66" s="20">
        <f t="shared" si="5"/>
        <v>57</v>
      </c>
    </row>
    <row r="67" spans="1:17" ht="18" customHeight="1">
      <c r="A67" s="19">
        <v>61</v>
      </c>
      <c r="B67" s="28" t="s">
        <v>1456</v>
      </c>
      <c r="C67" s="29">
        <v>311260898</v>
      </c>
      <c r="D67" s="30" t="s">
        <v>1457</v>
      </c>
      <c r="E67" s="29" t="s">
        <v>353</v>
      </c>
      <c r="F67" s="31" t="s">
        <v>1302</v>
      </c>
      <c r="G67" s="28">
        <v>29</v>
      </c>
      <c r="H67" s="40"/>
      <c r="I67" s="40"/>
      <c r="J67" s="40"/>
      <c r="K67" s="40"/>
      <c r="L67" s="40"/>
      <c r="M67" s="40"/>
      <c r="N67" s="40"/>
      <c r="O67" s="29">
        <f t="shared" si="3"/>
        <v>0</v>
      </c>
      <c r="P67" s="41">
        <f t="shared" si="4"/>
        <v>0</v>
      </c>
      <c r="Q67" s="33">
        <f t="shared" si="5"/>
        <v>57</v>
      </c>
    </row>
  </sheetData>
  <mergeCells count="4">
    <mergeCell ref="A1:P1"/>
    <mergeCell ref="A2:P2"/>
    <mergeCell ref="A3:P3"/>
    <mergeCell ref="A5:B5"/>
  </mergeCells>
  <conditionalFormatting sqref="H7:N7">
    <cfRule type="cellIs" dxfId="7773" priority="244" operator="lessThan">
      <formula>5</formula>
    </cfRule>
  </conditionalFormatting>
  <conditionalFormatting sqref="H7:N7">
    <cfRule type="expression" dxfId="7772" priority="243">
      <formula>5</formula>
    </cfRule>
  </conditionalFormatting>
  <conditionalFormatting sqref="H7:N7">
    <cfRule type="cellIs" dxfId="7771" priority="242" operator="lessThan">
      <formula>50</formula>
    </cfRule>
  </conditionalFormatting>
  <conditionalFormatting sqref="P7">
    <cfRule type="cellIs" dxfId="7770" priority="241" operator="lessThan">
      <formula>50</formula>
    </cfRule>
  </conditionalFormatting>
  <conditionalFormatting sqref="H8:N8">
    <cfRule type="cellIs" dxfId="7769" priority="240" operator="lessThan">
      <formula>5</formula>
    </cfRule>
  </conditionalFormatting>
  <conditionalFormatting sqref="H8:N8">
    <cfRule type="expression" dxfId="7768" priority="239">
      <formula>5</formula>
    </cfRule>
  </conditionalFormatting>
  <conditionalFormatting sqref="H8:N8">
    <cfRule type="cellIs" dxfId="7767" priority="238" operator="lessThan">
      <formula>50</formula>
    </cfRule>
  </conditionalFormatting>
  <conditionalFormatting sqref="P8">
    <cfRule type="cellIs" dxfId="7766" priority="237" operator="lessThan">
      <formula>50</formula>
    </cfRule>
  </conditionalFormatting>
  <conditionalFormatting sqref="H9:N9">
    <cfRule type="cellIs" dxfId="7765" priority="236" operator="lessThan">
      <formula>5</formula>
    </cfRule>
  </conditionalFormatting>
  <conditionalFormatting sqref="H9:N9">
    <cfRule type="expression" dxfId="7764" priority="235">
      <formula>5</formula>
    </cfRule>
  </conditionalFormatting>
  <conditionalFormatting sqref="H9:N9">
    <cfRule type="cellIs" dxfId="7763" priority="234" operator="lessThan">
      <formula>50</formula>
    </cfRule>
  </conditionalFormatting>
  <conditionalFormatting sqref="P9">
    <cfRule type="cellIs" dxfId="7762" priority="233" operator="lessThan">
      <formula>50</formula>
    </cfRule>
  </conditionalFormatting>
  <conditionalFormatting sqref="H10:N10">
    <cfRule type="cellIs" dxfId="7761" priority="232" operator="lessThan">
      <formula>5</formula>
    </cfRule>
  </conditionalFormatting>
  <conditionalFormatting sqref="H10:N10">
    <cfRule type="expression" dxfId="7760" priority="231">
      <formula>5</formula>
    </cfRule>
  </conditionalFormatting>
  <conditionalFormatting sqref="H10:N10">
    <cfRule type="cellIs" dxfId="7759" priority="230" operator="lessThan">
      <formula>50</formula>
    </cfRule>
  </conditionalFormatting>
  <conditionalFormatting sqref="P10">
    <cfRule type="cellIs" dxfId="7758" priority="229" operator="lessThan">
      <formula>50</formula>
    </cfRule>
  </conditionalFormatting>
  <conditionalFormatting sqref="H11:N11">
    <cfRule type="cellIs" dxfId="7757" priority="228" operator="lessThan">
      <formula>5</formula>
    </cfRule>
  </conditionalFormatting>
  <conditionalFormatting sqref="H11:N11">
    <cfRule type="expression" dxfId="7756" priority="227">
      <formula>5</formula>
    </cfRule>
  </conditionalFormatting>
  <conditionalFormatting sqref="H11:N11">
    <cfRule type="cellIs" dxfId="7755" priority="226" operator="lessThan">
      <formula>50</formula>
    </cfRule>
  </conditionalFormatting>
  <conditionalFormatting sqref="P11">
    <cfRule type="cellIs" dxfId="7754" priority="225" operator="lessThan">
      <formula>50</formula>
    </cfRule>
  </conditionalFormatting>
  <conditionalFormatting sqref="H12:N12">
    <cfRule type="cellIs" dxfId="7753" priority="224" operator="lessThan">
      <formula>5</formula>
    </cfRule>
  </conditionalFormatting>
  <conditionalFormatting sqref="H12:N12">
    <cfRule type="expression" dxfId="7752" priority="223">
      <formula>5</formula>
    </cfRule>
  </conditionalFormatting>
  <conditionalFormatting sqref="H12:N12">
    <cfRule type="cellIs" dxfId="7751" priority="222" operator="lessThan">
      <formula>50</formula>
    </cfRule>
  </conditionalFormatting>
  <conditionalFormatting sqref="P12">
    <cfRule type="cellIs" dxfId="7750" priority="221" operator="lessThan">
      <formula>50</formula>
    </cfRule>
  </conditionalFormatting>
  <conditionalFormatting sqref="H13:N13">
    <cfRule type="cellIs" dxfId="7749" priority="220" operator="lessThan">
      <formula>5</formula>
    </cfRule>
  </conditionalFormatting>
  <conditionalFormatting sqref="H13:N13">
    <cfRule type="expression" dxfId="7748" priority="219">
      <formula>5</formula>
    </cfRule>
  </conditionalFormatting>
  <conditionalFormatting sqref="H13:N13">
    <cfRule type="cellIs" dxfId="7747" priority="218" operator="lessThan">
      <formula>50</formula>
    </cfRule>
  </conditionalFormatting>
  <conditionalFormatting sqref="P13">
    <cfRule type="cellIs" dxfId="7746" priority="217" operator="lessThan">
      <formula>50</formula>
    </cfRule>
  </conditionalFormatting>
  <conditionalFormatting sqref="H14:N14">
    <cfRule type="cellIs" dxfId="7745" priority="216" operator="lessThan">
      <formula>5</formula>
    </cfRule>
  </conditionalFormatting>
  <conditionalFormatting sqref="H14:N14">
    <cfRule type="expression" dxfId="7744" priority="215">
      <formula>5</formula>
    </cfRule>
  </conditionalFormatting>
  <conditionalFormatting sqref="H14:N14">
    <cfRule type="cellIs" dxfId="7743" priority="214" operator="lessThan">
      <formula>50</formula>
    </cfRule>
  </conditionalFormatting>
  <conditionalFormatting sqref="P14">
    <cfRule type="cellIs" dxfId="7742" priority="213" operator="lessThan">
      <formula>50</formula>
    </cfRule>
  </conditionalFormatting>
  <conditionalFormatting sqref="H15:N15">
    <cfRule type="cellIs" dxfId="7741" priority="212" operator="lessThan">
      <formula>5</formula>
    </cfRule>
  </conditionalFormatting>
  <conditionalFormatting sqref="H15:N15">
    <cfRule type="expression" dxfId="7740" priority="211">
      <formula>5</formula>
    </cfRule>
  </conditionalFormatting>
  <conditionalFormatting sqref="H15:N15">
    <cfRule type="cellIs" dxfId="7739" priority="210" operator="lessThan">
      <formula>50</formula>
    </cfRule>
  </conditionalFormatting>
  <conditionalFormatting sqref="P15">
    <cfRule type="cellIs" dxfId="7738" priority="209" operator="lessThan">
      <formula>50</formula>
    </cfRule>
  </conditionalFormatting>
  <conditionalFormatting sqref="H16:N16">
    <cfRule type="cellIs" dxfId="7737" priority="208" operator="lessThan">
      <formula>5</formula>
    </cfRule>
  </conditionalFormatting>
  <conditionalFormatting sqref="H16:N16">
    <cfRule type="expression" dxfId="7736" priority="207">
      <formula>5</formula>
    </cfRule>
  </conditionalFormatting>
  <conditionalFormatting sqref="H16:N16">
    <cfRule type="cellIs" dxfId="7735" priority="206" operator="lessThan">
      <formula>50</formula>
    </cfRule>
  </conditionalFormatting>
  <conditionalFormatting sqref="P16">
    <cfRule type="cellIs" dxfId="7734" priority="205" operator="lessThan">
      <formula>50</formula>
    </cfRule>
  </conditionalFormatting>
  <conditionalFormatting sqref="H17:N17">
    <cfRule type="cellIs" dxfId="7733" priority="204" operator="lessThan">
      <formula>5</formula>
    </cfRule>
  </conditionalFormatting>
  <conditionalFormatting sqref="H17:N17">
    <cfRule type="expression" dxfId="7732" priority="203">
      <formula>5</formula>
    </cfRule>
  </conditionalFormatting>
  <conditionalFormatting sqref="H17:N17">
    <cfRule type="cellIs" dxfId="7731" priority="202" operator="lessThan">
      <formula>50</formula>
    </cfRule>
  </conditionalFormatting>
  <conditionalFormatting sqref="P17">
    <cfRule type="cellIs" dxfId="7730" priority="201" operator="lessThan">
      <formula>50</formula>
    </cfRule>
  </conditionalFormatting>
  <conditionalFormatting sqref="H18:N18">
    <cfRule type="cellIs" dxfId="7729" priority="200" operator="lessThan">
      <formula>5</formula>
    </cfRule>
  </conditionalFormatting>
  <conditionalFormatting sqref="H18:N18">
    <cfRule type="expression" dxfId="7728" priority="199">
      <formula>5</formula>
    </cfRule>
  </conditionalFormatting>
  <conditionalFormatting sqref="H18:N18">
    <cfRule type="cellIs" dxfId="7727" priority="198" operator="lessThan">
      <formula>50</formula>
    </cfRule>
  </conditionalFormatting>
  <conditionalFormatting sqref="P18">
    <cfRule type="cellIs" dxfId="7726" priority="197" operator="lessThan">
      <formula>50</formula>
    </cfRule>
  </conditionalFormatting>
  <conditionalFormatting sqref="H19:N19">
    <cfRule type="cellIs" dxfId="7725" priority="196" operator="lessThan">
      <formula>5</formula>
    </cfRule>
  </conditionalFormatting>
  <conditionalFormatting sqref="H19:N19">
    <cfRule type="expression" dxfId="7724" priority="195">
      <formula>5</formula>
    </cfRule>
  </conditionalFormatting>
  <conditionalFormatting sqref="H19:N19">
    <cfRule type="cellIs" dxfId="7723" priority="194" operator="lessThan">
      <formula>50</formula>
    </cfRule>
  </conditionalFormatting>
  <conditionalFormatting sqref="P19">
    <cfRule type="cellIs" dxfId="7722" priority="193" operator="lessThan">
      <formula>50</formula>
    </cfRule>
  </conditionalFormatting>
  <conditionalFormatting sqref="H20:N20">
    <cfRule type="cellIs" dxfId="7721" priority="192" operator="lessThan">
      <formula>5</formula>
    </cfRule>
  </conditionalFormatting>
  <conditionalFormatting sqref="H20:N20">
    <cfRule type="expression" dxfId="7720" priority="191">
      <formula>5</formula>
    </cfRule>
  </conditionalFormatting>
  <conditionalFormatting sqref="H20:N20">
    <cfRule type="cellIs" dxfId="7719" priority="190" operator="lessThan">
      <formula>50</formula>
    </cfRule>
  </conditionalFormatting>
  <conditionalFormatting sqref="P20">
    <cfRule type="cellIs" dxfId="7718" priority="189" operator="lessThan">
      <formula>50</formula>
    </cfRule>
  </conditionalFormatting>
  <conditionalFormatting sqref="H21:N21">
    <cfRule type="cellIs" dxfId="7717" priority="188" operator="lessThan">
      <formula>5</formula>
    </cfRule>
  </conditionalFormatting>
  <conditionalFormatting sqref="H21:N21">
    <cfRule type="expression" dxfId="7716" priority="187">
      <formula>5</formula>
    </cfRule>
  </conditionalFormatting>
  <conditionalFormatting sqref="H21:N21">
    <cfRule type="cellIs" dxfId="7715" priority="186" operator="lessThan">
      <formula>50</formula>
    </cfRule>
  </conditionalFormatting>
  <conditionalFormatting sqref="P21">
    <cfRule type="cellIs" dxfId="7714" priority="185" operator="lessThan">
      <formula>50</formula>
    </cfRule>
  </conditionalFormatting>
  <conditionalFormatting sqref="H22:N22">
    <cfRule type="cellIs" dxfId="7713" priority="184" operator="lessThan">
      <formula>5</formula>
    </cfRule>
  </conditionalFormatting>
  <conditionalFormatting sqref="H22:N22">
    <cfRule type="expression" dxfId="7712" priority="183">
      <formula>5</formula>
    </cfRule>
  </conditionalFormatting>
  <conditionalFormatting sqref="H22:N22">
    <cfRule type="cellIs" dxfId="7711" priority="182" operator="lessThan">
      <formula>50</formula>
    </cfRule>
  </conditionalFormatting>
  <conditionalFormatting sqref="P22">
    <cfRule type="cellIs" dxfId="7710" priority="181" operator="lessThan">
      <formula>50</formula>
    </cfRule>
  </conditionalFormatting>
  <conditionalFormatting sqref="H23:N23">
    <cfRule type="cellIs" dxfId="7709" priority="180" operator="lessThan">
      <formula>5</formula>
    </cfRule>
  </conditionalFormatting>
  <conditionalFormatting sqref="H23:N23">
    <cfRule type="expression" dxfId="7708" priority="179">
      <formula>5</formula>
    </cfRule>
  </conditionalFormatting>
  <conditionalFormatting sqref="H23:N23">
    <cfRule type="cellIs" dxfId="7707" priority="178" operator="lessThan">
      <formula>50</formula>
    </cfRule>
  </conditionalFormatting>
  <conditionalFormatting sqref="P23">
    <cfRule type="cellIs" dxfId="7706" priority="177" operator="lessThan">
      <formula>50</formula>
    </cfRule>
  </conditionalFormatting>
  <conditionalFormatting sqref="H24:N24">
    <cfRule type="cellIs" dxfId="7705" priority="176" operator="lessThan">
      <formula>5</formula>
    </cfRule>
  </conditionalFormatting>
  <conditionalFormatting sqref="H24:N24">
    <cfRule type="expression" dxfId="7704" priority="175">
      <formula>5</formula>
    </cfRule>
  </conditionalFormatting>
  <conditionalFormatting sqref="H24:N24">
    <cfRule type="cellIs" dxfId="7703" priority="174" operator="lessThan">
      <formula>50</formula>
    </cfRule>
  </conditionalFormatting>
  <conditionalFormatting sqref="P24">
    <cfRule type="cellIs" dxfId="7702" priority="173" operator="lessThan">
      <formula>50</formula>
    </cfRule>
  </conditionalFormatting>
  <conditionalFormatting sqref="H25:N25">
    <cfRule type="cellIs" dxfId="7701" priority="172" operator="lessThan">
      <formula>5</formula>
    </cfRule>
  </conditionalFormatting>
  <conditionalFormatting sqref="H25:N25">
    <cfRule type="expression" dxfId="7700" priority="171">
      <formula>5</formula>
    </cfRule>
  </conditionalFormatting>
  <conditionalFormatting sqref="H25:N25">
    <cfRule type="cellIs" dxfId="7699" priority="170" operator="lessThan">
      <formula>50</formula>
    </cfRule>
  </conditionalFormatting>
  <conditionalFormatting sqref="P25">
    <cfRule type="cellIs" dxfId="7698" priority="169" operator="lessThan">
      <formula>50</formula>
    </cfRule>
  </conditionalFormatting>
  <conditionalFormatting sqref="H26:N26">
    <cfRule type="cellIs" dxfId="7697" priority="168" operator="lessThan">
      <formula>5</formula>
    </cfRule>
  </conditionalFormatting>
  <conditionalFormatting sqref="H26:N26">
    <cfRule type="expression" dxfId="7696" priority="167">
      <formula>5</formula>
    </cfRule>
  </conditionalFormatting>
  <conditionalFormatting sqref="H26:N26">
    <cfRule type="cellIs" dxfId="7695" priority="166" operator="lessThan">
      <formula>50</formula>
    </cfRule>
  </conditionalFormatting>
  <conditionalFormatting sqref="P26">
    <cfRule type="cellIs" dxfId="7694" priority="165" operator="lessThan">
      <formula>50</formula>
    </cfRule>
  </conditionalFormatting>
  <conditionalFormatting sqref="H27:N27">
    <cfRule type="cellIs" dxfId="7693" priority="164" operator="lessThan">
      <formula>5</formula>
    </cfRule>
  </conditionalFormatting>
  <conditionalFormatting sqref="H27:N27">
    <cfRule type="expression" dxfId="7692" priority="163">
      <formula>5</formula>
    </cfRule>
  </conditionalFormatting>
  <conditionalFormatting sqref="H27:N27">
    <cfRule type="cellIs" dxfId="7691" priority="162" operator="lessThan">
      <formula>50</formula>
    </cfRule>
  </conditionalFormatting>
  <conditionalFormatting sqref="P27">
    <cfRule type="cellIs" dxfId="7690" priority="161" operator="lessThan">
      <formula>50</formula>
    </cfRule>
  </conditionalFormatting>
  <conditionalFormatting sqref="H28:N28">
    <cfRule type="cellIs" dxfId="7689" priority="160" operator="lessThan">
      <formula>5</formula>
    </cfRule>
  </conditionalFormatting>
  <conditionalFormatting sqref="H28:N28">
    <cfRule type="expression" dxfId="7688" priority="159">
      <formula>5</formula>
    </cfRule>
  </conditionalFormatting>
  <conditionalFormatting sqref="H28:N28">
    <cfRule type="cellIs" dxfId="7687" priority="158" operator="lessThan">
      <formula>50</formula>
    </cfRule>
  </conditionalFormatting>
  <conditionalFormatting sqref="P28">
    <cfRule type="cellIs" dxfId="7686" priority="157" operator="lessThan">
      <formula>50</formula>
    </cfRule>
  </conditionalFormatting>
  <conditionalFormatting sqref="H29:N29">
    <cfRule type="cellIs" dxfId="7685" priority="156" operator="lessThan">
      <formula>5</formula>
    </cfRule>
  </conditionalFormatting>
  <conditionalFormatting sqref="H29:N29">
    <cfRule type="expression" dxfId="7684" priority="155">
      <formula>5</formula>
    </cfRule>
  </conditionalFormatting>
  <conditionalFormatting sqref="H29:N29">
    <cfRule type="cellIs" dxfId="7683" priority="154" operator="lessThan">
      <formula>50</formula>
    </cfRule>
  </conditionalFormatting>
  <conditionalFormatting sqref="P29">
    <cfRule type="cellIs" dxfId="7682" priority="153" operator="lessThan">
      <formula>50</formula>
    </cfRule>
  </conditionalFormatting>
  <conditionalFormatting sqref="H30:N30">
    <cfRule type="cellIs" dxfId="7681" priority="152" operator="lessThan">
      <formula>5</formula>
    </cfRule>
  </conditionalFormatting>
  <conditionalFormatting sqref="H30:N30">
    <cfRule type="expression" dxfId="7680" priority="151">
      <formula>5</formula>
    </cfRule>
  </conditionalFormatting>
  <conditionalFormatting sqref="H30:N30">
    <cfRule type="cellIs" dxfId="7679" priority="150" operator="lessThan">
      <formula>50</formula>
    </cfRule>
  </conditionalFormatting>
  <conditionalFormatting sqref="P30">
    <cfRule type="cellIs" dxfId="7678" priority="149" operator="lessThan">
      <formula>50</formula>
    </cfRule>
  </conditionalFormatting>
  <conditionalFormatting sqref="H31:N31">
    <cfRule type="cellIs" dxfId="7677" priority="148" operator="lessThan">
      <formula>5</formula>
    </cfRule>
  </conditionalFormatting>
  <conditionalFormatting sqref="H31:N31">
    <cfRule type="expression" dxfId="7676" priority="147">
      <formula>5</formula>
    </cfRule>
  </conditionalFormatting>
  <conditionalFormatting sqref="H31:N31">
    <cfRule type="cellIs" dxfId="7675" priority="146" operator="lessThan">
      <formula>50</formula>
    </cfRule>
  </conditionalFormatting>
  <conditionalFormatting sqref="P31">
    <cfRule type="cellIs" dxfId="7674" priority="145" operator="lessThan">
      <formula>50</formula>
    </cfRule>
  </conditionalFormatting>
  <conditionalFormatting sqref="H32:N32">
    <cfRule type="cellIs" dxfId="7673" priority="144" operator="lessThan">
      <formula>5</formula>
    </cfRule>
  </conditionalFormatting>
  <conditionalFormatting sqref="H32:N32">
    <cfRule type="expression" dxfId="7672" priority="143">
      <formula>5</formula>
    </cfRule>
  </conditionalFormatting>
  <conditionalFormatting sqref="H32:N32">
    <cfRule type="cellIs" dxfId="7671" priority="142" operator="lessThan">
      <formula>50</formula>
    </cfRule>
  </conditionalFormatting>
  <conditionalFormatting sqref="P32">
    <cfRule type="cellIs" dxfId="7670" priority="141" operator="lessThan">
      <formula>50</formula>
    </cfRule>
  </conditionalFormatting>
  <conditionalFormatting sqref="H33:N33">
    <cfRule type="cellIs" dxfId="7669" priority="140" operator="lessThan">
      <formula>5</formula>
    </cfRule>
  </conditionalFormatting>
  <conditionalFormatting sqref="H33:N33">
    <cfRule type="expression" dxfId="7668" priority="139">
      <formula>5</formula>
    </cfRule>
  </conditionalFormatting>
  <conditionalFormatting sqref="H33:N33">
    <cfRule type="cellIs" dxfId="7667" priority="138" operator="lessThan">
      <formula>50</formula>
    </cfRule>
  </conditionalFormatting>
  <conditionalFormatting sqref="P33">
    <cfRule type="cellIs" dxfId="7666" priority="137" operator="lessThan">
      <formula>50</formula>
    </cfRule>
  </conditionalFormatting>
  <conditionalFormatting sqref="H34:N34">
    <cfRule type="cellIs" dxfId="7665" priority="136" operator="lessThan">
      <formula>5</formula>
    </cfRule>
  </conditionalFormatting>
  <conditionalFormatting sqref="H34:N34">
    <cfRule type="expression" dxfId="7664" priority="135">
      <formula>5</formula>
    </cfRule>
  </conditionalFormatting>
  <conditionalFormatting sqref="H34:N34">
    <cfRule type="cellIs" dxfId="7663" priority="134" operator="lessThan">
      <formula>50</formula>
    </cfRule>
  </conditionalFormatting>
  <conditionalFormatting sqref="P34">
    <cfRule type="cellIs" dxfId="7662" priority="133" operator="lessThan">
      <formula>50</formula>
    </cfRule>
  </conditionalFormatting>
  <conditionalFormatting sqref="H35:N35">
    <cfRule type="cellIs" dxfId="7661" priority="132" operator="lessThan">
      <formula>5</formula>
    </cfRule>
  </conditionalFormatting>
  <conditionalFormatting sqref="H35:N35">
    <cfRule type="expression" dxfId="7660" priority="131">
      <formula>5</formula>
    </cfRule>
  </conditionalFormatting>
  <conditionalFormatting sqref="H35:N35">
    <cfRule type="cellIs" dxfId="7659" priority="130" operator="lessThan">
      <formula>50</formula>
    </cfRule>
  </conditionalFormatting>
  <conditionalFormatting sqref="P35">
    <cfRule type="cellIs" dxfId="7658" priority="129" operator="lessThan">
      <formula>50</formula>
    </cfRule>
  </conditionalFormatting>
  <conditionalFormatting sqref="H36:N36">
    <cfRule type="cellIs" dxfId="7657" priority="128" operator="lessThan">
      <formula>5</formula>
    </cfRule>
  </conditionalFormatting>
  <conditionalFormatting sqref="H36:N36">
    <cfRule type="expression" dxfId="7656" priority="127">
      <formula>5</formula>
    </cfRule>
  </conditionalFormatting>
  <conditionalFormatting sqref="H36:N36">
    <cfRule type="cellIs" dxfId="7655" priority="126" operator="lessThan">
      <formula>50</formula>
    </cfRule>
  </conditionalFormatting>
  <conditionalFormatting sqref="P36">
    <cfRule type="cellIs" dxfId="7654" priority="125" operator="lessThan">
      <formula>50</formula>
    </cfRule>
  </conditionalFormatting>
  <conditionalFormatting sqref="H37:N37">
    <cfRule type="cellIs" dxfId="7653" priority="124" operator="lessThan">
      <formula>5</formula>
    </cfRule>
  </conditionalFormatting>
  <conditionalFormatting sqref="H37:N37">
    <cfRule type="expression" dxfId="7652" priority="123">
      <formula>5</formula>
    </cfRule>
  </conditionalFormatting>
  <conditionalFormatting sqref="H37:N37">
    <cfRule type="cellIs" dxfId="7651" priority="122" operator="lessThan">
      <formula>50</formula>
    </cfRule>
  </conditionalFormatting>
  <conditionalFormatting sqref="P37">
    <cfRule type="cellIs" dxfId="7650" priority="121" operator="lessThan">
      <formula>50</formula>
    </cfRule>
  </conditionalFormatting>
  <conditionalFormatting sqref="H38:N38">
    <cfRule type="cellIs" dxfId="7649" priority="120" operator="lessThan">
      <formula>5</formula>
    </cfRule>
  </conditionalFormatting>
  <conditionalFormatting sqref="H38:N38">
    <cfRule type="expression" dxfId="7648" priority="119">
      <formula>5</formula>
    </cfRule>
  </conditionalFormatting>
  <conditionalFormatting sqref="H38:N38">
    <cfRule type="cellIs" dxfId="7647" priority="118" operator="lessThan">
      <formula>50</formula>
    </cfRule>
  </conditionalFormatting>
  <conditionalFormatting sqref="P38">
    <cfRule type="cellIs" dxfId="7646" priority="117" operator="lessThan">
      <formula>50</formula>
    </cfRule>
  </conditionalFormatting>
  <conditionalFormatting sqref="H39:N39">
    <cfRule type="cellIs" dxfId="7645" priority="116" operator="lessThan">
      <formula>5</formula>
    </cfRule>
  </conditionalFormatting>
  <conditionalFormatting sqref="H39:N39">
    <cfRule type="expression" dxfId="7644" priority="115">
      <formula>5</formula>
    </cfRule>
  </conditionalFormatting>
  <conditionalFormatting sqref="H39:N39">
    <cfRule type="cellIs" dxfId="7643" priority="114" operator="lessThan">
      <formula>50</formula>
    </cfRule>
  </conditionalFormatting>
  <conditionalFormatting sqref="P39">
    <cfRule type="cellIs" dxfId="7642" priority="113" operator="lessThan">
      <formula>50</formula>
    </cfRule>
  </conditionalFormatting>
  <conditionalFormatting sqref="H40:N40">
    <cfRule type="cellIs" dxfId="7641" priority="112" operator="lessThan">
      <formula>5</formula>
    </cfRule>
  </conditionalFormatting>
  <conditionalFormatting sqref="H40:N40">
    <cfRule type="expression" dxfId="7640" priority="111">
      <formula>5</formula>
    </cfRule>
  </conditionalFormatting>
  <conditionalFormatting sqref="H40:N40">
    <cfRule type="cellIs" dxfId="7639" priority="110" operator="lessThan">
      <formula>50</formula>
    </cfRule>
  </conditionalFormatting>
  <conditionalFormatting sqref="P40">
    <cfRule type="cellIs" dxfId="7638" priority="109" operator="lessThan">
      <formula>50</formula>
    </cfRule>
  </conditionalFormatting>
  <conditionalFormatting sqref="H41:N41">
    <cfRule type="cellIs" dxfId="7637" priority="108" operator="lessThan">
      <formula>5</formula>
    </cfRule>
  </conditionalFormatting>
  <conditionalFormatting sqref="H41:N41">
    <cfRule type="expression" dxfId="7636" priority="107">
      <formula>5</formula>
    </cfRule>
  </conditionalFormatting>
  <conditionalFormatting sqref="H41:N41">
    <cfRule type="cellIs" dxfId="7635" priority="106" operator="lessThan">
      <formula>50</formula>
    </cfRule>
  </conditionalFormatting>
  <conditionalFormatting sqref="P41">
    <cfRule type="cellIs" dxfId="7634" priority="105" operator="lessThan">
      <formula>50</formula>
    </cfRule>
  </conditionalFormatting>
  <conditionalFormatting sqref="H42:N42">
    <cfRule type="cellIs" dxfId="7633" priority="104" operator="lessThan">
      <formula>5</formula>
    </cfRule>
  </conditionalFormatting>
  <conditionalFormatting sqref="H42:N42">
    <cfRule type="expression" dxfId="7632" priority="103">
      <formula>5</formula>
    </cfRule>
  </conditionalFormatting>
  <conditionalFormatting sqref="H42:N42">
    <cfRule type="cellIs" dxfId="7631" priority="102" operator="lessThan">
      <formula>50</formula>
    </cfRule>
  </conditionalFormatting>
  <conditionalFormatting sqref="P42">
    <cfRule type="cellIs" dxfId="7630" priority="101" operator="lessThan">
      <formula>50</formula>
    </cfRule>
  </conditionalFormatting>
  <conditionalFormatting sqref="H43:N43">
    <cfRule type="cellIs" dxfId="7629" priority="100" operator="lessThan">
      <formula>5</formula>
    </cfRule>
  </conditionalFormatting>
  <conditionalFormatting sqref="H43:N43">
    <cfRule type="expression" dxfId="7628" priority="99">
      <formula>5</formula>
    </cfRule>
  </conditionalFormatting>
  <conditionalFormatting sqref="H43:N43">
    <cfRule type="cellIs" dxfId="7627" priority="98" operator="lessThan">
      <formula>50</formula>
    </cfRule>
  </conditionalFormatting>
  <conditionalFormatting sqref="P43">
    <cfRule type="cellIs" dxfId="7626" priority="97" operator="lessThan">
      <formula>50</formula>
    </cfRule>
  </conditionalFormatting>
  <conditionalFormatting sqref="H44:N44">
    <cfRule type="cellIs" dxfId="7625" priority="96" operator="lessThan">
      <formula>5</formula>
    </cfRule>
  </conditionalFormatting>
  <conditionalFormatting sqref="H44:N44">
    <cfRule type="expression" dxfId="7624" priority="95">
      <formula>5</formula>
    </cfRule>
  </conditionalFormatting>
  <conditionalFormatting sqref="H44:N44">
    <cfRule type="cellIs" dxfId="7623" priority="94" operator="lessThan">
      <formula>50</formula>
    </cfRule>
  </conditionalFormatting>
  <conditionalFormatting sqref="P44">
    <cfRule type="cellIs" dxfId="7622" priority="93" operator="lessThan">
      <formula>50</formula>
    </cfRule>
  </conditionalFormatting>
  <conditionalFormatting sqref="H45:N45">
    <cfRule type="cellIs" dxfId="7621" priority="92" operator="lessThan">
      <formula>5</formula>
    </cfRule>
  </conditionalFormatting>
  <conditionalFormatting sqref="H45:N45">
    <cfRule type="expression" dxfId="7620" priority="91">
      <formula>5</formula>
    </cfRule>
  </conditionalFormatting>
  <conditionalFormatting sqref="H45:N45">
    <cfRule type="cellIs" dxfId="7619" priority="90" operator="lessThan">
      <formula>50</formula>
    </cfRule>
  </conditionalFormatting>
  <conditionalFormatting sqref="P45">
    <cfRule type="cellIs" dxfId="7618" priority="89" operator="lessThan">
      <formula>50</formula>
    </cfRule>
  </conditionalFormatting>
  <conditionalFormatting sqref="H46:N46">
    <cfRule type="cellIs" dxfId="7617" priority="88" operator="lessThan">
      <formula>5</formula>
    </cfRule>
  </conditionalFormatting>
  <conditionalFormatting sqref="H46:N46">
    <cfRule type="expression" dxfId="7616" priority="87">
      <formula>5</formula>
    </cfRule>
  </conditionalFormatting>
  <conditionalFormatting sqref="H46:N46">
    <cfRule type="cellIs" dxfId="7615" priority="86" operator="lessThan">
      <formula>50</formula>
    </cfRule>
  </conditionalFormatting>
  <conditionalFormatting sqref="P46">
    <cfRule type="cellIs" dxfId="7614" priority="85" operator="lessThan">
      <formula>50</formula>
    </cfRule>
  </conditionalFormatting>
  <conditionalFormatting sqref="H47:N47">
    <cfRule type="cellIs" dxfId="7613" priority="84" operator="lessThan">
      <formula>5</formula>
    </cfRule>
  </conditionalFormatting>
  <conditionalFormatting sqref="H47:N47">
    <cfRule type="expression" dxfId="7612" priority="83">
      <formula>5</formula>
    </cfRule>
  </conditionalFormatting>
  <conditionalFormatting sqref="H47:N47">
    <cfRule type="cellIs" dxfId="7611" priority="82" operator="lessThan">
      <formula>50</formula>
    </cfRule>
  </conditionalFormatting>
  <conditionalFormatting sqref="P47">
    <cfRule type="cellIs" dxfId="7610" priority="81" operator="lessThan">
      <formula>50</formula>
    </cfRule>
  </conditionalFormatting>
  <conditionalFormatting sqref="H48:N48">
    <cfRule type="cellIs" dxfId="7609" priority="80" operator="lessThan">
      <formula>5</formula>
    </cfRule>
  </conditionalFormatting>
  <conditionalFormatting sqref="H48:N48">
    <cfRule type="expression" dxfId="7608" priority="79">
      <formula>5</formula>
    </cfRule>
  </conditionalFormatting>
  <conditionalFormatting sqref="H48:N48">
    <cfRule type="cellIs" dxfId="7607" priority="78" operator="lessThan">
      <formula>50</formula>
    </cfRule>
  </conditionalFormatting>
  <conditionalFormatting sqref="P48">
    <cfRule type="cellIs" dxfId="7606" priority="77" operator="lessThan">
      <formula>50</formula>
    </cfRule>
  </conditionalFormatting>
  <conditionalFormatting sqref="H49:N49">
    <cfRule type="cellIs" dxfId="7605" priority="76" operator="lessThan">
      <formula>5</formula>
    </cfRule>
  </conditionalFormatting>
  <conditionalFormatting sqref="H49:N49">
    <cfRule type="expression" dxfId="7604" priority="75">
      <formula>5</formula>
    </cfRule>
  </conditionalFormatting>
  <conditionalFormatting sqref="H49:N49">
    <cfRule type="cellIs" dxfId="7603" priority="74" operator="lessThan">
      <formula>50</formula>
    </cfRule>
  </conditionalFormatting>
  <conditionalFormatting sqref="P49">
    <cfRule type="cellIs" dxfId="7602" priority="73" operator="lessThan">
      <formula>50</formula>
    </cfRule>
  </conditionalFormatting>
  <conditionalFormatting sqref="H50:N50">
    <cfRule type="cellIs" dxfId="7601" priority="72" operator="lessThan">
      <formula>5</formula>
    </cfRule>
  </conditionalFormatting>
  <conditionalFormatting sqref="H50:N50">
    <cfRule type="expression" dxfId="7600" priority="71">
      <formula>5</formula>
    </cfRule>
  </conditionalFormatting>
  <conditionalFormatting sqref="H50:N50">
    <cfRule type="cellIs" dxfId="7599" priority="70" operator="lessThan">
      <formula>50</formula>
    </cfRule>
  </conditionalFormatting>
  <conditionalFormatting sqref="P50">
    <cfRule type="cellIs" dxfId="7598" priority="69" operator="lessThan">
      <formula>50</formula>
    </cfRule>
  </conditionalFormatting>
  <conditionalFormatting sqref="H51:N51">
    <cfRule type="cellIs" dxfId="7597" priority="68" operator="lessThan">
      <formula>5</formula>
    </cfRule>
  </conditionalFormatting>
  <conditionalFormatting sqref="H51:N51">
    <cfRule type="expression" dxfId="7596" priority="67">
      <formula>5</formula>
    </cfRule>
  </conditionalFormatting>
  <conditionalFormatting sqref="H51:N51">
    <cfRule type="cellIs" dxfId="7595" priority="66" operator="lessThan">
      <formula>50</formula>
    </cfRule>
  </conditionalFormatting>
  <conditionalFormatting sqref="P51">
    <cfRule type="cellIs" dxfId="7594" priority="65" operator="lessThan">
      <formula>50</formula>
    </cfRule>
  </conditionalFormatting>
  <conditionalFormatting sqref="H52:N52">
    <cfRule type="cellIs" dxfId="7593" priority="64" operator="lessThan">
      <formula>5</formula>
    </cfRule>
  </conditionalFormatting>
  <conditionalFormatting sqref="H52:N52">
    <cfRule type="expression" dxfId="7592" priority="63">
      <formula>5</formula>
    </cfRule>
  </conditionalFormatting>
  <conditionalFormatting sqref="H52:N52">
    <cfRule type="cellIs" dxfId="7591" priority="62" operator="lessThan">
      <formula>50</formula>
    </cfRule>
  </conditionalFormatting>
  <conditionalFormatting sqref="P52">
    <cfRule type="cellIs" dxfId="7590" priority="61" operator="lessThan">
      <formula>50</formula>
    </cfRule>
  </conditionalFormatting>
  <conditionalFormatting sqref="H53:N53">
    <cfRule type="cellIs" dxfId="7589" priority="60" operator="lessThan">
      <formula>5</formula>
    </cfRule>
  </conditionalFormatting>
  <conditionalFormatting sqref="H53:N53">
    <cfRule type="expression" dxfId="7588" priority="59">
      <formula>5</formula>
    </cfRule>
  </conditionalFormatting>
  <conditionalFormatting sqref="H53:N53">
    <cfRule type="cellIs" dxfId="7587" priority="58" operator="lessThan">
      <formula>50</formula>
    </cfRule>
  </conditionalFormatting>
  <conditionalFormatting sqref="P53">
    <cfRule type="cellIs" dxfId="7586" priority="57" operator="lessThan">
      <formula>50</formula>
    </cfRule>
  </conditionalFormatting>
  <conditionalFormatting sqref="H54:N54">
    <cfRule type="cellIs" dxfId="7585" priority="56" operator="lessThan">
      <formula>5</formula>
    </cfRule>
  </conditionalFormatting>
  <conditionalFormatting sqref="H54:N54">
    <cfRule type="expression" dxfId="7584" priority="55">
      <formula>5</formula>
    </cfRule>
  </conditionalFormatting>
  <conditionalFormatting sqref="H54:N54">
    <cfRule type="cellIs" dxfId="7583" priority="54" operator="lessThan">
      <formula>50</formula>
    </cfRule>
  </conditionalFormatting>
  <conditionalFormatting sqref="P54">
    <cfRule type="cellIs" dxfId="7582" priority="53" operator="lessThan">
      <formula>50</formula>
    </cfRule>
  </conditionalFormatting>
  <conditionalFormatting sqref="H55:N55">
    <cfRule type="cellIs" dxfId="7581" priority="52" operator="lessThan">
      <formula>5</formula>
    </cfRule>
  </conditionalFormatting>
  <conditionalFormatting sqref="H55:N55">
    <cfRule type="expression" dxfId="7580" priority="51">
      <formula>5</formula>
    </cfRule>
  </conditionalFormatting>
  <conditionalFormatting sqref="H55:N55">
    <cfRule type="cellIs" dxfId="7579" priority="50" operator="lessThan">
      <formula>50</formula>
    </cfRule>
  </conditionalFormatting>
  <conditionalFormatting sqref="P55">
    <cfRule type="cellIs" dxfId="7578" priority="49" operator="lessThan">
      <formula>50</formula>
    </cfRule>
  </conditionalFormatting>
  <conditionalFormatting sqref="H56:N56">
    <cfRule type="cellIs" dxfId="7577" priority="48" operator="lessThan">
      <formula>5</formula>
    </cfRule>
  </conditionalFormatting>
  <conditionalFormatting sqref="H56:N56">
    <cfRule type="expression" dxfId="7576" priority="47">
      <formula>5</formula>
    </cfRule>
  </conditionalFormatting>
  <conditionalFormatting sqref="H56:N56">
    <cfRule type="cellIs" dxfId="7575" priority="46" operator="lessThan">
      <formula>50</formula>
    </cfRule>
  </conditionalFormatting>
  <conditionalFormatting sqref="P56">
    <cfRule type="cellIs" dxfId="7574" priority="45" operator="lessThan">
      <formula>50</formula>
    </cfRule>
  </conditionalFormatting>
  <conditionalFormatting sqref="H57:N57">
    <cfRule type="cellIs" dxfId="7573" priority="44" operator="lessThan">
      <formula>5</formula>
    </cfRule>
  </conditionalFormatting>
  <conditionalFormatting sqref="H57:N57">
    <cfRule type="expression" dxfId="7572" priority="43">
      <formula>5</formula>
    </cfRule>
  </conditionalFormatting>
  <conditionalFormatting sqref="H57:N57">
    <cfRule type="cellIs" dxfId="7571" priority="42" operator="lessThan">
      <formula>50</formula>
    </cfRule>
  </conditionalFormatting>
  <conditionalFormatting sqref="P57">
    <cfRule type="cellIs" dxfId="7570" priority="41" operator="lessThan">
      <formula>50</formula>
    </cfRule>
  </conditionalFormatting>
  <conditionalFormatting sqref="H58:N58">
    <cfRule type="cellIs" dxfId="7569" priority="40" operator="lessThan">
      <formula>5</formula>
    </cfRule>
  </conditionalFormatting>
  <conditionalFormatting sqref="H58:N58">
    <cfRule type="expression" dxfId="7568" priority="39">
      <formula>5</formula>
    </cfRule>
  </conditionalFormatting>
  <conditionalFormatting sqref="H58:N58">
    <cfRule type="cellIs" dxfId="7567" priority="38" operator="lessThan">
      <formula>50</formula>
    </cfRule>
  </conditionalFormatting>
  <conditionalFormatting sqref="P58">
    <cfRule type="cellIs" dxfId="7566" priority="37" operator="lessThan">
      <formula>50</formula>
    </cfRule>
  </conditionalFormatting>
  <conditionalFormatting sqref="H59:N59">
    <cfRule type="cellIs" dxfId="7565" priority="36" operator="lessThan">
      <formula>5</formula>
    </cfRule>
  </conditionalFormatting>
  <conditionalFormatting sqref="H59:N59">
    <cfRule type="expression" dxfId="7564" priority="35">
      <formula>5</formula>
    </cfRule>
  </conditionalFormatting>
  <conditionalFormatting sqref="H59:N59">
    <cfRule type="cellIs" dxfId="7563" priority="34" operator="lessThan">
      <formula>50</formula>
    </cfRule>
  </conditionalFormatting>
  <conditionalFormatting sqref="P59">
    <cfRule type="cellIs" dxfId="7562" priority="33" operator="lessThan">
      <formula>50</formula>
    </cfRule>
  </conditionalFormatting>
  <conditionalFormatting sqref="H60:N60">
    <cfRule type="cellIs" dxfId="7561" priority="32" operator="lessThan">
      <formula>5</formula>
    </cfRule>
  </conditionalFormatting>
  <conditionalFormatting sqref="H60:N60">
    <cfRule type="expression" dxfId="7560" priority="31">
      <formula>5</formula>
    </cfRule>
  </conditionalFormatting>
  <conditionalFormatting sqref="H60:N60">
    <cfRule type="cellIs" dxfId="7559" priority="30" operator="lessThan">
      <formula>50</formula>
    </cfRule>
  </conditionalFormatting>
  <conditionalFormatting sqref="P60">
    <cfRule type="cellIs" dxfId="7558" priority="29" operator="lessThan">
      <formula>50</formula>
    </cfRule>
  </conditionalFormatting>
  <conditionalFormatting sqref="H61:N61">
    <cfRule type="cellIs" dxfId="7557" priority="28" operator="lessThan">
      <formula>5</formula>
    </cfRule>
  </conditionalFormatting>
  <conditionalFormatting sqref="H61:N61">
    <cfRule type="expression" dxfId="7556" priority="27">
      <formula>5</formula>
    </cfRule>
  </conditionalFormatting>
  <conditionalFormatting sqref="H61:N61">
    <cfRule type="cellIs" dxfId="7555" priority="26" operator="lessThan">
      <formula>50</formula>
    </cfRule>
  </conditionalFormatting>
  <conditionalFormatting sqref="P61">
    <cfRule type="cellIs" dxfId="7554" priority="25" operator="lessThan">
      <formula>50</formula>
    </cfRule>
  </conditionalFormatting>
  <conditionalFormatting sqref="H62:N62">
    <cfRule type="cellIs" dxfId="7553" priority="24" operator="lessThan">
      <formula>5</formula>
    </cfRule>
  </conditionalFormatting>
  <conditionalFormatting sqref="H62:N62">
    <cfRule type="expression" dxfId="7552" priority="23">
      <formula>5</formula>
    </cfRule>
  </conditionalFormatting>
  <conditionalFormatting sqref="H62:N62">
    <cfRule type="cellIs" dxfId="7551" priority="22" operator="lessThan">
      <formula>50</formula>
    </cfRule>
  </conditionalFormatting>
  <conditionalFormatting sqref="P62">
    <cfRule type="cellIs" dxfId="7550" priority="21" operator="lessThan">
      <formula>50</formula>
    </cfRule>
  </conditionalFormatting>
  <conditionalFormatting sqref="H63:N63">
    <cfRule type="cellIs" dxfId="7549" priority="20" operator="lessThan">
      <formula>5</formula>
    </cfRule>
  </conditionalFormatting>
  <conditionalFormatting sqref="H63:N63">
    <cfRule type="expression" dxfId="7548" priority="19">
      <formula>5</formula>
    </cfRule>
  </conditionalFormatting>
  <conditionalFormatting sqref="H63:N63">
    <cfRule type="cellIs" dxfId="7547" priority="18" operator="lessThan">
      <formula>50</formula>
    </cfRule>
  </conditionalFormatting>
  <conditionalFormatting sqref="P63">
    <cfRule type="cellIs" dxfId="7546" priority="17" operator="lessThan">
      <formula>50</formula>
    </cfRule>
  </conditionalFormatting>
  <conditionalFormatting sqref="H64:N64">
    <cfRule type="cellIs" dxfId="7545" priority="16" operator="lessThan">
      <formula>5</formula>
    </cfRule>
  </conditionalFormatting>
  <conditionalFormatting sqref="H64:N64">
    <cfRule type="expression" dxfId="7544" priority="15">
      <formula>5</formula>
    </cfRule>
  </conditionalFormatting>
  <conditionalFormatting sqref="H64:N64">
    <cfRule type="cellIs" dxfId="7543" priority="14" operator="lessThan">
      <formula>50</formula>
    </cfRule>
  </conditionalFormatting>
  <conditionalFormatting sqref="P64">
    <cfRule type="cellIs" dxfId="7542" priority="13" operator="lessThan">
      <formula>50</formula>
    </cfRule>
  </conditionalFormatting>
  <conditionalFormatting sqref="H65:N65">
    <cfRule type="cellIs" dxfId="7541" priority="12" operator="lessThan">
      <formula>5</formula>
    </cfRule>
  </conditionalFormatting>
  <conditionalFormatting sqref="H65:N65">
    <cfRule type="expression" dxfId="7540" priority="11">
      <formula>5</formula>
    </cfRule>
  </conditionalFormatting>
  <conditionalFormatting sqref="H65:N65">
    <cfRule type="cellIs" dxfId="7539" priority="10" operator="lessThan">
      <formula>50</formula>
    </cfRule>
  </conditionalFormatting>
  <conditionalFormatting sqref="P65">
    <cfRule type="cellIs" dxfId="7538" priority="9" operator="lessThan">
      <formula>50</formula>
    </cfRule>
  </conditionalFormatting>
  <conditionalFormatting sqref="H66:N66">
    <cfRule type="cellIs" dxfId="7537" priority="8" operator="lessThan">
      <formula>5</formula>
    </cfRule>
  </conditionalFormatting>
  <conditionalFormatting sqref="H66:N66">
    <cfRule type="expression" dxfId="7536" priority="7">
      <formula>5</formula>
    </cfRule>
  </conditionalFormatting>
  <conditionalFormatting sqref="H66:N66">
    <cfRule type="cellIs" dxfId="7535" priority="6" operator="lessThan">
      <formula>50</formula>
    </cfRule>
  </conditionalFormatting>
  <conditionalFormatting sqref="P66">
    <cfRule type="cellIs" dxfId="7534" priority="5" operator="lessThan">
      <formula>50</formula>
    </cfRule>
  </conditionalFormatting>
  <conditionalFormatting sqref="H67:N67">
    <cfRule type="cellIs" dxfId="7533" priority="4" operator="lessThan">
      <formula>5</formula>
    </cfRule>
  </conditionalFormatting>
  <conditionalFormatting sqref="H67:N67">
    <cfRule type="expression" dxfId="7532" priority="3">
      <formula>5</formula>
    </cfRule>
  </conditionalFormatting>
  <conditionalFormatting sqref="H67:N67">
    <cfRule type="cellIs" dxfId="7531" priority="2" operator="lessThan">
      <formula>50</formula>
    </cfRule>
  </conditionalFormatting>
  <conditionalFormatting sqref="P67">
    <cfRule type="cellIs" dxfId="7530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1:E15 D17 D44:E45 D47:E52" xr:uid="{BC325044-E9CC-4DA1-9A3B-6F40E29F03BA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9B18-D4BC-4AD1-A439-A7F5AB383048}">
  <sheetPr codeName="Sheet92"/>
  <dimension ref="A1:Q69"/>
  <sheetViews>
    <sheetView showGridLines="0" workbookViewId="0">
      <selection activeCell="D6" sqref="D6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6" width="4.7109375" style="44" customWidth="1"/>
    <col min="17" max="17" width="4.7109375" customWidth="1"/>
  </cols>
  <sheetData>
    <row r="1" spans="1:17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42"/>
      <c r="Q4" s="11"/>
    </row>
    <row r="5" spans="1:17" ht="16.5" customHeight="1">
      <c r="A5" s="57" t="s">
        <v>5326</v>
      </c>
      <c r="B5" s="57"/>
      <c r="C5" s="17"/>
      <c r="D5" s="15" t="s">
        <v>5337</v>
      </c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42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7" t="s">
        <v>7</v>
      </c>
      <c r="I6" s="38" t="s">
        <v>1</v>
      </c>
      <c r="J6" s="37" t="s">
        <v>8</v>
      </c>
      <c r="K6" s="37" t="s">
        <v>2</v>
      </c>
      <c r="L6" s="37" t="s">
        <v>9</v>
      </c>
      <c r="M6" s="47" t="s">
        <v>10</v>
      </c>
      <c r="N6" s="37" t="s">
        <v>3</v>
      </c>
      <c r="O6" s="37" t="s">
        <v>5320</v>
      </c>
      <c r="P6" s="45" t="s">
        <v>5321</v>
      </c>
      <c r="Q6" s="39" t="s">
        <v>5324</v>
      </c>
    </row>
    <row r="7" spans="1:17" ht="18" customHeight="1" thickTop="1">
      <c r="A7" s="19">
        <v>1</v>
      </c>
      <c r="B7" s="2" t="s">
        <v>1612</v>
      </c>
      <c r="C7" s="1">
        <v>311260902</v>
      </c>
      <c r="D7" s="3" t="s">
        <v>1613</v>
      </c>
      <c r="E7" s="1" t="s">
        <v>63</v>
      </c>
      <c r="F7" s="10" t="s">
        <v>1465</v>
      </c>
      <c r="G7" s="2">
        <v>31</v>
      </c>
      <c r="H7" s="8">
        <v>95</v>
      </c>
      <c r="I7" s="8">
        <v>83</v>
      </c>
      <c r="J7" s="8">
        <v>100</v>
      </c>
      <c r="K7" s="8">
        <v>90</v>
      </c>
      <c r="L7" s="8">
        <v>85</v>
      </c>
      <c r="M7" s="8">
        <v>80</v>
      </c>
      <c r="N7" s="8">
        <v>95</v>
      </c>
      <c r="O7" s="1">
        <f t="shared" ref="O7:O38" si="0">SUBTOTAL(9,I7:N7)</f>
        <v>533</v>
      </c>
      <c r="P7" s="14">
        <f t="shared" ref="P7:P38" si="1">O7/7</f>
        <v>76.142857142857139</v>
      </c>
      <c r="Q7" s="20">
        <f t="shared" ref="Q7:Q38" si="2">RANK(P7,P$7:P$311,0)</f>
        <v>1</v>
      </c>
    </row>
    <row r="8" spans="1:17" ht="18" customHeight="1">
      <c r="A8" s="19">
        <v>2</v>
      </c>
      <c r="B8" s="2" t="s">
        <v>1487</v>
      </c>
      <c r="C8" s="1" t="s">
        <v>1488</v>
      </c>
      <c r="D8" s="3" t="s">
        <v>1489</v>
      </c>
      <c r="E8" s="1" t="s">
        <v>57</v>
      </c>
      <c r="F8" s="10" t="s">
        <v>1465</v>
      </c>
      <c r="G8" s="2">
        <v>29</v>
      </c>
      <c r="H8" s="8">
        <v>75</v>
      </c>
      <c r="I8" s="8">
        <v>75</v>
      </c>
      <c r="J8" s="8">
        <v>80</v>
      </c>
      <c r="K8" s="8">
        <v>85</v>
      </c>
      <c r="L8" s="8">
        <v>75</v>
      </c>
      <c r="M8" s="8">
        <v>65</v>
      </c>
      <c r="N8" s="8">
        <v>85</v>
      </c>
      <c r="O8" s="1">
        <f t="shared" si="0"/>
        <v>465</v>
      </c>
      <c r="P8" s="14">
        <f t="shared" si="1"/>
        <v>66.428571428571431</v>
      </c>
      <c r="Q8" s="20">
        <f t="shared" si="2"/>
        <v>2</v>
      </c>
    </row>
    <row r="9" spans="1:17" ht="18" customHeight="1">
      <c r="A9" s="19">
        <v>3</v>
      </c>
      <c r="B9" s="2" t="s">
        <v>1583</v>
      </c>
      <c r="C9" s="1" t="s">
        <v>1584</v>
      </c>
      <c r="D9" s="3" t="s">
        <v>1585</v>
      </c>
      <c r="E9" s="1" t="s">
        <v>64</v>
      </c>
      <c r="F9" s="10" t="s">
        <v>1465</v>
      </c>
      <c r="G9" s="2">
        <v>31</v>
      </c>
      <c r="H9" s="8">
        <v>85</v>
      </c>
      <c r="I9" s="8">
        <v>88</v>
      </c>
      <c r="J9" s="8">
        <v>60</v>
      </c>
      <c r="K9" s="8">
        <v>70</v>
      </c>
      <c r="L9" s="8">
        <v>55</v>
      </c>
      <c r="M9" s="8">
        <v>95</v>
      </c>
      <c r="N9" s="8">
        <v>80</v>
      </c>
      <c r="O9" s="1">
        <f t="shared" si="0"/>
        <v>448</v>
      </c>
      <c r="P9" s="14">
        <f t="shared" si="1"/>
        <v>64</v>
      </c>
      <c r="Q9" s="20">
        <f t="shared" si="2"/>
        <v>3</v>
      </c>
    </row>
    <row r="10" spans="1:17" ht="18" customHeight="1">
      <c r="A10" s="19">
        <v>4</v>
      </c>
      <c r="B10" s="2" t="s">
        <v>1490</v>
      </c>
      <c r="C10" s="1" t="s">
        <v>1491</v>
      </c>
      <c r="D10" s="3" t="s">
        <v>1492</v>
      </c>
      <c r="E10" s="1" t="s">
        <v>57</v>
      </c>
      <c r="F10" s="10" t="s">
        <v>1465</v>
      </c>
      <c r="G10" s="2">
        <v>29</v>
      </c>
      <c r="H10" s="8">
        <v>75</v>
      </c>
      <c r="I10" s="8">
        <v>75</v>
      </c>
      <c r="J10" s="8">
        <v>90</v>
      </c>
      <c r="K10" s="8">
        <v>85</v>
      </c>
      <c r="L10" s="8">
        <v>60</v>
      </c>
      <c r="M10" s="8">
        <v>75</v>
      </c>
      <c r="N10" s="8">
        <v>60</v>
      </c>
      <c r="O10" s="1">
        <f t="shared" si="0"/>
        <v>445</v>
      </c>
      <c r="P10" s="14">
        <f t="shared" si="1"/>
        <v>63.571428571428569</v>
      </c>
      <c r="Q10" s="20">
        <f t="shared" si="2"/>
        <v>4</v>
      </c>
    </row>
    <row r="11" spans="1:17" ht="18" customHeight="1">
      <c r="A11" s="19">
        <v>5</v>
      </c>
      <c r="B11" s="2" t="s">
        <v>1586</v>
      </c>
      <c r="C11" s="1">
        <v>311260290</v>
      </c>
      <c r="D11" s="3" t="s">
        <v>1587</v>
      </c>
      <c r="E11" s="1" t="s">
        <v>56</v>
      </c>
      <c r="F11" s="10" t="s">
        <v>1465</v>
      </c>
      <c r="G11" s="2">
        <v>31</v>
      </c>
      <c r="H11" s="8">
        <v>75</v>
      </c>
      <c r="I11" s="8">
        <v>90</v>
      </c>
      <c r="J11" s="8">
        <v>65</v>
      </c>
      <c r="K11" s="8">
        <v>70</v>
      </c>
      <c r="L11" s="8">
        <v>70</v>
      </c>
      <c r="M11" s="8">
        <v>55</v>
      </c>
      <c r="N11" s="8">
        <v>90</v>
      </c>
      <c r="O11" s="1">
        <f t="shared" si="0"/>
        <v>440</v>
      </c>
      <c r="P11" s="14">
        <f t="shared" si="1"/>
        <v>62.857142857142854</v>
      </c>
      <c r="Q11" s="20">
        <f t="shared" si="2"/>
        <v>5</v>
      </c>
    </row>
    <row r="12" spans="1:17" ht="18" customHeight="1">
      <c r="A12" s="19">
        <v>6</v>
      </c>
      <c r="B12" s="2" t="s">
        <v>1499</v>
      </c>
      <c r="C12" s="1" t="s">
        <v>1500</v>
      </c>
      <c r="D12" s="3" t="s">
        <v>579</v>
      </c>
      <c r="E12" s="1" t="s">
        <v>72</v>
      </c>
      <c r="F12" s="10" t="s">
        <v>1465</v>
      </c>
      <c r="G12" s="2">
        <v>29</v>
      </c>
      <c r="H12" s="8">
        <v>75</v>
      </c>
      <c r="I12" s="8">
        <v>70</v>
      </c>
      <c r="J12" s="8">
        <v>85</v>
      </c>
      <c r="K12" s="8">
        <v>75</v>
      </c>
      <c r="L12" s="8">
        <v>40</v>
      </c>
      <c r="M12" s="8">
        <v>65</v>
      </c>
      <c r="N12" s="8">
        <v>95</v>
      </c>
      <c r="O12" s="1">
        <f t="shared" si="0"/>
        <v>430</v>
      </c>
      <c r="P12" s="14">
        <f t="shared" si="1"/>
        <v>61.428571428571431</v>
      </c>
      <c r="Q12" s="20">
        <f t="shared" si="2"/>
        <v>6</v>
      </c>
    </row>
    <row r="13" spans="1:17" ht="18" customHeight="1">
      <c r="A13" s="19">
        <v>7</v>
      </c>
      <c r="B13" s="2" t="s">
        <v>1493</v>
      </c>
      <c r="C13" s="1" t="s">
        <v>1494</v>
      </c>
      <c r="D13" s="3" t="s">
        <v>1495</v>
      </c>
      <c r="E13" s="1" t="s">
        <v>57</v>
      </c>
      <c r="F13" s="10" t="s">
        <v>1465</v>
      </c>
      <c r="G13" s="2">
        <v>29</v>
      </c>
      <c r="H13" s="8">
        <v>60</v>
      </c>
      <c r="I13" s="8">
        <v>70</v>
      </c>
      <c r="J13" s="8">
        <v>70</v>
      </c>
      <c r="K13" s="8">
        <v>75</v>
      </c>
      <c r="L13" s="8">
        <v>50</v>
      </c>
      <c r="M13" s="8">
        <v>70</v>
      </c>
      <c r="N13" s="8">
        <v>75</v>
      </c>
      <c r="O13" s="1">
        <f t="shared" si="0"/>
        <v>410</v>
      </c>
      <c r="P13" s="14">
        <f t="shared" si="1"/>
        <v>58.571428571428569</v>
      </c>
      <c r="Q13" s="20">
        <f t="shared" si="2"/>
        <v>7</v>
      </c>
    </row>
    <row r="14" spans="1:17" ht="18" customHeight="1">
      <c r="A14" s="19">
        <v>8</v>
      </c>
      <c r="B14" s="2" t="s">
        <v>1606</v>
      </c>
      <c r="C14" s="1">
        <v>311260420</v>
      </c>
      <c r="D14" s="3" t="s">
        <v>1607</v>
      </c>
      <c r="E14" s="1" t="s">
        <v>77</v>
      </c>
      <c r="F14" s="10" t="s">
        <v>1465</v>
      </c>
      <c r="G14" s="2">
        <v>31</v>
      </c>
      <c r="H14" s="8">
        <v>60</v>
      </c>
      <c r="I14" s="8">
        <v>85</v>
      </c>
      <c r="J14" s="8">
        <v>60</v>
      </c>
      <c r="K14" s="8">
        <v>40</v>
      </c>
      <c r="L14" s="8">
        <v>90</v>
      </c>
      <c r="M14" s="8">
        <v>65</v>
      </c>
      <c r="N14" s="8">
        <v>65</v>
      </c>
      <c r="O14" s="1">
        <f t="shared" si="0"/>
        <v>405</v>
      </c>
      <c r="P14" s="14">
        <f t="shared" si="1"/>
        <v>57.857142857142854</v>
      </c>
      <c r="Q14" s="20">
        <f t="shared" si="2"/>
        <v>8</v>
      </c>
    </row>
    <row r="15" spans="1:17" ht="18" customHeight="1">
      <c r="A15" s="19">
        <v>9</v>
      </c>
      <c r="B15" s="2" t="s">
        <v>1472</v>
      </c>
      <c r="C15" s="1" t="s">
        <v>1473</v>
      </c>
      <c r="D15" s="3" t="s">
        <v>1474</v>
      </c>
      <c r="E15" s="1" t="s">
        <v>79</v>
      </c>
      <c r="F15" s="10" t="s">
        <v>1465</v>
      </c>
      <c r="G15" s="2">
        <v>29</v>
      </c>
      <c r="H15" s="8">
        <v>65</v>
      </c>
      <c r="I15" s="8">
        <v>73</v>
      </c>
      <c r="J15" s="8">
        <v>55</v>
      </c>
      <c r="K15" s="8">
        <v>85</v>
      </c>
      <c r="L15" s="8">
        <v>45</v>
      </c>
      <c r="M15" s="8">
        <v>40</v>
      </c>
      <c r="N15" s="8">
        <v>90</v>
      </c>
      <c r="O15" s="1">
        <f t="shared" si="0"/>
        <v>388</v>
      </c>
      <c r="P15" s="14">
        <f t="shared" si="1"/>
        <v>55.428571428571431</v>
      </c>
      <c r="Q15" s="20">
        <f t="shared" si="2"/>
        <v>9</v>
      </c>
    </row>
    <row r="16" spans="1:17" ht="18" customHeight="1">
      <c r="A16" s="19">
        <v>10</v>
      </c>
      <c r="B16" s="2" t="s">
        <v>1466</v>
      </c>
      <c r="C16" s="1" t="s">
        <v>1467</v>
      </c>
      <c r="D16" s="3" t="s">
        <v>1468</v>
      </c>
      <c r="E16" s="1" t="s">
        <v>69</v>
      </c>
      <c r="F16" s="10" t="s">
        <v>1465</v>
      </c>
      <c r="G16" s="2">
        <v>29</v>
      </c>
      <c r="H16" s="8">
        <v>45</v>
      </c>
      <c r="I16" s="8">
        <v>68</v>
      </c>
      <c r="J16" s="8">
        <v>55</v>
      </c>
      <c r="K16" s="8">
        <v>50</v>
      </c>
      <c r="L16" s="8">
        <v>95</v>
      </c>
      <c r="M16" s="8">
        <v>50</v>
      </c>
      <c r="N16" s="8">
        <v>55</v>
      </c>
      <c r="O16" s="1">
        <f t="shared" si="0"/>
        <v>373</v>
      </c>
      <c r="P16" s="14">
        <f t="shared" si="1"/>
        <v>53.285714285714285</v>
      </c>
      <c r="Q16" s="20">
        <f t="shared" si="2"/>
        <v>10</v>
      </c>
    </row>
    <row r="17" spans="1:17" ht="18" customHeight="1">
      <c r="A17" s="19">
        <v>11</v>
      </c>
      <c r="B17" s="2" t="s">
        <v>1515</v>
      </c>
      <c r="C17" s="1" t="s">
        <v>1516</v>
      </c>
      <c r="D17" s="3" t="s">
        <v>1517</v>
      </c>
      <c r="E17" s="1" t="s">
        <v>62</v>
      </c>
      <c r="F17" s="10" t="s">
        <v>1465</v>
      </c>
      <c r="G17" s="2">
        <v>30</v>
      </c>
      <c r="H17" s="8">
        <v>60</v>
      </c>
      <c r="I17" s="8">
        <v>70</v>
      </c>
      <c r="J17" s="8">
        <v>60</v>
      </c>
      <c r="K17" s="8">
        <v>70</v>
      </c>
      <c r="L17" s="8">
        <v>55</v>
      </c>
      <c r="M17" s="8">
        <v>70</v>
      </c>
      <c r="N17" s="8">
        <v>45</v>
      </c>
      <c r="O17" s="1">
        <f t="shared" si="0"/>
        <v>370</v>
      </c>
      <c r="P17" s="14">
        <f t="shared" si="1"/>
        <v>52.857142857142854</v>
      </c>
      <c r="Q17" s="20">
        <f t="shared" si="2"/>
        <v>11</v>
      </c>
    </row>
    <row r="18" spans="1:17" ht="18" customHeight="1">
      <c r="A18" s="19">
        <v>12</v>
      </c>
      <c r="B18" s="2" t="s">
        <v>1614</v>
      </c>
      <c r="C18" s="1">
        <v>311260903</v>
      </c>
      <c r="D18" s="3" t="s">
        <v>1615</v>
      </c>
      <c r="E18" s="1" t="s">
        <v>64</v>
      </c>
      <c r="F18" s="10" t="s">
        <v>1465</v>
      </c>
      <c r="G18" s="2">
        <v>31</v>
      </c>
      <c r="H18" s="8">
        <v>60</v>
      </c>
      <c r="I18" s="8">
        <v>80</v>
      </c>
      <c r="J18" s="8">
        <v>50</v>
      </c>
      <c r="K18" s="8">
        <v>75</v>
      </c>
      <c r="L18" s="8">
        <v>40</v>
      </c>
      <c r="M18" s="8">
        <v>75</v>
      </c>
      <c r="N18" s="8">
        <v>50</v>
      </c>
      <c r="O18" s="1">
        <f t="shared" si="0"/>
        <v>370</v>
      </c>
      <c r="P18" s="14">
        <f t="shared" si="1"/>
        <v>52.857142857142854</v>
      </c>
      <c r="Q18" s="20">
        <f t="shared" si="2"/>
        <v>11</v>
      </c>
    </row>
    <row r="19" spans="1:17" ht="18" customHeight="1">
      <c r="A19" s="19">
        <v>13</v>
      </c>
      <c r="B19" s="2" t="s">
        <v>1596</v>
      </c>
      <c r="C19" s="1">
        <v>311260295</v>
      </c>
      <c r="D19" s="3" t="s">
        <v>1597</v>
      </c>
      <c r="E19" s="1" t="s">
        <v>81</v>
      </c>
      <c r="F19" s="10" t="s">
        <v>1465</v>
      </c>
      <c r="G19" s="2">
        <v>31</v>
      </c>
      <c r="H19" s="8">
        <v>75</v>
      </c>
      <c r="I19" s="8">
        <v>68</v>
      </c>
      <c r="J19" s="8">
        <v>85</v>
      </c>
      <c r="K19" s="8">
        <v>75</v>
      </c>
      <c r="L19" s="8">
        <v>50</v>
      </c>
      <c r="M19" s="8">
        <v>80</v>
      </c>
      <c r="N19" s="8">
        <v>5</v>
      </c>
      <c r="O19" s="1">
        <f t="shared" si="0"/>
        <v>363</v>
      </c>
      <c r="P19" s="14">
        <f t="shared" si="1"/>
        <v>51.857142857142854</v>
      </c>
      <c r="Q19" s="20">
        <f t="shared" si="2"/>
        <v>13</v>
      </c>
    </row>
    <row r="20" spans="1:17" ht="18" customHeight="1">
      <c r="A20" s="19">
        <v>14</v>
      </c>
      <c r="B20" s="2" t="s">
        <v>1484</v>
      </c>
      <c r="C20" s="1" t="s">
        <v>1485</v>
      </c>
      <c r="D20" s="3" t="s">
        <v>1486</v>
      </c>
      <c r="E20" s="1" t="s">
        <v>56</v>
      </c>
      <c r="F20" s="10" t="s">
        <v>1465</v>
      </c>
      <c r="G20" s="2">
        <v>29</v>
      </c>
      <c r="H20" s="8">
        <v>60</v>
      </c>
      <c r="I20" s="8">
        <v>70</v>
      </c>
      <c r="J20" s="8">
        <v>50</v>
      </c>
      <c r="K20" s="8">
        <v>85</v>
      </c>
      <c r="L20" s="8">
        <v>55</v>
      </c>
      <c r="M20" s="8">
        <v>80</v>
      </c>
      <c r="N20" s="8">
        <v>10</v>
      </c>
      <c r="O20" s="1">
        <f t="shared" si="0"/>
        <v>350</v>
      </c>
      <c r="P20" s="14">
        <f t="shared" si="1"/>
        <v>50</v>
      </c>
      <c r="Q20" s="20">
        <f t="shared" si="2"/>
        <v>14</v>
      </c>
    </row>
    <row r="21" spans="1:17" ht="18" customHeight="1">
      <c r="A21" s="19">
        <v>15</v>
      </c>
      <c r="B21" s="2" t="s">
        <v>1544</v>
      </c>
      <c r="C21" s="1" t="s">
        <v>1545</v>
      </c>
      <c r="D21" s="3" t="s">
        <v>1546</v>
      </c>
      <c r="E21" s="1" t="s">
        <v>64</v>
      </c>
      <c r="F21" s="10" t="s">
        <v>1465</v>
      </c>
      <c r="G21" s="2">
        <v>30</v>
      </c>
      <c r="H21" s="8">
        <v>85</v>
      </c>
      <c r="I21" s="8">
        <v>63</v>
      </c>
      <c r="J21" s="8">
        <v>55</v>
      </c>
      <c r="K21" s="8">
        <v>65</v>
      </c>
      <c r="L21" s="8">
        <v>55</v>
      </c>
      <c r="M21" s="8">
        <v>70</v>
      </c>
      <c r="N21" s="8">
        <v>40</v>
      </c>
      <c r="O21" s="1">
        <f t="shared" si="0"/>
        <v>348</v>
      </c>
      <c r="P21" s="14">
        <f t="shared" si="1"/>
        <v>49.714285714285715</v>
      </c>
      <c r="Q21" s="20">
        <f t="shared" si="2"/>
        <v>15</v>
      </c>
    </row>
    <row r="22" spans="1:17" ht="18" customHeight="1">
      <c r="A22" s="19">
        <v>16</v>
      </c>
      <c r="B22" s="2" t="s">
        <v>1592</v>
      </c>
      <c r="C22" s="1">
        <v>311260293</v>
      </c>
      <c r="D22" s="3" t="s">
        <v>1593</v>
      </c>
      <c r="E22" s="1" t="s">
        <v>62</v>
      </c>
      <c r="F22" s="10" t="s">
        <v>1465</v>
      </c>
      <c r="G22" s="2">
        <v>31</v>
      </c>
      <c r="H22" s="8">
        <v>65</v>
      </c>
      <c r="I22" s="8">
        <v>68</v>
      </c>
      <c r="J22" s="8">
        <v>35</v>
      </c>
      <c r="K22" s="8">
        <v>40</v>
      </c>
      <c r="L22" s="8">
        <v>70</v>
      </c>
      <c r="M22" s="8">
        <v>60</v>
      </c>
      <c r="N22" s="8">
        <v>70</v>
      </c>
      <c r="O22" s="1">
        <f t="shared" si="0"/>
        <v>343</v>
      </c>
      <c r="P22" s="14">
        <f t="shared" si="1"/>
        <v>49</v>
      </c>
      <c r="Q22" s="20">
        <f t="shared" si="2"/>
        <v>16</v>
      </c>
    </row>
    <row r="23" spans="1:17" ht="18" customHeight="1">
      <c r="A23" s="19">
        <v>17</v>
      </c>
      <c r="B23" s="2" t="s">
        <v>1507</v>
      </c>
      <c r="C23" s="1" t="s">
        <v>1508</v>
      </c>
      <c r="D23" s="3" t="s">
        <v>87</v>
      </c>
      <c r="E23" s="1" t="s">
        <v>59</v>
      </c>
      <c r="F23" s="10" t="s">
        <v>1465</v>
      </c>
      <c r="G23" s="2">
        <v>29</v>
      </c>
      <c r="H23" s="8">
        <v>65</v>
      </c>
      <c r="I23" s="8">
        <v>60</v>
      </c>
      <c r="J23" s="8">
        <v>50</v>
      </c>
      <c r="K23" s="8">
        <v>65</v>
      </c>
      <c r="L23" s="8">
        <v>70</v>
      </c>
      <c r="M23" s="8">
        <v>65</v>
      </c>
      <c r="N23" s="8">
        <v>25</v>
      </c>
      <c r="O23" s="1">
        <f t="shared" si="0"/>
        <v>335</v>
      </c>
      <c r="P23" s="14">
        <f t="shared" si="1"/>
        <v>47.857142857142854</v>
      </c>
      <c r="Q23" s="20">
        <f t="shared" si="2"/>
        <v>17</v>
      </c>
    </row>
    <row r="24" spans="1:17" ht="18" customHeight="1">
      <c r="A24" s="19">
        <v>18</v>
      </c>
      <c r="B24" s="2" t="s">
        <v>1624</v>
      </c>
      <c r="C24" s="1">
        <v>311260908</v>
      </c>
      <c r="D24" s="3" t="s">
        <v>1625</v>
      </c>
      <c r="E24" s="1" t="s">
        <v>76</v>
      </c>
      <c r="F24" s="10" t="s">
        <v>1465</v>
      </c>
      <c r="G24" s="2">
        <v>31</v>
      </c>
      <c r="H24" s="8">
        <v>45</v>
      </c>
      <c r="I24" s="8">
        <v>45</v>
      </c>
      <c r="J24" s="8">
        <v>30</v>
      </c>
      <c r="K24" s="8">
        <v>45</v>
      </c>
      <c r="L24" s="8">
        <v>70</v>
      </c>
      <c r="M24" s="8">
        <v>65</v>
      </c>
      <c r="N24" s="8">
        <v>80</v>
      </c>
      <c r="O24" s="1">
        <f t="shared" si="0"/>
        <v>335</v>
      </c>
      <c r="P24" s="14">
        <f t="shared" si="1"/>
        <v>47.857142857142854</v>
      </c>
      <c r="Q24" s="20">
        <f t="shared" si="2"/>
        <v>17</v>
      </c>
    </row>
    <row r="25" spans="1:17" ht="18" customHeight="1">
      <c r="A25" s="19">
        <v>19</v>
      </c>
      <c r="B25" s="2" t="s">
        <v>1518</v>
      </c>
      <c r="C25" s="1" t="s">
        <v>1519</v>
      </c>
      <c r="D25" s="3" t="s">
        <v>1520</v>
      </c>
      <c r="E25" s="1" t="s">
        <v>80</v>
      </c>
      <c r="F25" s="10" t="s">
        <v>1465</v>
      </c>
      <c r="G25" s="2">
        <v>30</v>
      </c>
      <c r="H25" s="8">
        <v>50</v>
      </c>
      <c r="I25" s="8">
        <v>58</v>
      </c>
      <c r="J25" s="8">
        <v>50</v>
      </c>
      <c r="K25" s="8">
        <v>60</v>
      </c>
      <c r="L25" s="8">
        <v>50</v>
      </c>
      <c r="M25" s="8">
        <v>60</v>
      </c>
      <c r="N25" s="8">
        <v>55</v>
      </c>
      <c r="O25" s="1">
        <f t="shared" si="0"/>
        <v>333</v>
      </c>
      <c r="P25" s="14">
        <f t="shared" si="1"/>
        <v>47.571428571428569</v>
      </c>
      <c r="Q25" s="20">
        <f t="shared" si="2"/>
        <v>19</v>
      </c>
    </row>
    <row r="26" spans="1:17" ht="18" customHeight="1">
      <c r="A26" s="19">
        <v>20</v>
      </c>
      <c r="B26" s="2" t="s">
        <v>1616</v>
      </c>
      <c r="C26" s="1">
        <v>311260904</v>
      </c>
      <c r="D26" s="3" t="s">
        <v>1617</v>
      </c>
      <c r="E26" s="1" t="s">
        <v>64</v>
      </c>
      <c r="F26" s="10" t="s">
        <v>1465</v>
      </c>
      <c r="G26" s="2">
        <v>31</v>
      </c>
      <c r="H26" s="8">
        <v>50</v>
      </c>
      <c r="I26" s="8">
        <v>68</v>
      </c>
      <c r="J26" s="8">
        <v>40</v>
      </c>
      <c r="K26" s="8">
        <v>75</v>
      </c>
      <c r="L26" s="8">
        <v>55</v>
      </c>
      <c r="M26" s="8">
        <v>55</v>
      </c>
      <c r="N26" s="8">
        <v>40</v>
      </c>
      <c r="O26" s="1">
        <f t="shared" si="0"/>
        <v>333</v>
      </c>
      <c r="P26" s="14">
        <f t="shared" si="1"/>
        <v>47.571428571428569</v>
      </c>
      <c r="Q26" s="20">
        <f t="shared" si="2"/>
        <v>19</v>
      </c>
    </row>
    <row r="27" spans="1:17" ht="18" customHeight="1">
      <c r="A27" s="19">
        <v>21</v>
      </c>
      <c r="B27" s="2" t="s">
        <v>1598</v>
      </c>
      <c r="C27" s="1">
        <v>311260416</v>
      </c>
      <c r="D27" s="3" t="s">
        <v>1599</v>
      </c>
      <c r="E27" s="1" t="s">
        <v>81</v>
      </c>
      <c r="F27" s="10" t="s">
        <v>1465</v>
      </c>
      <c r="G27" s="2">
        <v>31</v>
      </c>
      <c r="H27" s="8">
        <v>60</v>
      </c>
      <c r="I27" s="8">
        <v>65</v>
      </c>
      <c r="J27" s="8">
        <v>40</v>
      </c>
      <c r="K27" s="8">
        <v>40</v>
      </c>
      <c r="L27" s="8">
        <v>85</v>
      </c>
      <c r="M27" s="8">
        <v>75</v>
      </c>
      <c r="N27" s="8">
        <v>25</v>
      </c>
      <c r="O27" s="1">
        <f t="shared" si="0"/>
        <v>330</v>
      </c>
      <c r="P27" s="14">
        <f t="shared" si="1"/>
        <v>47.142857142857146</v>
      </c>
      <c r="Q27" s="20">
        <f t="shared" si="2"/>
        <v>21</v>
      </c>
    </row>
    <row r="28" spans="1:17" ht="18" customHeight="1">
      <c r="A28" s="19">
        <v>22</v>
      </c>
      <c r="B28" s="2" t="s">
        <v>1602</v>
      </c>
      <c r="C28" s="1">
        <v>311260418</v>
      </c>
      <c r="D28" s="3" t="s">
        <v>1603</v>
      </c>
      <c r="E28" s="1" t="s">
        <v>77</v>
      </c>
      <c r="F28" s="10" t="s">
        <v>1465</v>
      </c>
      <c r="G28" s="2">
        <v>31</v>
      </c>
      <c r="H28" s="8">
        <v>55</v>
      </c>
      <c r="I28" s="8">
        <v>70</v>
      </c>
      <c r="J28" s="8">
        <v>60</v>
      </c>
      <c r="K28" s="8">
        <v>30</v>
      </c>
      <c r="L28" s="8">
        <v>65</v>
      </c>
      <c r="M28" s="8">
        <v>70</v>
      </c>
      <c r="N28" s="8">
        <v>35</v>
      </c>
      <c r="O28" s="1">
        <f t="shared" si="0"/>
        <v>330</v>
      </c>
      <c r="P28" s="14">
        <f t="shared" si="1"/>
        <v>47.142857142857146</v>
      </c>
      <c r="Q28" s="20">
        <f t="shared" si="2"/>
        <v>21</v>
      </c>
    </row>
    <row r="29" spans="1:17" ht="18" customHeight="1">
      <c r="A29" s="19">
        <v>23</v>
      </c>
      <c r="B29" s="2" t="s">
        <v>1618</v>
      </c>
      <c r="C29" s="1">
        <v>311260905</v>
      </c>
      <c r="D29" s="3" t="s">
        <v>1619</v>
      </c>
      <c r="E29" s="1" t="s">
        <v>67</v>
      </c>
      <c r="F29" s="10" t="s">
        <v>1465</v>
      </c>
      <c r="G29" s="2">
        <v>31</v>
      </c>
      <c r="H29" s="8">
        <v>40</v>
      </c>
      <c r="I29" s="8">
        <v>80</v>
      </c>
      <c r="J29" s="8">
        <v>60</v>
      </c>
      <c r="K29" s="8">
        <v>60</v>
      </c>
      <c r="L29" s="8">
        <v>45</v>
      </c>
      <c r="M29" s="8">
        <v>25</v>
      </c>
      <c r="N29" s="8">
        <v>60</v>
      </c>
      <c r="O29" s="1">
        <f t="shared" si="0"/>
        <v>330</v>
      </c>
      <c r="P29" s="14">
        <f t="shared" si="1"/>
        <v>47.142857142857146</v>
      </c>
      <c r="Q29" s="20">
        <f t="shared" si="2"/>
        <v>21</v>
      </c>
    </row>
    <row r="30" spans="1:17" ht="18" customHeight="1">
      <c r="A30" s="19">
        <v>24</v>
      </c>
      <c r="B30" s="2" t="s">
        <v>1469</v>
      </c>
      <c r="C30" s="1" t="s">
        <v>1470</v>
      </c>
      <c r="D30" s="3" t="s">
        <v>1471</v>
      </c>
      <c r="E30" s="1" t="s">
        <v>69</v>
      </c>
      <c r="F30" s="10" t="s">
        <v>1465</v>
      </c>
      <c r="G30" s="2">
        <v>29</v>
      </c>
      <c r="H30" s="8">
        <v>60</v>
      </c>
      <c r="I30" s="8">
        <v>73</v>
      </c>
      <c r="J30" s="8">
        <v>65</v>
      </c>
      <c r="K30" s="8">
        <v>55</v>
      </c>
      <c r="L30" s="8">
        <v>65</v>
      </c>
      <c r="M30" s="8">
        <v>15</v>
      </c>
      <c r="N30" s="8">
        <v>50</v>
      </c>
      <c r="O30" s="1">
        <f t="shared" si="0"/>
        <v>323</v>
      </c>
      <c r="P30" s="14">
        <f t="shared" si="1"/>
        <v>46.142857142857146</v>
      </c>
      <c r="Q30" s="20">
        <f t="shared" si="2"/>
        <v>24</v>
      </c>
    </row>
    <row r="31" spans="1:17" ht="18" customHeight="1">
      <c r="A31" s="19">
        <v>25</v>
      </c>
      <c r="B31" s="2" t="s">
        <v>1550</v>
      </c>
      <c r="C31" s="1" t="s">
        <v>1551</v>
      </c>
      <c r="D31" s="3" t="s">
        <v>1552</v>
      </c>
      <c r="E31" s="1" t="s">
        <v>65</v>
      </c>
      <c r="F31" s="10" t="s">
        <v>1465</v>
      </c>
      <c r="G31" s="2">
        <v>30</v>
      </c>
      <c r="H31" s="8">
        <v>60</v>
      </c>
      <c r="I31" s="8">
        <v>63</v>
      </c>
      <c r="J31" s="8">
        <v>50</v>
      </c>
      <c r="K31" s="8">
        <v>40</v>
      </c>
      <c r="L31" s="8">
        <v>65</v>
      </c>
      <c r="M31" s="8">
        <v>65</v>
      </c>
      <c r="N31" s="8">
        <v>35</v>
      </c>
      <c r="O31" s="1">
        <f t="shared" si="0"/>
        <v>318</v>
      </c>
      <c r="P31" s="14">
        <f t="shared" si="1"/>
        <v>45.428571428571431</v>
      </c>
      <c r="Q31" s="20">
        <f t="shared" si="2"/>
        <v>25</v>
      </c>
    </row>
    <row r="32" spans="1:17" ht="18" customHeight="1">
      <c r="A32" s="19">
        <v>26</v>
      </c>
      <c r="B32" s="2" t="s">
        <v>1568</v>
      </c>
      <c r="C32" s="1" t="s">
        <v>1569</v>
      </c>
      <c r="D32" s="3" t="s">
        <v>1570</v>
      </c>
      <c r="E32" s="1" t="s">
        <v>66</v>
      </c>
      <c r="F32" s="10" t="s">
        <v>1465</v>
      </c>
      <c r="G32" s="2">
        <v>30</v>
      </c>
      <c r="H32" s="8">
        <v>55</v>
      </c>
      <c r="I32" s="8">
        <v>58</v>
      </c>
      <c r="J32" s="8">
        <v>40</v>
      </c>
      <c r="K32" s="8">
        <v>55</v>
      </c>
      <c r="L32" s="8">
        <v>70</v>
      </c>
      <c r="M32" s="8">
        <v>95</v>
      </c>
      <c r="N32" s="8">
        <v>0</v>
      </c>
      <c r="O32" s="1">
        <f t="shared" si="0"/>
        <v>318</v>
      </c>
      <c r="P32" s="14">
        <f t="shared" si="1"/>
        <v>45.428571428571431</v>
      </c>
      <c r="Q32" s="20">
        <f t="shared" si="2"/>
        <v>25</v>
      </c>
    </row>
    <row r="33" spans="1:17" ht="18" customHeight="1">
      <c r="A33" s="19">
        <v>27</v>
      </c>
      <c r="B33" s="2" t="s">
        <v>1604</v>
      </c>
      <c r="C33" s="1">
        <v>311260419</v>
      </c>
      <c r="D33" s="3" t="s">
        <v>1605</v>
      </c>
      <c r="E33" s="1" t="s">
        <v>77</v>
      </c>
      <c r="F33" s="10" t="s">
        <v>1465</v>
      </c>
      <c r="G33" s="2">
        <v>31</v>
      </c>
      <c r="H33" s="8">
        <v>60</v>
      </c>
      <c r="I33" s="8">
        <v>60</v>
      </c>
      <c r="J33" s="8">
        <v>85</v>
      </c>
      <c r="K33" s="8">
        <v>55</v>
      </c>
      <c r="L33" s="8">
        <v>30</v>
      </c>
      <c r="M33" s="8">
        <v>65</v>
      </c>
      <c r="N33" s="8">
        <v>20</v>
      </c>
      <c r="O33" s="1">
        <f t="shared" si="0"/>
        <v>315</v>
      </c>
      <c r="P33" s="14">
        <f t="shared" si="1"/>
        <v>45</v>
      </c>
      <c r="Q33" s="20">
        <f t="shared" si="2"/>
        <v>27</v>
      </c>
    </row>
    <row r="34" spans="1:17" ht="18" customHeight="1">
      <c r="A34" s="19">
        <v>28</v>
      </c>
      <c r="B34" s="2" t="s">
        <v>1622</v>
      </c>
      <c r="C34" s="1">
        <v>311260907</v>
      </c>
      <c r="D34" s="3" t="s">
        <v>1623</v>
      </c>
      <c r="E34" s="1" t="s">
        <v>67</v>
      </c>
      <c r="F34" s="10" t="s">
        <v>1465</v>
      </c>
      <c r="G34" s="2">
        <v>31</v>
      </c>
      <c r="H34" s="8">
        <v>40</v>
      </c>
      <c r="I34" s="8">
        <v>63</v>
      </c>
      <c r="J34" s="8">
        <v>25</v>
      </c>
      <c r="K34" s="8">
        <v>55</v>
      </c>
      <c r="L34" s="8">
        <v>50</v>
      </c>
      <c r="M34" s="8">
        <v>65</v>
      </c>
      <c r="N34" s="8">
        <v>55</v>
      </c>
      <c r="O34" s="1">
        <f t="shared" si="0"/>
        <v>313</v>
      </c>
      <c r="P34" s="14">
        <f t="shared" si="1"/>
        <v>44.714285714285715</v>
      </c>
      <c r="Q34" s="20">
        <f t="shared" si="2"/>
        <v>28</v>
      </c>
    </row>
    <row r="35" spans="1:17" ht="18" customHeight="1">
      <c r="A35" s="19">
        <v>29</v>
      </c>
      <c r="B35" s="2" t="s">
        <v>1496</v>
      </c>
      <c r="C35" s="1" t="s">
        <v>1497</v>
      </c>
      <c r="D35" s="3" t="s">
        <v>1498</v>
      </c>
      <c r="E35" s="1" t="s">
        <v>71</v>
      </c>
      <c r="F35" s="10" t="s">
        <v>1465</v>
      </c>
      <c r="G35" s="2">
        <v>29</v>
      </c>
      <c r="H35" s="8">
        <v>60</v>
      </c>
      <c r="I35" s="8">
        <v>60</v>
      </c>
      <c r="J35" s="8">
        <v>50</v>
      </c>
      <c r="K35" s="8">
        <v>50</v>
      </c>
      <c r="L35" s="8">
        <v>35</v>
      </c>
      <c r="M35" s="8">
        <v>60</v>
      </c>
      <c r="N35" s="8">
        <v>55</v>
      </c>
      <c r="O35" s="1">
        <f t="shared" si="0"/>
        <v>310</v>
      </c>
      <c r="P35" s="14">
        <f t="shared" si="1"/>
        <v>44.285714285714285</v>
      </c>
      <c r="Q35" s="20">
        <f t="shared" si="2"/>
        <v>29</v>
      </c>
    </row>
    <row r="36" spans="1:17" ht="18" customHeight="1">
      <c r="A36" s="19">
        <v>30</v>
      </c>
      <c r="B36" s="2" t="s">
        <v>1475</v>
      </c>
      <c r="C36" s="1" t="s">
        <v>1476</v>
      </c>
      <c r="D36" s="3" t="s">
        <v>1477</v>
      </c>
      <c r="E36" s="1" t="s">
        <v>70</v>
      </c>
      <c r="F36" s="10" t="s">
        <v>1465</v>
      </c>
      <c r="G36" s="2">
        <v>29</v>
      </c>
      <c r="H36" s="8">
        <v>65</v>
      </c>
      <c r="I36" s="8">
        <v>68</v>
      </c>
      <c r="J36" s="8">
        <v>40</v>
      </c>
      <c r="K36" s="8">
        <v>50</v>
      </c>
      <c r="L36" s="8">
        <v>45</v>
      </c>
      <c r="M36" s="8">
        <v>50</v>
      </c>
      <c r="N36" s="8">
        <v>55</v>
      </c>
      <c r="O36" s="1">
        <f t="shared" si="0"/>
        <v>308</v>
      </c>
      <c r="P36" s="14">
        <f t="shared" si="1"/>
        <v>44</v>
      </c>
      <c r="Q36" s="20">
        <f t="shared" si="2"/>
        <v>30</v>
      </c>
    </row>
    <row r="37" spans="1:17" ht="18" customHeight="1">
      <c r="A37" s="19">
        <v>31</v>
      </c>
      <c r="B37" s="2" t="s">
        <v>1590</v>
      </c>
      <c r="C37" s="1">
        <v>311260292</v>
      </c>
      <c r="D37" s="3" t="s">
        <v>1591</v>
      </c>
      <c r="E37" s="1" t="s">
        <v>61</v>
      </c>
      <c r="F37" s="10" t="s">
        <v>1465</v>
      </c>
      <c r="G37" s="2">
        <v>31</v>
      </c>
      <c r="H37" s="8">
        <v>55</v>
      </c>
      <c r="I37" s="8">
        <v>75</v>
      </c>
      <c r="J37" s="8">
        <v>45</v>
      </c>
      <c r="K37" s="8">
        <v>50</v>
      </c>
      <c r="L37" s="8">
        <v>55</v>
      </c>
      <c r="M37" s="8">
        <v>40</v>
      </c>
      <c r="N37" s="8">
        <v>40</v>
      </c>
      <c r="O37" s="1">
        <f t="shared" si="0"/>
        <v>305</v>
      </c>
      <c r="P37" s="14">
        <f t="shared" si="1"/>
        <v>43.571428571428569</v>
      </c>
      <c r="Q37" s="20">
        <f t="shared" si="2"/>
        <v>31</v>
      </c>
    </row>
    <row r="38" spans="1:17" ht="18" customHeight="1">
      <c r="A38" s="19">
        <v>32</v>
      </c>
      <c r="B38" s="2" t="s">
        <v>1542</v>
      </c>
      <c r="C38" s="1">
        <v>311241079</v>
      </c>
      <c r="D38" s="3" t="s">
        <v>1543</v>
      </c>
      <c r="E38" s="1" t="s">
        <v>64</v>
      </c>
      <c r="F38" s="10" t="s">
        <v>1465</v>
      </c>
      <c r="G38" s="2">
        <v>30</v>
      </c>
      <c r="H38" s="8">
        <v>70</v>
      </c>
      <c r="I38" s="8">
        <v>50</v>
      </c>
      <c r="J38" s="8">
        <v>75</v>
      </c>
      <c r="K38" s="8">
        <v>50</v>
      </c>
      <c r="L38" s="8">
        <v>70</v>
      </c>
      <c r="M38" s="8">
        <v>55</v>
      </c>
      <c r="N38" s="8">
        <v>5</v>
      </c>
      <c r="O38" s="1">
        <f t="shared" si="0"/>
        <v>305</v>
      </c>
      <c r="P38" s="14">
        <f t="shared" si="1"/>
        <v>43.571428571428569</v>
      </c>
      <c r="Q38" s="20">
        <f t="shared" si="2"/>
        <v>31</v>
      </c>
    </row>
    <row r="39" spans="1:17" ht="18" customHeight="1">
      <c r="A39" s="19">
        <v>33</v>
      </c>
      <c r="B39" s="2" t="s">
        <v>1504</v>
      </c>
      <c r="C39" s="1" t="s">
        <v>1505</v>
      </c>
      <c r="D39" s="3" t="s">
        <v>1506</v>
      </c>
      <c r="E39" s="1" t="s">
        <v>59</v>
      </c>
      <c r="F39" s="10" t="s">
        <v>1465</v>
      </c>
      <c r="G39" s="2">
        <v>29</v>
      </c>
      <c r="H39" s="8">
        <v>50</v>
      </c>
      <c r="I39" s="8">
        <v>58</v>
      </c>
      <c r="J39" s="8">
        <v>40</v>
      </c>
      <c r="K39" s="8">
        <v>40</v>
      </c>
      <c r="L39" s="8">
        <v>35</v>
      </c>
      <c r="M39" s="8">
        <v>40</v>
      </c>
      <c r="N39" s="8">
        <v>90</v>
      </c>
      <c r="O39" s="1">
        <f t="shared" ref="O39:O69" si="3">SUBTOTAL(9,I39:N39)</f>
        <v>303</v>
      </c>
      <c r="P39" s="14">
        <f t="shared" ref="P39:P69" si="4">O39/7</f>
        <v>43.285714285714285</v>
      </c>
      <c r="Q39" s="20">
        <f t="shared" ref="Q39:Q69" si="5">RANK(P39,P$7:P$311,0)</f>
        <v>33</v>
      </c>
    </row>
    <row r="40" spans="1:17" ht="18" customHeight="1">
      <c r="A40" s="19">
        <v>34</v>
      </c>
      <c r="B40" s="2" t="s">
        <v>1553</v>
      </c>
      <c r="C40" s="1" t="s">
        <v>1554</v>
      </c>
      <c r="D40" s="3" t="s">
        <v>1555</v>
      </c>
      <c r="E40" s="1" t="s">
        <v>65</v>
      </c>
      <c r="F40" s="10" t="s">
        <v>1465</v>
      </c>
      <c r="G40" s="2">
        <v>30</v>
      </c>
      <c r="H40" s="8">
        <v>55</v>
      </c>
      <c r="I40" s="8">
        <v>50</v>
      </c>
      <c r="J40" s="8">
        <v>60</v>
      </c>
      <c r="K40" s="8">
        <v>65</v>
      </c>
      <c r="L40" s="8">
        <v>60</v>
      </c>
      <c r="M40" s="8">
        <v>60</v>
      </c>
      <c r="N40" s="8">
        <v>5</v>
      </c>
      <c r="O40" s="1">
        <f t="shared" si="3"/>
        <v>300</v>
      </c>
      <c r="P40" s="14">
        <f t="shared" si="4"/>
        <v>42.857142857142854</v>
      </c>
      <c r="Q40" s="20">
        <f t="shared" si="5"/>
        <v>34</v>
      </c>
    </row>
    <row r="41" spans="1:17" ht="18" customHeight="1">
      <c r="A41" s="19">
        <v>35</v>
      </c>
      <c r="B41" s="2" t="s">
        <v>1610</v>
      </c>
      <c r="C41" s="1">
        <v>311260901</v>
      </c>
      <c r="D41" s="3" t="s">
        <v>1611</v>
      </c>
      <c r="E41" s="1" t="s">
        <v>62</v>
      </c>
      <c r="F41" s="10" t="s">
        <v>1465</v>
      </c>
      <c r="G41" s="2">
        <v>31</v>
      </c>
      <c r="H41" s="8">
        <v>55</v>
      </c>
      <c r="I41" s="8">
        <v>53</v>
      </c>
      <c r="J41" s="8">
        <v>40</v>
      </c>
      <c r="K41" s="8">
        <v>65</v>
      </c>
      <c r="L41" s="8">
        <v>35</v>
      </c>
      <c r="M41" s="8">
        <v>55</v>
      </c>
      <c r="N41" s="8">
        <v>45</v>
      </c>
      <c r="O41" s="1">
        <f t="shared" si="3"/>
        <v>293</v>
      </c>
      <c r="P41" s="14">
        <f t="shared" si="4"/>
        <v>41.857142857142854</v>
      </c>
      <c r="Q41" s="20">
        <f t="shared" si="5"/>
        <v>35</v>
      </c>
    </row>
    <row r="42" spans="1:17" ht="18" customHeight="1">
      <c r="A42" s="19">
        <v>36</v>
      </c>
      <c r="B42" s="2" t="s">
        <v>1547</v>
      </c>
      <c r="C42" s="1" t="s">
        <v>1548</v>
      </c>
      <c r="D42" s="3" t="s">
        <v>1549</v>
      </c>
      <c r="E42" s="1" t="s">
        <v>88</v>
      </c>
      <c r="F42" s="10" t="s">
        <v>1465</v>
      </c>
      <c r="G42" s="2">
        <v>30</v>
      </c>
      <c r="H42" s="8">
        <v>65</v>
      </c>
      <c r="I42" s="8">
        <v>73</v>
      </c>
      <c r="J42" s="8">
        <v>40</v>
      </c>
      <c r="K42" s="8">
        <v>45</v>
      </c>
      <c r="L42" s="8">
        <v>45</v>
      </c>
      <c r="M42" s="8">
        <v>30</v>
      </c>
      <c r="N42" s="8">
        <v>55</v>
      </c>
      <c r="O42" s="1">
        <f t="shared" si="3"/>
        <v>288</v>
      </c>
      <c r="P42" s="14">
        <f t="shared" si="4"/>
        <v>41.142857142857146</v>
      </c>
      <c r="Q42" s="20">
        <f t="shared" si="5"/>
        <v>36</v>
      </c>
    </row>
    <row r="43" spans="1:17" ht="18" customHeight="1">
      <c r="A43" s="19">
        <v>37</v>
      </c>
      <c r="B43" s="2" t="s">
        <v>1562</v>
      </c>
      <c r="C43" s="1" t="s">
        <v>1563</v>
      </c>
      <c r="D43" s="3" t="s">
        <v>1564</v>
      </c>
      <c r="E43" s="1" t="s">
        <v>65</v>
      </c>
      <c r="F43" s="10" t="s">
        <v>1465</v>
      </c>
      <c r="G43" s="2">
        <v>30</v>
      </c>
      <c r="H43" s="8">
        <v>65</v>
      </c>
      <c r="I43" s="8">
        <v>63</v>
      </c>
      <c r="J43" s="8">
        <v>45</v>
      </c>
      <c r="K43" s="8">
        <v>65</v>
      </c>
      <c r="L43" s="8">
        <v>70</v>
      </c>
      <c r="M43" s="8">
        <v>35</v>
      </c>
      <c r="N43" s="8">
        <v>10</v>
      </c>
      <c r="O43" s="1">
        <f t="shared" si="3"/>
        <v>288</v>
      </c>
      <c r="P43" s="14">
        <f t="shared" si="4"/>
        <v>41.142857142857146</v>
      </c>
      <c r="Q43" s="20">
        <f t="shared" si="5"/>
        <v>36</v>
      </c>
    </row>
    <row r="44" spans="1:17" ht="18" customHeight="1">
      <c r="A44" s="19">
        <v>38</v>
      </c>
      <c r="B44" s="2" t="s">
        <v>1620</v>
      </c>
      <c r="C44" s="1">
        <v>311260906</v>
      </c>
      <c r="D44" s="3" t="s">
        <v>1621</v>
      </c>
      <c r="E44" s="1" t="s">
        <v>67</v>
      </c>
      <c r="F44" s="10" t="s">
        <v>1465</v>
      </c>
      <c r="G44" s="2">
        <v>31</v>
      </c>
      <c r="H44" s="8">
        <v>55</v>
      </c>
      <c r="I44" s="8">
        <v>78</v>
      </c>
      <c r="J44" s="8">
        <v>50</v>
      </c>
      <c r="K44" s="8">
        <v>25</v>
      </c>
      <c r="L44" s="8">
        <v>50</v>
      </c>
      <c r="M44" s="8">
        <v>50</v>
      </c>
      <c r="N44" s="8">
        <v>25</v>
      </c>
      <c r="O44" s="1">
        <f t="shared" si="3"/>
        <v>278</v>
      </c>
      <c r="P44" s="14">
        <f t="shared" si="4"/>
        <v>39.714285714285715</v>
      </c>
      <c r="Q44" s="20">
        <f t="shared" si="5"/>
        <v>38</v>
      </c>
    </row>
    <row r="45" spans="1:17" ht="18" customHeight="1">
      <c r="A45" s="19">
        <v>39</v>
      </c>
      <c r="B45" s="2" t="s">
        <v>1577</v>
      </c>
      <c r="C45" s="1" t="s">
        <v>1578</v>
      </c>
      <c r="D45" s="3" t="s">
        <v>1579</v>
      </c>
      <c r="E45" s="1" t="s">
        <v>353</v>
      </c>
      <c r="F45" s="10" t="s">
        <v>1465</v>
      </c>
      <c r="G45" s="2">
        <v>31</v>
      </c>
      <c r="H45" s="8">
        <v>55</v>
      </c>
      <c r="I45" s="8">
        <v>65</v>
      </c>
      <c r="J45" s="8">
        <v>35</v>
      </c>
      <c r="K45" s="8">
        <v>40</v>
      </c>
      <c r="L45" s="8">
        <v>55</v>
      </c>
      <c r="M45" s="8">
        <v>35</v>
      </c>
      <c r="N45" s="8">
        <v>45</v>
      </c>
      <c r="O45" s="1">
        <f t="shared" si="3"/>
        <v>275</v>
      </c>
      <c r="P45" s="14">
        <f t="shared" si="4"/>
        <v>39.285714285714285</v>
      </c>
      <c r="Q45" s="20">
        <f t="shared" si="5"/>
        <v>39</v>
      </c>
    </row>
    <row r="46" spans="1:17" ht="18" customHeight="1">
      <c r="A46" s="19">
        <v>40</v>
      </c>
      <c r="B46" s="2" t="s">
        <v>1539</v>
      </c>
      <c r="C46" s="1" t="s">
        <v>1540</v>
      </c>
      <c r="D46" s="3" t="s">
        <v>1541</v>
      </c>
      <c r="E46" s="1" t="s">
        <v>64</v>
      </c>
      <c r="F46" s="10" t="s">
        <v>1465</v>
      </c>
      <c r="G46" s="2">
        <v>30</v>
      </c>
      <c r="H46" s="8">
        <v>45</v>
      </c>
      <c r="I46" s="8">
        <v>58</v>
      </c>
      <c r="J46" s="8">
        <v>60</v>
      </c>
      <c r="K46" s="8">
        <v>40</v>
      </c>
      <c r="L46" s="8">
        <v>30</v>
      </c>
      <c r="M46" s="8">
        <v>75</v>
      </c>
      <c r="N46" s="8">
        <v>5</v>
      </c>
      <c r="O46" s="1">
        <f t="shared" si="3"/>
        <v>268</v>
      </c>
      <c r="P46" s="14">
        <f t="shared" si="4"/>
        <v>38.285714285714285</v>
      </c>
      <c r="Q46" s="20">
        <f t="shared" si="5"/>
        <v>40</v>
      </c>
    </row>
    <row r="47" spans="1:17" ht="18" customHeight="1">
      <c r="A47" s="19">
        <v>41</v>
      </c>
      <c r="B47" s="2" t="s">
        <v>1501</v>
      </c>
      <c r="C47" s="1" t="s">
        <v>1502</v>
      </c>
      <c r="D47" s="3" t="s">
        <v>1503</v>
      </c>
      <c r="E47" s="1" t="s">
        <v>58</v>
      </c>
      <c r="F47" s="10" t="s">
        <v>1465</v>
      </c>
      <c r="G47" s="2">
        <v>29</v>
      </c>
      <c r="H47" s="8">
        <v>55</v>
      </c>
      <c r="I47" s="8">
        <v>50</v>
      </c>
      <c r="J47" s="8">
        <v>40</v>
      </c>
      <c r="K47" s="8">
        <v>50</v>
      </c>
      <c r="L47" s="8">
        <v>35</v>
      </c>
      <c r="M47" s="8">
        <v>45</v>
      </c>
      <c r="N47" s="8">
        <v>45</v>
      </c>
      <c r="O47" s="1">
        <f t="shared" si="3"/>
        <v>265</v>
      </c>
      <c r="P47" s="14">
        <f t="shared" si="4"/>
        <v>37.857142857142854</v>
      </c>
      <c r="Q47" s="20">
        <f t="shared" si="5"/>
        <v>41</v>
      </c>
    </row>
    <row r="48" spans="1:17" ht="18" customHeight="1">
      <c r="A48" s="19">
        <v>42</v>
      </c>
      <c r="B48" s="2" t="s">
        <v>1571</v>
      </c>
      <c r="C48" s="1" t="s">
        <v>1572</v>
      </c>
      <c r="D48" s="3" t="s">
        <v>1573</v>
      </c>
      <c r="E48" s="1" t="s">
        <v>66</v>
      </c>
      <c r="F48" s="10" t="s">
        <v>1465</v>
      </c>
      <c r="G48" s="2">
        <v>30</v>
      </c>
      <c r="H48" s="8">
        <v>75</v>
      </c>
      <c r="I48" s="8">
        <v>65</v>
      </c>
      <c r="J48" s="8">
        <v>45</v>
      </c>
      <c r="K48" s="8">
        <v>45</v>
      </c>
      <c r="L48" s="8">
        <v>40</v>
      </c>
      <c r="M48" s="8">
        <v>70</v>
      </c>
      <c r="N48" s="8">
        <v>0</v>
      </c>
      <c r="O48" s="1">
        <f t="shared" si="3"/>
        <v>265</v>
      </c>
      <c r="P48" s="14">
        <f t="shared" si="4"/>
        <v>37.857142857142854</v>
      </c>
      <c r="Q48" s="20">
        <f t="shared" si="5"/>
        <v>41</v>
      </c>
    </row>
    <row r="49" spans="1:17" ht="18" customHeight="1">
      <c r="A49" s="19">
        <v>43</v>
      </c>
      <c r="B49" s="2" t="s">
        <v>1512</v>
      </c>
      <c r="C49" s="1" t="s">
        <v>1513</v>
      </c>
      <c r="D49" s="3" t="s">
        <v>1514</v>
      </c>
      <c r="E49" s="1" t="s">
        <v>61</v>
      </c>
      <c r="F49" s="10" t="s">
        <v>1465</v>
      </c>
      <c r="G49" s="2">
        <v>30</v>
      </c>
      <c r="H49" s="8">
        <v>60</v>
      </c>
      <c r="I49" s="8">
        <v>58</v>
      </c>
      <c r="J49" s="8">
        <v>25</v>
      </c>
      <c r="K49" s="8">
        <v>25</v>
      </c>
      <c r="L49" s="8">
        <v>40</v>
      </c>
      <c r="M49" s="8">
        <v>50</v>
      </c>
      <c r="N49" s="8">
        <v>45</v>
      </c>
      <c r="O49" s="1">
        <f t="shared" si="3"/>
        <v>243</v>
      </c>
      <c r="P49" s="14">
        <f t="shared" si="4"/>
        <v>34.714285714285715</v>
      </c>
      <c r="Q49" s="20">
        <f t="shared" si="5"/>
        <v>43</v>
      </c>
    </row>
    <row r="50" spans="1:17" ht="18" customHeight="1">
      <c r="A50" s="19">
        <v>44</v>
      </c>
      <c r="B50" s="2" t="s">
        <v>1559</v>
      </c>
      <c r="C50" s="1" t="s">
        <v>1560</v>
      </c>
      <c r="D50" s="3" t="s">
        <v>1561</v>
      </c>
      <c r="E50" s="1" t="s">
        <v>65</v>
      </c>
      <c r="F50" s="10" t="s">
        <v>1465</v>
      </c>
      <c r="G50" s="2">
        <v>30</v>
      </c>
      <c r="H50" s="8">
        <v>60</v>
      </c>
      <c r="I50" s="8">
        <v>63</v>
      </c>
      <c r="J50" s="8">
        <v>25</v>
      </c>
      <c r="K50" s="8">
        <v>60</v>
      </c>
      <c r="L50" s="8">
        <v>45</v>
      </c>
      <c r="M50" s="8">
        <v>30</v>
      </c>
      <c r="N50" s="8">
        <v>15</v>
      </c>
      <c r="O50" s="1">
        <f t="shared" si="3"/>
        <v>238</v>
      </c>
      <c r="P50" s="14">
        <f t="shared" si="4"/>
        <v>34</v>
      </c>
      <c r="Q50" s="20">
        <f t="shared" si="5"/>
        <v>44</v>
      </c>
    </row>
    <row r="51" spans="1:17" ht="18" customHeight="1">
      <c r="A51" s="19">
        <v>45</v>
      </c>
      <c r="B51" s="2" t="s">
        <v>1565</v>
      </c>
      <c r="C51" s="1" t="s">
        <v>1566</v>
      </c>
      <c r="D51" s="3" t="s">
        <v>1567</v>
      </c>
      <c r="E51" s="1" t="s">
        <v>82</v>
      </c>
      <c r="F51" s="10" t="s">
        <v>1465</v>
      </c>
      <c r="G51" s="2">
        <v>30</v>
      </c>
      <c r="H51" s="8">
        <v>40</v>
      </c>
      <c r="I51" s="8">
        <v>63</v>
      </c>
      <c r="J51" s="8">
        <v>40</v>
      </c>
      <c r="K51" s="8">
        <v>35</v>
      </c>
      <c r="L51" s="8">
        <v>35</v>
      </c>
      <c r="M51" s="8">
        <v>60</v>
      </c>
      <c r="N51" s="8">
        <v>0</v>
      </c>
      <c r="O51" s="1">
        <f t="shared" si="3"/>
        <v>233</v>
      </c>
      <c r="P51" s="14">
        <f t="shared" si="4"/>
        <v>33.285714285714285</v>
      </c>
      <c r="Q51" s="20">
        <f t="shared" si="5"/>
        <v>45</v>
      </c>
    </row>
    <row r="52" spans="1:17" ht="18" customHeight="1">
      <c r="A52" s="19">
        <v>46</v>
      </c>
      <c r="B52" s="2" t="s">
        <v>1478</v>
      </c>
      <c r="C52" s="1" t="s">
        <v>1479</v>
      </c>
      <c r="D52" s="3" t="s">
        <v>1480</v>
      </c>
      <c r="E52" s="1" t="s">
        <v>56</v>
      </c>
      <c r="F52" s="10" t="s">
        <v>1465</v>
      </c>
      <c r="G52" s="2">
        <v>29</v>
      </c>
      <c r="H52" s="8">
        <v>40</v>
      </c>
      <c r="I52" s="8">
        <v>58</v>
      </c>
      <c r="J52" s="8">
        <v>20</v>
      </c>
      <c r="K52" s="8">
        <v>45</v>
      </c>
      <c r="L52" s="8">
        <v>40</v>
      </c>
      <c r="M52" s="8">
        <v>20</v>
      </c>
      <c r="N52" s="8">
        <v>40</v>
      </c>
      <c r="O52" s="1">
        <f t="shared" si="3"/>
        <v>223</v>
      </c>
      <c r="P52" s="14">
        <f t="shared" si="4"/>
        <v>31.857142857142858</v>
      </c>
      <c r="Q52" s="20">
        <f t="shared" si="5"/>
        <v>46</v>
      </c>
    </row>
    <row r="53" spans="1:17" ht="18" customHeight="1">
      <c r="A53" s="19">
        <v>47</v>
      </c>
      <c r="B53" s="2" t="s">
        <v>1521</v>
      </c>
      <c r="C53" s="1" t="s">
        <v>1522</v>
      </c>
      <c r="D53" s="3" t="s">
        <v>1523</v>
      </c>
      <c r="E53" s="1" t="s">
        <v>73</v>
      </c>
      <c r="F53" s="10" t="s">
        <v>1465</v>
      </c>
      <c r="G53" s="2">
        <v>30</v>
      </c>
      <c r="H53" s="8">
        <v>70</v>
      </c>
      <c r="I53" s="8">
        <v>58</v>
      </c>
      <c r="J53" s="8">
        <v>40</v>
      </c>
      <c r="K53" s="8">
        <v>35</v>
      </c>
      <c r="L53" s="8">
        <v>15</v>
      </c>
      <c r="M53" s="8">
        <v>70</v>
      </c>
      <c r="N53" s="8">
        <v>5</v>
      </c>
      <c r="O53" s="1">
        <f t="shared" si="3"/>
        <v>223</v>
      </c>
      <c r="P53" s="14">
        <f t="shared" si="4"/>
        <v>31.857142857142858</v>
      </c>
      <c r="Q53" s="20">
        <f t="shared" si="5"/>
        <v>46</v>
      </c>
    </row>
    <row r="54" spans="1:17" ht="18" customHeight="1">
      <c r="A54" s="19">
        <v>48</v>
      </c>
      <c r="B54" s="2" t="s">
        <v>1588</v>
      </c>
      <c r="C54" s="1">
        <v>311260291</v>
      </c>
      <c r="D54" s="3" t="s">
        <v>1589</v>
      </c>
      <c r="E54" s="1" t="s">
        <v>56</v>
      </c>
      <c r="F54" s="10" t="s">
        <v>1465</v>
      </c>
      <c r="G54" s="2">
        <v>31</v>
      </c>
      <c r="H54" s="8">
        <v>35</v>
      </c>
      <c r="I54" s="8">
        <v>50</v>
      </c>
      <c r="J54" s="8">
        <v>40</v>
      </c>
      <c r="K54" s="8">
        <v>60</v>
      </c>
      <c r="L54" s="8">
        <v>25</v>
      </c>
      <c r="M54" s="8">
        <v>30</v>
      </c>
      <c r="N54" s="8">
        <v>10</v>
      </c>
      <c r="O54" s="1">
        <f t="shared" si="3"/>
        <v>215</v>
      </c>
      <c r="P54" s="14">
        <f t="shared" si="4"/>
        <v>30.714285714285715</v>
      </c>
      <c r="Q54" s="20">
        <f t="shared" si="5"/>
        <v>48</v>
      </c>
    </row>
    <row r="55" spans="1:17" ht="18" customHeight="1">
      <c r="A55" s="19">
        <v>49</v>
      </c>
      <c r="B55" s="2" t="s">
        <v>1556</v>
      </c>
      <c r="C55" s="1" t="s">
        <v>1557</v>
      </c>
      <c r="D55" s="3" t="s">
        <v>1558</v>
      </c>
      <c r="E55" s="1" t="s">
        <v>65</v>
      </c>
      <c r="F55" s="10" t="s">
        <v>1465</v>
      </c>
      <c r="G55" s="2">
        <v>30</v>
      </c>
      <c r="H55" s="8">
        <v>70</v>
      </c>
      <c r="I55" s="8">
        <v>43</v>
      </c>
      <c r="J55" s="8">
        <v>15</v>
      </c>
      <c r="K55" s="8">
        <v>50</v>
      </c>
      <c r="L55" s="8">
        <v>40</v>
      </c>
      <c r="M55" s="8">
        <v>60</v>
      </c>
      <c r="N55" s="8">
        <v>0</v>
      </c>
      <c r="O55" s="1">
        <f t="shared" si="3"/>
        <v>208</v>
      </c>
      <c r="P55" s="14">
        <f t="shared" si="4"/>
        <v>29.714285714285715</v>
      </c>
      <c r="Q55" s="20">
        <f t="shared" si="5"/>
        <v>49</v>
      </c>
    </row>
    <row r="56" spans="1:17" ht="18" customHeight="1">
      <c r="A56" s="19">
        <v>50</v>
      </c>
      <c r="B56" s="2" t="s">
        <v>1462</v>
      </c>
      <c r="C56" s="1" t="s">
        <v>1463</v>
      </c>
      <c r="D56" s="3" t="s">
        <v>1464</v>
      </c>
      <c r="E56" s="1" t="s">
        <v>69</v>
      </c>
      <c r="F56" s="10" t="s">
        <v>1465</v>
      </c>
      <c r="G56" s="2">
        <v>29</v>
      </c>
      <c r="H56" s="8">
        <v>60</v>
      </c>
      <c r="I56" s="8">
        <v>58</v>
      </c>
      <c r="J56" s="8">
        <v>30</v>
      </c>
      <c r="K56" s="8">
        <v>75</v>
      </c>
      <c r="L56" s="8">
        <v>35</v>
      </c>
      <c r="M56" s="8"/>
      <c r="N56" s="8">
        <v>0</v>
      </c>
      <c r="O56" s="1">
        <f t="shared" si="3"/>
        <v>198</v>
      </c>
      <c r="P56" s="14">
        <f t="shared" si="4"/>
        <v>28.285714285714285</v>
      </c>
      <c r="Q56" s="20">
        <f t="shared" si="5"/>
        <v>50</v>
      </c>
    </row>
    <row r="57" spans="1:17" ht="18" customHeight="1">
      <c r="A57" s="19">
        <v>51</v>
      </c>
      <c r="B57" s="2" t="s">
        <v>1481</v>
      </c>
      <c r="C57" s="1" t="s">
        <v>1482</v>
      </c>
      <c r="D57" s="3" t="s">
        <v>1483</v>
      </c>
      <c r="E57" s="1" t="s">
        <v>56</v>
      </c>
      <c r="F57" s="10" t="s">
        <v>1465</v>
      </c>
      <c r="G57" s="2">
        <v>29</v>
      </c>
      <c r="H57" s="8">
        <v>50</v>
      </c>
      <c r="I57" s="8">
        <v>50</v>
      </c>
      <c r="J57" s="8">
        <v>35</v>
      </c>
      <c r="K57" s="8">
        <v>40</v>
      </c>
      <c r="L57" s="8">
        <v>45</v>
      </c>
      <c r="M57" s="8">
        <v>20</v>
      </c>
      <c r="N57" s="8">
        <v>0</v>
      </c>
      <c r="O57" s="1">
        <f t="shared" si="3"/>
        <v>190</v>
      </c>
      <c r="P57" s="14">
        <f t="shared" si="4"/>
        <v>27.142857142857142</v>
      </c>
      <c r="Q57" s="20">
        <f t="shared" si="5"/>
        <v>51</v>
      </c>
    </row>
    <row r="58" spans="1:17" ht="18" customHeight="1">
      <c r="A58" s="19">
        <v>52</v>
      </c>
      <c r="B58" s="2" t="s">
        <v>1524</v>
      </c>
      <c r="C58" s="1" t="s">
        <v>1525</v>
      </c>
      <c r="D58" s="3" t="s">
        <v>1526</v>
      </c>
      <c r="E58" s="1" t="s">
        <v>73</v>
      </c>
      <c r="F58" s="10" t="s">
        <v>1465</v>
      </c>
      <c r="G58" s="2">
        <v>30</v>
      </c>
      <c r="H58" s="8">
        <v>50</v>
      </c>
      <c r="I58" s="8">
        <v>35</v>
      </c>
      <c r="J58" s="8">
        <v>35</v>
      </c>
      <c r="K58" s="8">
        <v>20</v>
      </c>
      <c r="L58" s="8">
        <v>25</v>
      </c>
      <c r="M58" s="8">
        <v>55</v>
      </c>
      <c r="N58" s="8">
        <v>20</v>
      </c>
      <c r="O58" s="1">
        <f t="shared" si="3"/>
        <v>190</v>
      </c>
      <c r="P58" s="14">
        <f t="shared" si="4"/>
        <v>27.142857142857142</v>
      </c>
      <c r="Q58" s="20">
        <f t="shared" si="5"/>
        <v>51</v>
      </c>
    </row>
    <row r="59" spans="1:17" ht="18" customHeight="1">
      <c r="A59" s="19">
        <v>53</v>
      </c>
      <c r="B59" s="2" t="s">
        <v>1626</v>
      </c>
      <c r="C59" s="1">
        <v>311260960</v>
      </c>
      <c r="D59" s="3" t="s">
        <v>1627</v>
      </c>
      <c r="E59" s="1" t="s">
        <v>63</v>
      </c>
      <c r="F59" s="10" t="s">
        <v>1465</v>
      </c>
      <c r="G59" s="2">
        <v>32</v>
      </c>
      <c r="H59" s="8">
        <v>45</v>
      </c>
      <c r="I59" s="8">
        <v>40</v>
      </c>
      <c r="J59" s="8">
        <v>35</v>
      </c>
      <c r="K59" s="8">
        <v>40</v>
      </c>
      <c r="L59" s="8">
        <v>15</v>
      </c>
      <c r="M59" s="8">
        <v>55</v>
      </c>
      <c r="N59" s="8">
        <v>5</v>
      </c>
      <c r="O59" s="1">
        <f t="shared" si="3"/>
        <v>190</v>
      </c>
      <c r="P59" s="14">
        <f t="shared" si="4"/>
        <v>27.142857142857142</v>
      </c>
      <c r="Q59" s="20">
        <f t="shared" si="5"/>
        <v>51</v>
      </c>
    </row>
    <row r="60" spans="1:17" ht="18" customHeight="1">
      <c r="A60" s="19">
        <v>54</v>
      </c>
      <c r="B60" s="2" t="s">
        <v>1527</v>
      </c>
      <c r="C60" s="1" t="s">
        <v>1528</v>
      </c>
      <c r="D60" s="3" t="s">
        <v>1529</v>
      </c>
      <c r="E60" s="1" t="s">
        <v>77</v>
      </c>
      <c r="F60" s="10" t="s">
        <v>1465</v>
      </c>
      <c r="G60" s="2">
        <v>30</v>
      </c>
      <c r="H60" s="8">
        <v>45</v>
      </c>
      <c r="I60" s="8">
        <v>58</v>
      </c>
      <c r="J60" s="8">
        <v>30</v>
      </c>
      <c r="K60" s="8">
        <v>45</v>
      </c>
      <c r="L60" s="8">
        <v>15</v>
      </c>
      <c r="M60" s="8">
        <v>20</v>
      </c>
      <c r="N60" s="8">
        <v>20</v>
      </c>
      <c r="O60" s="1">
        <f t="shared" si="3"/>
        <v>188</v>
      </c>
      <c r="P60" s="14">
        <f t="shared" si="4"/>
        <v>26.857142857142858</v>
      </c>
      <c r="Q60" s="20">
        <f t="shared" si="5"/>
        <v>54</v>
      </c>
    </row>
    <row r="61" spans="1:17" ht="18" customHeight="1">
      <c r="A61" s="19">
        <v>55</v>
      </c>
      <c r="B61" s="2" t="s">
        <v>1509</v>
      </c>
      <c r="C61" s="1" t="s">
        <v>1510</v>
      </c>
      <c r="D61" s="3" t="s">
        <v>1511</v>
      </c>
      <c r="E61" s="1" t="s">
        <v>60</v>
      </c>
      <c r="F61" s="10" t="s">
        <v>1465</v>
      </c>
      <c r="G61" s="2">
        <v>30</v>
      </c>
      <c r="H61" s="8">
        <v>40</v>
      </c>
      <c r="I61" s="8">
        <v>45</v>
      </c>
      <c r="J61" s="8">
        <v>35</v>
      </c>
      <c r="K61" s="8">
        <v>25</v>
      </c>
      <c r="L61" s="8">
        <v>15</v>
      </c>
      <c r="M61" s="8">
        <v>40</v>
      </c>
      <c r="N61" s="8">
        <v>0</v>
      </c>
      <c r="O61" s="1">
        <f t="shared" si="3"/>
        <v>160</v>
      </c>
      <c r="P61" s="14">
        <f t="shared" si="4"/>
        <v>22.857142857142858</v>
      </c>
      <c r="Q61" s="20">
        <f t="shared" si="5"/>
        <v>55</v>
      </c>
    </row>
    <row r="62" spans="1:17" ht="18" customHeight="1">
      <c r="A62" s="19">
        <v>56</v>
      </c>
      <c r="B62" s="2" t="s">
        <v>1530</v>
      </c>
      <c r="C62" s="1" t="s">
        <v>1531</v>
      </c>
      <c r="D62" s="3" t="s">
        <v>1532</v>
      </c>
      <c r="E62" s="1" t="s">
        <v>77</v>
      </c>
      <c r="F62" s="10" t="s">
        <v>1465</v>
      </c>
      <c r="G62" s="2">
        <v>30</v>
      </c>
      <c r="H62" s="8">
        <v>70</v>
      </c>
      <c r="I62" s="8">
        <v>23</v>
      </c>
      <c r="J62" s="8">
        <v>25</v>
      </c>
      <c r="K62" s="8">
        <v>15</v>
      </c>
      <c r="L62" s="8">
        <v>25</v>
      </c>
      <c r="M62" s="8">
        <v>50</v>
      </c>
      <c r="N62" s="8">
        <v>5</v>
      </c>
      <c r="O62" s="1">
        <f t="shared" si="3"/>
        <v>143</v>
      </c>
      <c r="P62" s="14">
        <f t="shared" si="4"/>
        <v>20.428571428571427</v>
      </c>
      <c r="Q62" s="20">
        <f t="shared" si="5"/>
        <v>56</v>
      </c>
    </row>
    <row r="63" spans="1:17" ht="18" customHeight="1">
      <c r="A63" s="19">
        <v>57</v>
      </c>
      <c r="B63" s="2" t="s">
        <v>1594</v>
      </c>
      <c r="C63" s="1">
        <v>311260294</v>
      </c>
      <c r="D63" s="3" t="s">
        <v>1595</v>
      </c>
      <c r="E63" s="1" t="s">
        <v>81</v>
      </c>
      <c r="F63" s="10" t="s">
        <v>1465</v>
      </c>
      <c r="G63" s="2">
        <v>31</v>
      </c>
      <c r="H63" s="8">
        <v>40</v>
      </c>
      <c r="I63" s="8">
        <v>33</v>
      </c>
      <c r="J63" s="8">
        <v>25</v>
      </c>
      <c r="K63" s="8">
        <v>20</v>
      </c>
      <c r="L63" s="8">
        <v>25</v>
      </c>
      <c r="M63" s="8">
        <v>20</v>
      </c>
      <c r="N63" s="8">
        <v>0</v>
      </c>
      <c r="O63" s="1">
        <f t="shared" si="3"/>
        <v>123</v>
      </c>
      <c r="P63" s="14">
        <f t="shared" si="4"/>
        <v>17.571428571428573</v>
      </c>
      <c r="Q63" s="20">
        <f t="shared" si="5"/>
        <v>57</v>
      </c>
    </row>
    <row r="64" spans="1:17" ht="18" customHeight="1">
      <c r="A64" s="19">
        <v>58</v>
      </c>
      <c r="B64" s="2" t="s">
        <v>1600</v>
      </c>
      <c r="C64" s="1">
        <v>311260417</v>
      </c>
      <c r="D64" s="3" t="s">
        <v>1601</v>
      </c>
      <c r="E64" s="1" t="s">
        <v>81</v>
      </c>
      <c r="F64" s="10" t="s">
        <v>1465</v>
      </c>
      <c r="G64" s="2">
        <v>31</v>
      </c>
      <c r="H64" s="8"/>
      <c r="I64" s="8"/>
      <c r="J64" s="8"/>
      <c r="K64" s="8"/>
      <c r="L64" s="8"/>
      <c r="M64" s="8"/>
      <c r="N64" s="8"/>
      <c r="O64" s="1">
        <f t="shared" si="3"/>
        <v>0</v>
      </c>
      <c r="P64" s="14">
        <f t="shared" si="4"/>
        <v>0</v>
      </c>
      <c r="Q64" s="20">
        <f t="shared" si="5"/>
        <v>58</v>
      </c>
    </row>
    <row r="65" spans="1:17" ht="18" customHeight="1">
      <c r="A65" s="19">
        <v>59</v>
      </c>
      <c r="B65" s="2" t="s">
        <v>1533</v>
      </c>
      <c r="C65" s="1" t="s">
        <v>1534</v>
      </c>
      <c r="D65" s="3" t="s">
        <v>1535</v>
      </c>
      <c r="E65" s="1" t="s">
        <v>63</v>
      </c>
      <c r="F65" s="10" t="s">
        <v>1465</v>
      </c>
      <c r="G65" s="2">
        <v>30</v>
      </c>
      <c r="H65" s="8"/>
      <c r="I65" s="8"/>
      <c r="J65" s="8"/>
      <c r="K65" s="8"/>
      <c r="L65" s="8"/>
      <c r="M65" s="8"/>
      <c r="N65" s="8"/>
      <c r="O65" s="1">
        <f t="shared" si="3"/>
        <v>0</v>
      </c>
      <c r="P65" s="14">
        <f t="shared" si="4"/>
        <v>0</v>
      </c>
      <c r="Q65" s="20">
        <f t="shared" si="5"/>
        <v>58</v>
      </c>
    </row>
    <row r="66" spans="1:17" ht="18" customHeight="1">
      <c r="A66" s="19">
        <v>60</v>
      </c>
      <c r="B66" s="2" t="s">
        <v>1608</v>
      </c>
      <c r="C66" s="1">
        <v>311260421</v>
      </c>
      <c r="D66" s="3" t="s">
        <v>1609</v>
      </c>
      <c r="E66" s="1" t="s">
        <v>74</v>
      </c>
      <c r="F66" s="10" t="s">
        <v>1465</v>
      </c>
      <c r="G66" s="2">
        <v>31</v>
      </c>
      <c r="H66" s="8"/>
      <c r="I66" s="8"/>
      <c r="J66" s="8"/>
      <c r="K66" s="8"/>
      <c r="L66" s="8"/>
      <c r="M66" s="8"/>
      <c r="N66" s="8"/>
      <c r="O66" s="1">
        <f t="shared" si="3"/>
        <v>0</v>
      </c>
      <c r="P66" s="14">
        <f t="shared" si="4"/>
        <v>0</v>
      </c>
      <c r="Q66" s="20">
        <f t="shared" si="5"/>
        <v>58</v>
      </c>
    </row>
    <row r="67" spans="1:17" ht="18" customHeight="1">
      <c r="A67" s="19">
        <v>61</v>
      </c>
      <c r="B67" s="2" t="s">
        <v>1536</v>
      </c>
      <c r="C67" s="1" t="s">
        <v>1537</v>
      </c>
      <c r="D67" s="3" t="s">
        <v>1538</v>
      </c>
      <c r="E67" s="1" t="s">
        <v>64</v>
      </c>
      <c r="F67" s="10" t="s">
        <v>1465</v>
      </c>
      <c r="G67" s="2">
        <v>30</v>
      </c>
      <c r="H67" s="8"/>
      <c r="I67" s="8"/>
      <c r="J67" s="8"/>
      <c r="K67" s="8"/>
      <c r="L67" s="8"/>
      <c r="M67" s="8"/>
      <c r="N67" s="8"/>
      <c r="O67" s="1">
        <f t="shared" si="3"/>
        <v>0</v>
      </c>
      <c r="P67" s="14">
        <f t="shared" si="4"/>
        <v>0</v>
      </c>
      <c r="Q67" s="20">
        <f t="shared" si="5"/>
        <v>58</v>
      </c>
    </row>
    <row r="68" spans="1:17" ht="18" customHeight="1">
      <c r="A68" s="19">
        <v>62</v>
      </c>
      <c r="B68" s="2" t="s">
        <v>1574</v>
      </c>
      <c r="C68" s="1" t="s">
        <v>1575</v>
      </c>
      <c r="D68" s="3" t="s">
        <v>1576</v>
      </c>
      <c r="E68" s="1" t="s">
        <v>66</v>
      </c>
      <c r="F68" s="10" t="s">
        <v>1465</v>
      </c>
      <c r="G68" s="2">
        <v>30</v>
      </c>
      <c r="H68" s="8"/>
      <c r="I68" s="8"/>
      <c r="J68" s="8"/>
      <c r="K68" s="8"/>
      <c r="L68" s="8"/>
      <c r="M68" s="8"/>
      <c r="N68" s="8"/>
      <c r="O68" s="1">
        <f t="shared" si="3"/>
        <v>0</v>
      </c>
      <c r="P68" s="14">
        <f t="shared" si="4"/>
        <v>0</v>
      </c>
      <c r="Q68" s="20">
        <f t="shared" si="5"/>
        <v>58</v>
      </c>
    </row>
    <row r="69" spans="1:17" ht="18" customHeight="1">
      <c r="A69" s="19">
        <v>63</v>
      </c>
      <c r="B69" s="28" t="s">
        <v>1580</v>
      </c>
      <c r="C69" s="29" t="s">
        <v>1581</v>
      </c>
      <c r="D69" s="30" t="s">
        <v>1582</v>
      </c>
      <c r="E69" s="29" t="s">
        <v>85</v>
      </c>
      <c r="F69" s="31" t="s">
        <v>1465</v>
      </c>
      <c r="G69" s="28">
        <v>31</v>
      </c>
      <c r="H69" s="40"/>
      <c r="I69" s="40"/>
      <c r="J69" s="40"/>
      <c r="K69" s="40"/>
      <c r="L69" s="40"/>
      <c r="M69" s="40"/>
      <c r="N69" s="40"/>
      <c r="O69" s="29">
        <f t="shared" si="3"/>
        <v>0</v>
      </c>
      <c r="P69" s="41">
        <f t="shared" si="4"/>
        <v>0</v>
      </c>
      <c r="Q69" s="33">
        <f t="shared" si="5"/>
        <v>58</v>
      </c>
    </row>
  </sheetData>
  <mergeCells count="4">
    <mergeCell ref="A1:P1"/>
    <mergeCell ref="A2:P2"/>
    <mergeCell ref="A3:P3"/>
    <mergeCell ref="A5:B5"/>
  </mergeCells>
  <conditionalFormatting sqref="H7:N7">
    <cfRule type="cellIs" dxfId="7509" priority="252" operator="lessThan">
      <formula>5</formula>
    </cfRule>
  </conditionalFormatting>
  <conditionalFormatting sqref="H7:N7">
    <cfRule type="expression" dxfId="7508" priority="251">
      <formula>5</formula>
    </cfRule>
  </conditionalFormatting>
  <conditionalFormatting sqref="H7:N7">
    <cfRule type="cellIs" dxfId="7507" priority="250" operator="lessThan">
      <formula>50</formula>
    </cfRule>
  </conditionalFormatting>
  <conditionalFormatting sqref="P7">
    <cfRule type="cellIs" dxfId="7506" priority="249" operator="lessThan">
      <formula>50</formula>
    </cfRule>
  </conditionalFormatting>
  <conditionalFormatting sqref="H8:N8">
    <cfRule type="cellIs" dxfId="7505" priority="248" operator="lessThan">
      <formula>5</formula>
    </cfRule>
  </conditionalFormatting>
  <conditionalFormatting sqref="H8:N8">
    <cfRule type="expression" dxfId="7504" priority="247">
      <formula>5</formula>
    </cfRule>
  </conditionalFormatting>
  <conditionalFormatting sqref="H8:N8">
    <cfRule type="cellIs" dxfId="7503" priority="246" operator="lessThan">
      <formula>50</formula>
    </cfRule>
  </conditionalFormatting>
  <conditionalFormatting sqref="P8">
    <cfRule type="cellIs" dxfId="7502" priority="245" operator="lessThan">
      <formula>50</formula>
    </cfRule>
  </conditionalFormatting>
  <conditionalFormatting sqref="H9:N9">
    <cfRule type="cellIs" dxfId="7501" priority="244" operator="lessThan">
      <formula>5</formula>
    </cfRule>
  </conditionalFormatting>
  <conditionalFormatting sqref="H9:N9">
    <cfRule type="expression" dxfId="7500" priority="243">
      <formula>5</formula>
    </cfRule>
  </conditionalFormatting>
  <conditionalFormatting sqref="H9:N9">
    <cfRule type="cellIs" dxfId="7499" priority="242" operator="lessThan">
      <formula>50</formula>
    </cfRule>
  </conditionalFormatting>
  <conditionalFormatting sqref="P9">
    <cfRule type="cellIs" dxfId="7498" priority="241" operator="lessThan">
      <formula>50</formula>
    </cfRule>
  </conditionalFormatting>
  <conditionalFormatting sqref="H10:N10">
    <cfRule type="cellIs" dxfId="7497" priority="240" operator="lessThan">
      <formula>5</formula>
    </cfRule>
  </conditionalFormatting>
  <conditionalFormatting sqref="H10:N10">
    <cfRule type="expression" dxfId="7496" priority="239">
      <formula>5</formula>
    </cfRule>
  </conditionalFormatting>
  <conditionalFormatting sqref="H10:N10">
    <cfRule type="cellIs" dxfId="7495" priority="238" operator="lessThan">
      <formula>50</formula>
    </cfRule>
  </conditionalFormatting>
  <conditionalFormatting sqref="P10">
    <cfRule type="cellIs" dxfId="7494" priority="237" operator="lessThan">
      <formula>50</formula>
    </cfRule>
  </conditionalFormatting>
  <conditionalFormatting sqref="H11:N11">
    <cfRule type="cellIs" dxfId="7493" priority="236" operator="lessThan">
      <formula>5</formula>
    </cfRule>
  </conditionalFormatting>
  <conditionalFormatting sqref="H11:N11">
    <cfRule type="expression" dxfId="7492" priority="235">
      <formula>5</formula>
    </cfRule>
  </conditionalFormatting>
  <conditionalFormatting sqref="H11:N11">
    <cfRule type="cellIs" dxfId="7491" priority="234" operator="lessThan">
      <formula>50</formula>
    </cfRule>
  </conditionalFormatting>
  <conditionalFormatting sqref="P11">
    <cfRule type="cellIs" dxfId="7490" priority="233" operator="lessThan">
      <formula>50</formula>
    </cfRule>
  </conditionalFormatting>
  <conditionalFormatting sqref="H12:N12">
    <cfRule type="cellIs" dxfId="7489" priority="232" operator="lessThan">
      <formula>5</formula>
    </cfRule>
  </conditionalFormatting>
  <conditionalFormatting sqref="H12:N12">
    <cfRule type="expression" dxfId="7488" priority="231">
      <formula>5</formula>
    </cfRule>
  </conditionalFormatting>
  <conditionalFormatting sqref="H12:N12">
    <cfRule type="cellIs" dxfId="7487" priority="230" operator="lessThan">
      <formula>50</formula>
    </cfRule>
  </conditionalFormatting>
  <conditionalFormatting sqref="P12">
    <cfRule type="cellIs" dxfId="7486" priority="229" operator="lessThan">
      <formula>50</formula>
    </cfRule>
  </conditionalFormatting>
  <conditionalFormatting sqref="H13:N13">
    <cfRule type="cellIs" dxfId="7485" priority="228" operator="lessThan">
      <formula>5</formula>
    </cfRule>
  </conditionalFormatting>
  <conditionalFormatting sqref="H13:N13">
    <cfRule type="expression" dxfId="7484" priority="227">
      <formula>5</formula>
    </cfRule>
  </conditionalFormatting>
  <conditionalFormatting sqref="H13:N13">
    <cfRule type="cellIs" dxfId="7483" priority="226" operator="lessThan">
      <formula>50</formula>
    </cfRule>
  </conditionalFormatting>
  <conditionalFormatting sqref="P13">
    <cfRule type="cellIs" dxfId="7482" priority="225" operator="lessThan">
      <formula>50</formula>
    </cfRule>
  </conditionalFormatting>
  <conditionalFormatting sqref="H14:N14">
    <cfRule type="cellIs" dxfId="7481" priority="224" operator="lessThan">
      <formula>5</formula>
    </cfRule>
  </conditionalFormatting>
  <conditionalFormatting sqref="H14:N14">
    <cfRule type="expression" dxfId="7480" priority="223">
      <formula>5</formula>
    </cfRule>
  </conditionalFormatting>
  <conditionalFormatting sqref="H14:N14">
    <cfRule type="cellIs" dxfId="7479" priority="222" operator="lessThan">
      <formula>50</formula>
    </cfRule>
  </conditionalFormatting>
  <conditionalFormatting sqref="P14">
    <cfRule type="cellIs" dxfId="7478" priority="221" operator="lessThan">
      <formula>50</formula>
    </cfRule>
  </conditionalFormatting>
  <conditionalFormatting sqref="H15:N15">
    <cfRule type="cellIs" dxfId="7477" priority="220" operator="lessThan">
      <formula>5</formula>
    </cfRule>
  </conditionalFormatting>
  <conditionalFormatting sqref="H15:N15">
    <cfRule type="expression" dxfId="7476" priority="219">
      <formula>5</formula>
    </cfRule>
  </conditionalFormatting>
  <conditionalFormatting sqref="H15:N15">
    <cfRule type="cellIs" dxfId="7475" priority="218" operator="lessThan">
      <formula>50</formula>
    </cfRule>
  </conditionalFormatting>
  <conditionalFormatting sqref="P15">
    <cfRule type="cellIs" dxfId="7474" priority="217" operator="lessThan">
      <formula>50</formula>
    </cfRule>
  </conditionalFormatting>
  <conditionalFormatting sqref="H16:N16">
    <cfRule type="cellIs" dxfId="7473" priority="216" operator="lessThan">
      <formula>5</formula>
    </cfRule>
  </conditionalFormatting>
  <conditionalFormatting sqref="H16:N16">
    <cfRule type="expression" dxfId="7472" priority="215">
      <formula>5</formula>
    </cfRule>
  </conditionalFormatting>
  <conditionalFormatting sqref="H16:N16">
    <cfRule type="cellIs" dxfId="7471" priority="214" operator="lessThan">
      <formula>50</formula>
    </cfRule>
  </conditionalFormatting>
  <conditionalFormatting sqref="P16">
    <cfRule type="cellIs" dxfId="7470" priority="213" operator="lessThan">
      <formula>50</formula>
    </cfRule>
  </conditionalFormatting>
  <conditionalFormatting sqref="H17:N17">
    <cfRule type="cellIs" dxfId="7469" priority="212" operator="lessThan">
      <formula>5</formula>
    </cfRule>
  </conditionalFormatting>
  <conditionalFormatting sqref="H17:N17">
    <cfRule type="expression" dxfId="7468" priority="211">
      <formula>5</formula>
    </cfRule>
  </conditionalFormatting>
  <conditionalFormatting sqref="H17:N17">
    <cfRule type="cellIs" dxfId="7467" priority="210" operator="lessThan">
      <formula>50</formula>
    </cfRule>
  </conditionalFormatting>
  <conditionalFormatting sqref="P17">
    <cfRule type="cellIs" dxfId="7466" priority="209" operator="lessThan">
      <formula>50</formula>
    </cfRule>
  </conditionalFormatting>
  <conditionalFormatting sqref="H18:N18">
    <cfRule type="cellIs" dxfId="7465" priority="208" operator="lessThan">
      <formula>5</formula>
    </cfRule>
  </conditionalFormatting>
  <conditionalFormatting sqref="H18:N18">
    <cfRule type="expression" dxfId="7464" priority="207">
      <formula>5</formula>
    </cfRule>
  </conditionalFormatting>
  <conditionalFormatting sqref="H18:N18">
    <cfRule type="cellIs" dxfId="7463" priority="206" operator="lessThan">
      <formula>50</formula>
    </cfRule>
  </conditionalFormatting>
  <conditionalFormatting sqref="P18">
    <cfRule type="cellIs" dxfId="7462" priority="205" operator="lessThan">
      <formula>50</formula>
    </cfRule>
  </conditionalFormatting>
  <conditionalFormatting sqref="H19:N19">
    <cfRule type="cellIs" dxfId="7461" priority="204" operator="lessThan">
      <formula>5</formula>
    </cfRule>
  </conditionalFormatting>
  <conditionalFormatting sqref="H19:N19">
    <cfRule type="expression" dxfId="7460" priority="203">
      <formula>5</formula>
    </cfRule>
  </conditionalFormatting>
  <conditionalFormatting sqref="H19:N19">
    <cfRule type="cellIs" dxfId="7459" priority="202" operator="lessThan">
      <formula>50</formula>
    </cfRule>
  </conditionalFormatting>
  <conditionalFormatting sqref="P19">
    <cfRule type="cellIs" dxfId="7458" priority="201" operator="lessThan">
      <formula>50</formula>
    </cfRule>
  </conditionalFormatting>
  <conditionalFormatting sqref="H20:N20">
    <cfRule type="cellIs" dxfId="7457" priority="200" operator="lessThan">
      <formula>5</formula>
    </cfRule>
  </conditionalFormatting>
  <conditionalFormatting sqref="H20:N20">
    <cfRule type="expression" dxfId="7456" priority="199">
      <formula>5</formula>
    </cfRule>
  </conditionalFormatting>
  <conditionalFormatting sqref="H20:N20">
    <cfRule type="cellIs" dxfId="7455" priority="198" operator="lessThan">
      <formula>50</formula>
    </cfRule>
  </conditionalFormatting>
  <conditionalFormatting sqref="P20">
    <cfRule type="cellIs" dxfId="7454" priority="197" operator="lessThan">
      <formula>50</formula>
    </cfRule>
  </conditionalFormatting>
  <conditionalFormatting sqref="H21:N21">
    <cfRule type="cellIs" dxfId="7453" priority="196" operator="lessThan">
      <formula>5</formula>
    </cfRule>
  </conditionalFormatting>
  <conditionalFormatting sqref="H21:N21">
    <cfRule type="expression" dxfId="7452" priority="195">
      <formula>5</formula>
    </cfRule>
  </conditionalFormatting>
  <conditionalFormatting sqref="H21:N21">
    <cfRule type="cellIs" dxfId="7451" priority="194" operator="lessThan">
      <formula>50</formula>
    </cfRule>
  </conditionalFormatting>
  <conditionalFormatting sqref="P21">
    <cfRule type="cellIs" dxfId="7450" priority="193" operator="lessThan">
      <formula>50</formula>
    </cfRule>
  </conditionalFormatting>
  <conditionalFormatting sqref="H22:N22">
    <cfRule type="cellIs" dxfId="7449" priority="192" operator="lessThan">
      <formula>5</formula>
    </cfRule>
  </conditionalFormatting>
  <conditionalFormatting sqref="H22:N22">
    <cfRule type="expression" dxfId="7448" priority="191">
      <formula>5</formula>
    </cfRule>
  </conditionalFormatting>
  <conditionalFormatting sqref="H22:N22">
    <cfRule type="cellIs" dxfId="7447" priority="190" operator="lessThan">
      <formula>50</formula>
    </cfRule>
  </conditionalFormatting>
  <conditionalFormatting sqref="P22">
    <cfRule type="cellIs" dxfId="7446" priority="189" operator="lessThan">
      <formula>50</formula>
    </cfRule>
  </conditionalFormatting>
  <conditionalFormatting sqref="H23:N23">
    <cfRule type="cellIs" dxfId="7445" priority="188" operator="lessThan">
      <formula>5</formula>
    </cfRule>
  </conditionalFormatting>
  <conditionalFormatting sqref="H23:N23">
    <cfRule type="expression" dxfId="7444" priority="187">
      <formula>5</formula>
    </cfRule>
  </conditionalFormatting>
  <conditionalFormatting sqref="H23:N23">
    <cfRule type="cellIs" dxfId="7443" priority="186" operator="lessThan">
      <formula>50</formula>
    </cfRule>
  </conditionalFormatting>
  <conditionalFormatting sqref="P23">
    <cfRule type="cellIs" dxfId="7442" priority="185" operator="lessThan">
      <formula>50</formula>
    </cfRule>
  </conditionalFormatting>
  <conditionalFormatting sqref="H24:N24">
    <cfRule type="cellIs" dxfId="7441" priority="184" operator="lessThan">
      <formula>5</formula>
    </cfRule>
  </conditionalFormatting>
  <conditionalFormatting sqref="H24:N24">
    <cfRule type="expression" dxfId="7440" priority="183">
      <formula>5</formula>
    </cfRule>
  </conditionalFormatting>
  <conditionalFormatting sqref="H24:N24">
    <cfRule type="cellIs" dxfId="7439" priority="182" operator="lessThan">
      <formula>50</formula>
    </cfRule>
  </conditionalFormatting>
  <conditionalFormatting sqref="P24">
    <cfRule type="cellIs" dxfId="7438" priority="181" operator="lessThan">
      <formula>50</formula>
    </cfRule>
  </conditionalFormatting>
  <conditionalFormatting sqref="H25:N25">
    <cfRule type="cellIs" dxfId="7437" priority="180" operator="lessThan">
      <formula>5</formula>
    </cfRule>
  </conditionalFormatting>
  <conditionalFormatting sqref="H25:N25">
    <cfRule type="expression" dxfId="7436" priority="179">
      <formula>5</formula>
    </cfRule>
  </conditionalFormatting>
  <conditionalFormatting sqref="H25:N25">
    <cfRule type="cellIs" dxfId="7435" priority="178" operator="lessThan">
      <formula>50</formula>
    </cfRule>
  </conditionalFormatting>
  <conditionalFormatting sqref="P25">
    <cfRule type="cellIs" dxfId="7434" priority="177" operator="lessThan">
      <formula>50</formula>
    </cfRule>
  </conditionalFormatting>
  <conditionalFormatting sqref="H26:N26">
    <cfRule type="cellIs" dxfId="7433" priority="176" operator="lessThan">
      <formula>5</formula>
    </cfRule>
  </conditionalFormatting>
  <conditionalFormatting sqref="H26:N26">
    <cfRule type="expression" dxfId="7432" priority="175">
      <formula>5</formula>
    </cfRule>
  </conditionalFormatting>
  <conditionalFormatting sqref="H26:N26">
    <cfRule type="cellIs" dxfId="7431" priority="174" operator="lessThan">
      <formula>50</formula>
    </cfRule>
  </conditionalFormatting>
  <conditionalFormatting sqref="P26">
    <cfRule type="cellIs" dxfId="7430" priority="173" operator="lessThan">
      <formula>50</formula>
    </cfRule>
  </conditionalFormatting>
  <conditionalFormatting sqref="H27:N27">
    <cfRule type="cellIs" dxfId="7429" priority="172" operator="lessThan">
      <formula>5</formula>
    </cfRule>
  </conditionalFormatting>
  <conditionalFormatting sqref="H27:N27">
    <cfRule type="expression" dxfId="7428" priority="171">
      <formula>5</formula>
    </cfRule>
  </conditionalFormatting>
  <conditionalFormatting sqref="H27:N27">
    <cfRule type="cellIs" dxfId="7427" priority="170" operator="lessThan">
      <formula>50</formula>
    </cfRule>
  </conditionalFormatting>
  <conditionalFormatting sqref="P27">
    <cfRule type="cellIs" dxfId="7426" priority="169" operator="lessThan">
      <formula>50</formula>
    </cfRule>
  </conditionalFormatting>
  <conditionalFormatting sqref="H28:N28">
    <cfRule type="cellIs" dxfId="7425" priority="168" operator="lessThan">
      <formula>5</formula>
    </cfRule>
  </conditionalFormatting>
  <conditionalFormatting sqref="H28:N28">
    <cfRule type="expression" dxfId="7424" priority="167">
      <formula>5</formula>
    </cfRule>
  </conditionalFormatting>
  <conditionalFormatting sqref="H28:N28">
    <cfRule type="cellIs" dxfId="7423" priority="166" operator="lessThan">
      <formula>50</formula>
    </cfRule>
  </conditionalFormatting>
  <conditionalFormatting sqref="P28">
    <cfRule type="cellIs" dxfId="7422" priority="165" operator="lessThan">
      <formula>50</formula>
    </cfRule>
  </conditionalFormatting>
  <conditionalFormatting sqref="H29:N29">
    <cfRule type="cellIs" dxfId="7421" priority="164" operator="lessThan">
      <formula>5</formula>
    </cfRule>
  </conditionalFormatting>
  <conditionalFormatting sqref="H29:N29">
    <cfRule type="expression" dxfId="7420" priority="163">
      <formula>5</formula>
    </cfRule>
  </conditionalFormatting>
  <conditionalFormatting sqref="H29:N29">
    <cfRule type="cellIs" dxfId="7419" priority="162" operator="lessThan">
      <formula>50</formula>
    </cfRule>
  </conditionalFormatting>
  <conditionalFormatting sqref="P29">
    <cfRule type="cellIs" dxfId="7418" priority="161" operator="lessThan">
      <formula>50</formula>
    </cfRule>
  </conditionalFormatting>
  <conditionalFormatting sqref="H30:N30">
    <cfRule type="cellIs" dxfId="7417" priority="160" operator="lessThan">
      <formula>5</formula>
    </cfRule>
  </conditionalFormatting>
  <conditionalFormatting sqref="H30:N30">
    <cfRule type="expression" dxfId="7416" priority="159">
      <formula>5</formula>
    </cfRule>
  </conditionalFormatting>
  <conditionalFormatting sqref="H30:N30">
    <cfRule type="cellIs" dxfId="7415" priority="158" operator="lessThan">
      <formula>50</formula>
    </cfRule>
  </conditionalFormatting>
  <conditionalFormatting sqref="P30">
    <cfRule type="cellIs" dxfId="7414" priority="157" operator="lessThan">
      <formula>50</formula>
    </cfRule>
  </conditionalFormatting>
  <conditionalFormatting sqref="H31:N31">
    <cfRule type="cellIs" dxfId="7413" priority="156" operator="lessThan">
      <formula>5</formula>
    </cfRule>
  </conditionalFormatting>
  <conditionalFormatting sqref="H31:N31">
    <cfRule type="expression" dxfId="7412" priority="155">
      <formula>5</formula>
    </cfRule>
  </conditionalFormatting>
  <conditionalFormatting sqref="H31:N31">
    <cfRule type="cellIs" dxfId="7411" priority="154" operator="lessThan">
      <formula>50</formula>
    </cfRule>
  </conditionalFormatting>
  <conditionalFormatting sqref="P31">
    <cfRule type="cellIs" dxfId="7410" priority="153" operator="lessThan">
      <formula>50</formula>
    </cfRule>
  </conditionalFormatting>
  <conditionalFormatting sqref="H32:N32">
    <cfRule type="cellIs" dxfId="7409" priority="152" operator="lessThan">
      <formula>5</formula>
    </cfRule>
  </conditionalFormatting>
  <conditionalFormatting sqref="H32:N32">
    <cfRule type="expression" dxfId="7408" priority="151">
      <formula>5</formula>
    </cfRule>
  </conditionalFormatting>
  <conditionalFormatting sqref="H32:N32">
    <cfRule type="cellIs" dxfId="7407" priority="150" operator="lessThan">
      <formula>50</formula>
    </cfRule>
  </conditionalFormatting>
  <conditionalFormatting sqref="P32">
    <cfRule type="cellIs" dxfId="7406" priority="149" operator="lessThan">
      <formula>50</formula>
    </cfRule>
  </conditionalFormatting>
  <conditionalFormatting sqref="H33:N33">
    <cfRule type="cellIs" dxfId="7405" priority="148" operator="lessThan">
      <formula>5</formula>
    </cfRule>
  </conditionalFormatting>
  <conditionalFormatting sqref="H33:N33">
    <cfRule type="expression" dxfId="7404" priority="147">
      <formula>5</formula>
    </cfRule>
  </conditionalFormatting>
  <conditionalFormatting sqref="H33:N33">
    <cfRule type="cellIs" dxfId="7403" priority="146" operator="lessThan">
      <formula>50</formula>
    </cfRule>
  </conditionalFormatting>
  <conditionalFormatting sqref="P33">
    <cfRule type="cellIs" dxfId="7402" priority="145" operator="lessThan">
      <formula>50</formula>
    </cfRule>
  </conditionalFormatting>
  <conditionalFormatting sqref="H34:N34">
    <cfRule type="cellIs" dxfId="7401" priority="144" operator="lessThan">
      <formula>5</formula>
    </cfRule>
  </conditionalFormatting>
  <conditionalFormatting sqref="H34:N34">
    <cfRule type="expression" dxfId="7400" priority="143">
      <formula>5</formula>
    </cfRule>
  </conditionalFormatting>
  <conditionalFormatting sqref="H34:N34">
    <cfRule type="cellIs" dxfId="7399" priority="142" operator="lessThan">
      <formula>50</formula>
    </cfRule>
  </conditionalFormatting>
  <conditionalFormatting sqref="P34">
    <cfRule type="cellIs" dxfId="7398" priority="141" operator="lessThan">
      <formula>50</formula>
    </cfRule>
  </conditionalFormatting>
  <conditionalFormatting sqref="H35:N35">
    <cfRule type="cellIs" dxfId="7397" priority="140" operator="lessThan">
      <formula>5</formula>
    </cfRule>
  </conditionalFormatting>
  <conditionalFormatting sqref="H35:N35">
    <cfRule type="expression" dxfId="7396" priority="139">
      <formula>5</formula>
    </cfRule>
  </conditionalFormatting>
  <conditionalFormatting sqref="H35:N35">
    <cfRule type="cellIs" dxfId="7395" priority="138" operator="lessThan">
      <formula>50</formula>
    </cfRule>
  </conditionalFormatting>
  <conditionalFormatting sqref="P35">
    <cfRule type="cellIs" dxfId="7394" priority="137" operator="lessThan">
      <formula>50</formula>
    </cfRule>
  </conditionalFormatting>
  <conditionalFormatting sqref="H36:N36">
    <cfRule type="cellIs" dxfId="7393" priority="136" operator="lessThan">
      <formula>5</formula>
    </cfRule>
  </conditionalFormatting>
  <conditionalFormatting sqref="H36:N36">
    <cfRule type="expression" dxfId="7392" priority="135">
      <formula>5</formula>
    </cfRule>
  </conditionalFormatting>
  <conditionalFormatting sqref="H36:N36">
    <cfRule type="cellIs" dxfId="7391" priority="134" operator="lessThan">
      <formula>50</formula>
    </cfRule>
  </conditionalFormatting>
  <conditionalFormatting sqref="P36">
    <cfRule type="cellIs" dxfId="7390" priority="133" operator="lessThan">
      <formula>50</formula>
    </cfRule>
  </conditionalFormatting>
  <conditionalFormatting sqref="H37:N37">
    <cfRule type="cellIs" dxfId="7389" priority="132" operator="lessThan">
      <formula>5</formula>
    </cfRule>
  </conditionalFormatting>
  <conditionalFormatting sqref="H37:N37">
    <cfRule type="expression" dxfId="7388" priority="131">
      <formula>5</formula>
    </cfRule>
  </conditionalFormatting>
  <conditionalFormatting sqref="H37:N37">
    <cfRule type="cellIs" dxfId="7387" priority="130" operator="lessThan">
      <formula>50</formula>
    </cfRule>
  </conditionalFormatting>
  <conditionalFormatting sqref="P37">
    <cfRule type="cellIs" dxfId="7386" priority="129" operator="lessThan">
      <formula>50</formula>
    </cfRule>
  </conditionalFormatting>
  <conditionalFormatting sqref="H38:N38">
    <cfRule type="cellIs" dxfId="7385" priority="128" operator="lessThan">
      <formula>5</formula>
    </cfRule>
  </conditionalFormatting>
  <conditionalFormatting sqref="H38:N38">
    <cfRule type="expression" dxfId="7384" priority="127">
      <formula>5</formula>
    </cfRule>
  </conditionalFormatting>
  <conditionalFormatting sqref="H38:N38">
    <cfRule type="cellIs" dxfId="7383" priority="126" operator="lessThan">
      <formula>50</formula>
    </cfRule>
  </conditionalFormatting>
  <conditionalFormatting sqref="P38">
    <cfRule type="cellIs" dxfId="7382" priority="125" operator="lessThan">
      <formula>50</formula>
    </cfRule>
  </conditionalFormatting>
  <conditionalFormatting sqref="H39:N39">
    <cfRule type="cellIs" dxfId="7381" priority="124" operator="lessThan">
      <formula>5</formula>
    </cfRule>
  </conditionalFormatting>
  <conditionalFormatting sqref="H39:N39">
    <cfRule type="expression" dxfId="7380" priority="123">
      <formula>5</formula>
    </cfRule>
  </conditionalFormatting>
  <conditionalFormatting sqref="H39:N39">
    <cfRule type="cellIs" dxfId="7379" priority="122" operator="lessThan">
      <formula>50</formula>
    </cfRule>
  </conditionalFormatting>
  <conditionalFormatting sqref="P39">
    <cfRule type="cellIs" dxfId="7378" priority="121" operator="lessThan">
      <formula>50</formula>
    </cfRule>
  </conditionalFormatting>
  <conditionalFormatting sqref="H40:N40">
    <cfRule type="cellIs" dxfId="7377" priority="120" operator="lessThan">
      <formula>5</formula>
    </cfRule>
  </conditionalFormatting>
  <conditionalFormatting sqref="H40:N40">
    <cfRule type="expression" dxfId="7376" priority="119">
      <formula>5</formula>
    </cfRule>
  </conditionalFormatting>
  <conditionalFormatting sqref="H40:N40">
    <cfRule type="cellIs" dxfId="7375" priority="118" operator="lessThan">
      <formula>50</formula>
    </cfRule>
  </conditionalFormatting>
  <conditionalFormatting sqref="P40">
    <cfRule type="cellIs" dxfId="7374" priority="117" operator="lessThan">
      <formula>50</formula>
    </cfRule>
  </conditionalFormatting>
  <conditionalFormatting sqref="H41:N41">
    <cfRule type="cellIs" dxfId="7373" priority="116" operator="lessThan">
      <formula>5</formula>
    </cfRule>
  </conditionalFormatting>
  <conditionalFormatting sqref="H41:N41">
    <cfRule type="expression" dxfId="7372" priority="115">
      <formula>5</formula>
    </cfRule>
  </conditionalFormatting>
  <conditionalFormatting sqref="H41:N41">
    <cfRule type="cellIs" dxfId="7371" priority="114" operator="lessThan">
      <formula>50</formula>
    </cfRule>
  </conditionalFormatting>
  <conditionalFormatting sqref="P41">
    <cfRule type="cellIs" dxfId="7370" priority="113" operator="lessThan">
      <formula>50</formula>
    </cfRule>
  </conditionalFormatting>
  <conditionalFormatting sqref="H42:N42">
    <cfRule type="cellIs" dxfId="7369" priority="112" operator="lessThan">
      <formula>5</formula>
    </cfRule>
  </conditionalFormatting>
  <conditionalFormatting sqref="H42:N42">
    <cfRule type="expression" dxfId="7368" priority="111">
      <formula>5</formula>
    </cfRule>
  </conditionalFormatting>
  <conditionalFormatting sqref="H42:N42">
    <cfRule type="cellIs" dxfId="7367" priority="110" operator="lessThan">
      <formula>50</formula>
    </cfRule>
  </conditionalFormatting>
  <conditionalFormatting sqref="P42">
    <cfRule type="cellIs" dxfId="7366" priority="109" operator="lessThan">
      <formula>50</formula>
    </cfRule>
  </conditionalFormatting>
  <conditionalFormatting sqref="H43:N43">
    <cfRule type="cellIs" dxfId="7365" priority="108" operator="lessThan">
      <formula>5</formula>
    </cfRule>
  </conditionalFormatting>
  <conditionalFormatting sqref="H43:N43">
    <cfRule type="expression" dxfId="7364" priority="107">
      <formula>5</formula>
    </cfRule>
  </conditionalFormatting>
  <conditionalFormatting sqref="H43:N43">
    <cfRule type="cellIs" dxfId="7363" priority="106" operator="lessThan">
      <formula>50</formula>
    </cfRule>
  </conditionalFormatting>
  <conditionalFormatting sqref="P43">
    <cfRule type="cellIs" dxfId="7362" priority="105" operator="lessThan">
      <formula>50</formula>
    </cfRule>
  </conditionalFormatting>
  <conditionalFormatting sqref="H44:N44">
    <cfRule type="cellIs" dxfId="7361" priority="104" operator="lessThan">
      <formula>5</formula>
    </cfRule>
  </conditionalFormatting>
  <conditionalFormatting sqref="H44:N44">
    <cfRule type="expression" dxfId="7360" priority="103">
      <formula>5</formula>
    </cfRule>
  </conditionalFormatting>
  <conditionalFormatting sqref="H44:N44">
    <cfRule type="cellIs" dxfId="7359" priority="102" operator="lessThan">
      <formula>50</formula>
    </cfRule>
  </conditionalFormatting>
  <conditionalFormatting sqref="P44">
    <cfRule type="cellIs" dxfId="7358" priority="101" operator="lessThan">
      <formula>50</formula>
    </cfRule>
  </conditionalFormatting>
  <conditionalFormatting sqref="H45:N45">
    <cfRule type="cellIs" dxfId="7357" priority="100" operator="lessThan">
      <formula>5</formula>
    </cfRule>
  </conditionalFormatting>
  <conditionalFormatting sqref="H45:N45">
    <cfRule type="expression" dxfId="7356" priority="99">
      <formula>5</formula>
    </cfRule>
  </conditionalFormatting>
  <conditionalFormatting sqref="H45:N45">
    <cfRule type="cellIs" dxfId="7355" priority="98" operator="lessThan">
      <formula>50</formula>
    </cfRule>
  </conditionalFormatting>
  <conditionalFormatting sqref="P45">
    <cfRule type="cellIs" dxfId="7354" priority="97" operator="lessThan">
      <formula>50</formula>
    </cfRule>
  </conditionalFormatting>
  <conditionalFormatting sqref="H46:N46">
    <cfRule type="cellIs" dxfId="7353" priority="96" operator="lessThan">
      <formula>5</formula>
    </cfRule>
  </conditionalFormatting>
  <conditionalFormatting sqref="H46:N46">
    <cfRule type="expression" dxfId="7352" priority="95">
      <formula>5</formula>
    </cfRule>
  </conditionalFormatting>
  <conditionalFormatting sqref="H46:N46">
    <cfRule type="cellIs" dxfId="7351" priority="94" operator="lessThan">
      <formula>50</formula>
    </cfRule>
  </conditionalFormatting>
  <conditionalFormatting sqref="P46">
    <cfRule type="cellIs" dxfId="7350" priority="93" operator="lessThan">
      <formula>50</formula>
    </cfRule>
  </conditionalFormatting>
  <conditionalFormatting sqref="H47:N47">
    <cfRule type="cellIs" dxfId="7349" priority="92" operator="lessThan">
      <formula>5</formula>
    </cfRule>
  </conditionalFormatting>
  <conditionalFormatting sqref="H47:N47">
    <cfRule type="expression" dxfId="7348" priority="91">
      <formula>5</formula>
    </cfRule>
  </conditionalFormatting>
  <conditionalFormatting sqref="H47:N47">
    <cfRule type="cellIs" dxfId="7347" priority="90" operator="lessThan">
      <formula>50</formula>
    </cfRule>
  </conditionalFormatting>
  <conditionalFormatting sqref="P47">
    <cfRule type="cellIs" dxfId="7346" priority="89" operator="lessThan">
      <formula>50</formula>
    </cfRule>
  </conditionalFormatting>
  <conditionalFormatting sqref="H48:N48">
    <cfRule type="cellIs" dxfId="7345" priority="88" operator="lessThan">
      <formula>5</formula>
    </cfRule>
  </conditionalFormatting>
  <conditionalFormatting sqref="H48:N48">
    <cfRule type="expression" dxfId="7344" priority="87">
      <formula>5</formula>
    </cfRule>
  </conditionalFormatting>
  <conditionalFormatting sqref="H48:N48">
    <cfRule type="cellIs" dxfId="7343" priority="86" operator="lessThan">
      <formula>50</formula>
    </cfRule>
  </conditionalFormatting>
  <conditionalFormatting sqref="P48">
    <cfRule type="cellIs" dxfId="7342" priority="85" operator="lessThan">
      <formula>50</formula>
    </cfRule>
  </conditionalFormatting>
  <conditionalFormatting sqref="H49:N49">
    <cfRule type="cellIs" dxfId="7341" priority="84" operator="lessThan">
      <formula>5</formula>
    </cfRule>
  </conditionalFormatting>
  <conditionalFormatting sqref="H49:N49">
    <cfRule type="expression" dxfId="7340" priority="83">
      <formula>5</formula>
    </cfRule>
  </conditionalFormatting>
  <conditionalFormatting sqref="H49:N49">
    <cfRule type="cellIs" dxfId="7339" priority="82" operator="lessThan">
      <formula>50</formula>
    </cfRule>
  </conditionalFormatting>
  <conditionalFormatting sqref="P49">
    <cfRule type="cellIs" dxfId="7338" priority="81" operator="lessThan">
      <formula>50</formula>
    </cfRule>
  </conditionalFormatting>
  <conditionalFormatting sqref="H50:N50">
    <cfRule type="cellIs" dxfId="7337" priority="80" operator="lessThan">
      <formula>5</formula>
    </cfRule>
  </conditionalFormatting>
  <conditionalFormatting sqref="H50:N50">
    <cfRule type="expression" dxfId="7336" priority="79">
      <formula>5</formula>
    </cfRule>
  </conditionalFormatting>
  <conditionalFormatting sqref="H50:N50">
    <cfRule type="cellIs" dxfId="7335" priority="78" operator="lessThan">
      <formula>50</formula>
    </cfRule>
  </conditionalFormatting>
  <conditionalFormatting sqref="P50">
    <cfRule type="cellIs" dxfId="7334" priority="77" operator="lessThan">
      <formula>50</formula>
    </cfRule>
  </conditionalFormatting>
  <conditionalFormatting sqref="H51:N51">
    <cfRule type="cellIs" dxfId="7333" priority="76" operator="lessThan">
      <formula>5</formula>
    </cfRule>
  </conditionalFormatting>
  <conditionalFormatting sqref="H51:N51">
    <cfRule type="expression" dxfId="7332" priority="75">
      <formula>5</formula>
    </cfRule>
  </conditionalFormatting>
  <conditionalFormatting sqref="H51:N51">
    <cfRule type="cellIs" dxfId="7331" priority="74" operator="lessThan">
      <formula>50</formula>
    </cfRule>
  </conditionalFormatting>
  <conditionalFormatting sqref="P51">
    <cfRule type="cellIs" dxfId="7330" priority="73" operator="lessThan">
      <formula>50</formula>
    </cfRule>
  </conditionalFormatting>
  <conditionalFormatting sqref="H52:N52">
    <cfRule type="cellIs" dxfId="7329" priority="72" operator="lessThan">
      <formula>5</formula>
    </cfRule>
  </conditionalFormatting>
  <conditionalFormatting sqref="H52:N52">
    <cfRule type="expression" dxfId="7328" priority="71">
      <formula>5</formula>
    </cfRule>
  </conditionalFormatting>
  <conditionalFormatting sqref="H52:N52">
    <cfRule type="cellIs" dxfId="7327" priority="70" operator="lessThan">
      <formula>50</formula>
    </cfRule>
  </conditionalFormatting>
  <conditionalFormatting sqref="P52">
    <cfRule type="cellIs" dxfId="7326" priority="69" operator="lessThan">
      <formula>50</formula>
    </cfRule>
  </conditionalFormatting>
  <conditionalFormatting sqref="H53:N53">
    <cfRule type="cellIs" dxfId="7325" priority="68" operator="lessThan">
      <formula>5</formula>
    </cfRule>
  </conditionalFormatting>
  <conditionalFormatting sqref="H53:N53">
    <cfRule type="expression" dxfId="7324" priority="67">
      <formula>5</formula>
    </cfRule>
  </conditionalFormatting>
  <conditionalFormatting sqref="H53:N53">
    <cfRule type="cellIs" dxfId="7323" priority="66" operator="lessThan">
      <formula>50</formula>
    </cfRule>
  </conditionalFormatting>
  <conditionalFormatting sqref="P53">
    <cfRule type="cellIs" dxfId="7322" priority="65" operator="lessThan">
      <formula>50</formula>
    </cfRule>
  </conditionalFormatting>
  <conditionalFormatting sqref="H54:N54">
    <cfRule type="cellIs" dxfId="7321" priority="64" operator="lessThan">
      <formula>5</formula>
    </cfRule>
  </conditionalFormatting>
  <conditionalFormatting sqref="H54:N54">
    <cfRule type="expression" dxfId="7320" priority="63">
      <formula>5</formula>
    </cfRule>
  </conditionalFormatting>
  <conditionalFormatting sqref="H54:N54">
    <cfRule type="cellIs" dxfId="7319" priority="62" operator="lessThan">
      <formula>50</formula>
    </cfRule>
  </conditionalFormatting>
  <conditionalFormatting sqref="P54">
    <cfRule type="cellIs" dxfId="7318" priority="61" operator="lessThan">
      <formula>50</formula>
    </cfRule>
  </conditionalFormatting>
  <conditionalFormatting sqref="H55:N55">
    <cfRule type="cellIs" dxfId="7317" priority="60" operator="lessThan">
      <formula>5</formula>
    </cfRule>
  </conditionalFormatting>
  <conditionalFormatting sqref="H55:N55">
    <cfRule type="expression" dxfId="7316" priority="59">
      <formula>5</formula>
    </cfRule>
  </conditionalFormatting>
  <conditionalFormatting sqref="H55:N55">
    <cfRule type="cellIs" dxfId="7315" priority="58" operator="lessThan">
      <formula>50</formula>
    </cfRule>
  </conditionalFormatting>
  <conditionalFormatting sqref="P55">
    <cfRule type="cellIs" dxfId="7314" priority="57" operator="lessThan">
      <formula>50</formula>
    </cfRule>
  </conditionalFormatting>
  <conditionalFormatting sqref="H56:N56">
    <cfRule type="cellIs" dxfId="7313" priority="56" operator="lessThan">
      <formula>5</formula>
    </cfRule>
  </conditionalFormatting>
  <conditionalFormatting sqref="H56:N56">
    <cfRule type="expression" dxfId="7312" priority="55">
      <formula>5</formula>
    </cfRule>
  </conditionalFormatting>
  <conditionalFormatting sqref="H56:N56">
    <cfRule type="cellIs" dxfId="7311" priority="54" operator="lessThan">
      <formula>50</formula>
    </cfRule>
  </conditionalFormatting>
  <conditionalFormatting sqref="P56">
    <cfRule type="cellIs" dxfId="7310" priority="53" operator="lessThan">
      <formula>50</formula>
    </cfRule>
  </conditionalFormatting>
  <conditionalFormatting sqref="H57:N57">
    <cfRule type="cellIs" dxfId="7309" priority="52" operator="lessThan">
      <formula>5</formula>
    </cfRule>
  </conditionalFormatting>
  <conditionalFormatting sqref="H57:N57">
    <cfRule type="expression" dxfId="7308" priority="51">
      <formula>5</formula>
    </cfRule>
  </conditionalFormatting>
  <conditionalFormatting sqref="H57:N57">
    <cfRule type="cellIs" dxfId="7307" priority="50" operator="lessThan">
      <formula>50</formula>
    </cfRule>
  </conditionalFormatting>
  <conditionalFormatting sqref="P57">
    <cfRule type="cellIs" dxfId="7306" priority="49" operator="lessThan">
      <formula>50</formula>
    </cfRule>
  </conditionalFormatting>
  <conditionalFormatting sqref="H58:N58">
    <cfRule type="cellIs" dxfId="7305" priority="48" operator="lessThan">
      <formula>5</formula>
    </cfRule>
  </conditionalFormatting>
  <conditionalFormatting sqref="H58:N58">
    <cfRule type="expression" dxfId="7304" priority="47">
      <formula>5</formula>
    </cfRule>
  </conditionalFormatting>
  <conditionalFormatting sqref="H58:N58">
    <cfRule type="cellIs" dxfId="7303" priority="46" operator="lessThan">
      <formula>50</formula>
    </cfRule>
  </conditionalFormatting>
  <conditionalFormatting sqref="P58">
    <cfRule type="cellIs" dxfId="7302" priority="45" operator="lessThan">
      <formula>50</formula>
    </cfRule>
  </conditionalFormatting>
  <conditionalFormatting sqref="H59:N59">
    <cfRule type="cellIs" dxfId="7301" priority="44" operator="lessThan">
      <formula>5</formula>
    </cfRule>
  </conditionalFormatting>
  <conditionalFormatting sqref="H59:N59">
    <cfRule type="expression" dxfId="7300" priority="43">
      <formula>5</formula>
    </cfRule>
  </conditionalFormatting>
  <conditionalFormatting sqref="H59:N59">
    <cfRule type="cellIs" dxfId="7299" priority="42" operator="lessThan">
      <formula>50</formula>
    </cfRule>
  </conditionalFormatting>
  <conditionalFormatting sqref="P59">
    <cfRule type="cellIs" dxfId="7298" priority="41" operator="lessThan">
      <formula>50</formula>
    </cfRule>
  </conditionalFormatting>
  <conditionalFormatting sqref="H60:N60">
    <cfRule type="cellIs" dxfId="7297" priority="40" operator="lessThan">
      <formula>5</formula>
    </cfRule>
  </conditionalFormatting>
  <conditionalFormatting sqref="H60:N60">
    <cfRule type="expression" dxfId="7296" priority="39">
      <formula>5</formula>
    </cfRule>
  </conditionalFormatting>
  <conditionalFormatting sqref="H60:N60">
    <cfRule type="cellIs" dxfId="7295" priority="38" operator="lessThan">
      <formula>50</formula>
    </cfRule>
  </conditionalFormatting>
  <conditionalFormatting sqref="P60">
    <cfRule type="cellIs" dxfId="7294" priority="37" operator="lessThan">
      <formula>50</formula>
    </cfRule>
  </conditionalFormatting>
  <conditionalFormatting sqref="H61:N61">
    <cfRule type="cellIs" dxfId="7293" priority="36" operator="lessThan">
      <formula>5</formula>
    </cfRule>
  </conditionalFormatting>
  <conditionalFormatting sqref="H61:N61">
    <cfRule type="expression" dxfId="7292" priority="35">
      <formula>5</formula>
    </cfRule>
  </conditionalFormatting>
  <conditionalFormatting sqref="H61:N61">
    <cfRule type="cellIs" dxfId="7291" priority="34" operator="lessThan">
      <formula>50</formula>
    </cfRule>
  </conditionalFormatting>
  <conditionalFormatting sqref="P61">
    <cfRule type="cellIs" dxfId="7290" priority="33" operator="lessThan">
      <formula>50</formula>
    </cfRule>
  </conditionalFormatting>
  <conditionalFormatting sqref="H62:N62">
    <cfRule type="cellIs" dxfId="7289" priority="32" operator="lessThan">
      <formula>5</formula>
    </cfRule>
  </conditionalFormatting>
  <conditionalFormatting sqref="H62:N62">
    <cfRule type="expression" dxfId="7288" priority="31">
      <formula>5</formula>
    </cfRule>
  </conditionalFormatting>
  <conditionalFormatting sqref="H62:N62">
    <cfRule type="cellIs" dxfId="7287" priority="30" operator="lessThan">
      <formula>50</formula>
    </cfRule>
  </conditionalFormatting>
  <conditionalFormatting sqref="P62">
    <cfRule type="cellIs" dxfId="7286" priority="29" operator="lessThan">
      <formula>50</formula>
    </cfRule>
  </conditionalFormatting>
  <conditionalFormatting sqref="H63:N63">
    <cfRule type="cellIs" dxfId="7285" priority="28" operator="lessThan">
      <formula>5</formula>
    </cfRule>
  </conditionalFormatting>
  <conditionalFormatting sqref="H63:N63">
    <cfRule type="expression" dxfId="7284" priority="27">
      <formula>5</formula>
    </cfRule>
  </conditionalFormatting>
  <conditionalFormatting sqref="H63:N63">
    <cfRule type="cellIs" dxfId="7283" priority="26" operator="lessThan">
      <formula>50</formula>
    </cfRule>
  </conditionalFormatting>
  <conditionalFormatting sqref="P63">
    <cfRule type="cellIs" dxfId="7282" priority="25" operator="lessThan">
      <formula>50</formula>
    </cfRule>
  </conditionalFormatting>
  <conditionalFormatting sqref="H64:N64">
    <cfRule type="cellIs" dxfId="7281" priority="24" operator="lessThan">
      <formula>5</formula>
    </cfRule>
  </conditionalFormatting>
  <conditionalFormatting sqref="H64:N64">
    <cfRule type="expression" dxfId="7280" priority="23">
      <formula>5</formula>
    </cfRule>
  </conditionalFormatting>
  <conditionalFormatting sqref="H64:N64">
    <cfRule type="cellIs" dxfId="7279" priority="22" operator="lessThan">
      <formula>50</formula>
    </cfRule>
  </conditionalFormatting>
  <conditionalFormatting sqref="P64">
    <cfRule type="cellIs" dxfId="7278" priority="21" operator="lessThan">
      <formula>50</formula>
    </cfRule>
  </conditionalFormatting>
  <conditionalFormatting sqref="H65:N65">
    <cfRule type="cellIs" dxfId="7277" priority="20" operator="lessThan">
      <formula>5</formula>
    </cfRule>
  </conditionalFormatting>
  <conditionalFormatting sqref="H65:N65">
    <cfRule type="expression" dxfId="7276" priority="19">
      <formula>5</formula>
    </cfRule>
  </conditionalFormatting>
  <conditionalFormatting sqref="H65:N65">
    <cfRule type="cellIs" dxfId="7275" priority="18" operator="lessThan">
      <formula>50</formula>
    </cfRule>
  </conditionalFormatting>
  <conditionalFormatting sqref="P65">
    <cfRule type="cellIs" dxfId="7274" priority="17" operator="lessThan">
      <formula>50</formula>
    </cfRule>
  </conditionalFormatting>
  <conditionalFormatting sqref="H66:N66">
    <cfRule type="cellIs" dxfId="7273" priority="16" operator="lessThan">
      <formula>5</formula>
    </cfRule>
  </conditionalFormatting>
  <conditionalFormatting sqref="H66:N66">
    <cfRule type="expression" dxfId="7272" priority="15">
      <formula>5</formula>
    </cfRule>
  </conditionalFormatting>
  <conditionalFormatting sqref="H66:N66">
    <cfRule type="cellIs" dxfId="7271" priority="14" operator="lessThan">
      <formula>50</formula>
    </cfRule>
  </conditionalFormatting>
  <conditionalFormatting sqref="P66">
    <cfRule type="cellIs" dxfId="7270" priority="13" operator="lessThan">
      <formula>50</formula>
    </cfRule>
  </conditionalFormatting>
  <conditionalFormatting sqref="H67:N67">
    <cfRule type="cellIs" dxfId="7269" priority="12" operator="lessThan">
      <formula>5</formula>
    </cfRule>
  </conditionalFormatting>
  <conditionalFormatting sqref="H67:N67">
    <cfRule type="expression" dxfId="7268" priority="11">
      <formula>5</formula>
    </cfRule>
  </conditionalFormatting>
  <conditionalFormatting sqref="H67:N67">
    <cfRule type="cellIs" dxfId="7267" priority="10" operator="lessThan">
      <formula>50</formula>
    </cfRule>
  </conditionalFormatting>
  <conditionalFormatting sqref="P67">
    <cfRule type="cellIs" dxfId="7266" priority="9" operator="lessThan">
      <formula>50</formula>
    </cfRule>
  </conditionalFormatting>
  <conditionalFormatting sqref="H68:N68">
    <cfRule type="cellIs" dxfId="7265" priority="8" operator="lessThan">
      <formula>5</formula>
    </cfRule>
  </conditionalFormatting>
  <conditionalFormatting sqref="H68:N68">
    <cfRule type="expression" dxfId="7264" priority="7">
      <formula>5</formula>
    </cfRule>
  </conditionalFormatting>
  <conditionalFormatting sqref="H68:N68">
    <cfRule type="cellIs" dxfId="7263" priority="6" operator="lessThan">
      <formula>50</formula>
    </cfRule>
  </conditionalFormatting>
  <conditionalFormatting sqref="P68">
    <cfRule type="cellIs" dxfId="7262" priority="5" operator="lessThan">
      <formula>50</formula>
    </cfRule>
  </conditionalFormatting>
  <conditionalFormatting sqref="H69:N69">
    <cfRule type="cellIs" dxfId="7261" priority="4" operator="lessThan">
      <formula>5</formula>
    </cfRule>
  </conditionalFormatting>
  <conditionalFormatting sqref="H69:N69">
    <cfRule type="expression" dxfId="7260" priority="3">
      <formula>5</formula>
    </cfRule>
  </conditionalFormatting>
  <conditionalFormatting sqref="H69:N69">
    <cfRule type="cellIs" dxfId="7259" priority="2" operator="lessThan">
      <formula>50</formula>
    </cfRule>
  </conditionalFormatting>
  <conditionalFormatting sqref="P69">
    <cfRule type="cellIs" dxfId="7258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7:E8 D10:E10 D28:E29 D32:E37" xr:uid="{C601B39D-EB27-4E81-AC45-93884FB3E04F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A439-0530-4F3C-9918-6D12CE59B285}">
  <sheetPr codeName="Sheet93"/>
  <dimension ref="A1:Q66"/>
  <sheetViews>
    <sheetView showGridLines="0" workbookViewId="0">
      <selection activeCell="L18" sqref="L18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6" width="4.7109375" style="44" customWidth="1"/>
    <col min="17" max="17" width="4.7109375" customWidth="1"/>
  </cols>
  <sheetData>
    <row r="1" spans="1:17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42"/>
      <c r="Q4" s="11"/>
    </row>
    <row r="5" spans="1:17" ht="16.5" customHeight="1">
      <c r="A5" s="57" t="s">
        <v>5326</v>
      </c>
      <c r="B5" s="57"/>
      <c r="C5" s="17"/>
      <c r="D5" s="15" t="s">
        <v>5336</v>
      </c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42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7" t="s">
        <v>7</v>
      </c>
      <c r="I6" s="38" t="s">
        <v>1</v>
      </c>
      <c r="J6" s="37" t="s">
        <v>8</v>
      </c>
      <c r="K6" s="37" t="s">
        <v>2</v>
      </c>
      <c r="L6" s="37" t="s">
        <v>9</v>
      </c>
      <c r="M6" s="47" t="s">
        <v>10</v>
      </c>
      <c r="N6" s="37" t="s">
        <v>3</v>
      </c>
      <c r="O6" s="37" t="s">
        <v>5320</v>
      </c>
      <c r="P6" s="45" t="s">
        <v>5321</v>
      </c>
      <c r="Q6" s="39" t="s">
        <v>5324</v>
      </c>
    </row>
    <row r="7" spans="1:17" ht="18" customHeight="1" thickTop="1">
      <c r="A7" s="19">
        <v>1</v>
      </c>
      <c r="B7" s="2" t="s">
        <v>1664</v>
      </c>
      <c r="C7" s="1" t="s">
        <v>1665</v>
      </c>
      <c r="D7" s="3" t="s">
        <v>1666</v>
      </c>
      <c r="E7" s="1" t="s">
        <v>56</v>
      </c>
      <c r="F7" s="10" t="s">
        <v>1631</v>
      </c>
      <c r="G7" s="2">
        <v>32</v>
      </c>
      <c r="H7" s="8">
        <v>75</v>
      </c>
      <c r="I7" s="8">
        <v>78</v>
      </c>
      <c r="J7" s="8">
        <v>70</v>
      </c>
      <c r="K7" s="8">
        <v>85</v>
      </c>
      <c r="L7" s="8">
        <v>90</v>
      </c>
      <c r="M7" s="8">
        <v>70</v>
      </c>
      <c r="N7" s="8">
        <v>55</v>
      </c>
      <c r="O7" s="1">
        <f t="shared" ref="O7:O38" si="0">SUBTOTAL(9,I7:N7)</f>
        <v>448</v>
      </c>
      <c r="P7" s="14">
        <f t="shared" ref="P7:P38" si="1">O7/7</f>
        <v>64</v>
      </c>
      <c r="Q7" s="20">
        <f t="shared" ref="Q7:Q38" si="2">RANK(P7,P$7:P$311,0)</f>
        <v>1</v>
      </c>
    </row>
    <row r="8" spans="1:17" ht="18" customHeight="1">
      <c r="A8" s="19">
        <v>2</v>
      </c>
      <c r="B8" s="2" t="s">
        <v>1713</v>
      </c>
      <c r="C8" s="1" t="s">
        <v>1714</v>
      </c>
      <c r="D8" s="3" t="s">
        <v>1715</v>
      </c>
      <c r="E8" s="1" t="s">
        <v>74</v>
      </c>
      <c r="F8" s="10" t="s">
        <v>1631</v>
      </c>
      <c r="G8" s="2">
        <v>33</v>
      </c>
      <c r="H8" s="8">
        <v>80</v>
      </c>
      <c r="I8" s="8">
        <v>63</v>
      </c>
      <c r="J8" s="8">
        <v>95</v>
      </c>
      <c r="K8" s="8">
        <v>70</v>
      </c>
      <c r="L8" s="8">
        <v>90</v>
      </c>
      <c r="M8" s="8">
        <v>80</v>
      </c>
      <c r="N8" s="8">
        <v>45</v>
      </c>
      <c r="O8" s="1">
        <f t="shared" si="0"/>
        <v>443</v>
      </c>
      <c r="P8" s="14">
        <f t="shared" si="1"/>
        <v>63.285714285714285</v>
      </c>
      <c r="Q8" s="20">
        <f t="shared" si="2"/>
        <v>2</v>
      </c>
    </row>
    <row r="9" spans="1:17" ht="18" customHeight="1">
      <c r="A9" s="19">
        <v>3</v>
      </c>
      <c r="B9" s="2" t="s">
        <v>1769</v>
      </c>
      <c r="C9" s="1">
        <v>311260426</v>
      </c>
      <c r="D9" s="3" t="s">
        <v>1770</v>
      </c>
      <c r="E9" s="1" t="s">
        <v>88</v>
      </c>
      <c r="F9" s="10" t="s">
        <v>1631</v>
      </c>
      <c r="G9" s="2">
        <v>34</v>
      </c>
      <c r="H9" s="8">
        <v>65</v>
      </c>
      <c r="I9" s="8">
        <v>68</v>
      </c>
      <c r="J9" s="8">
        <v>70</v>
      </c>
      <c r="K9" s="8">
        <v>70</v>
      </c>
      <c r="L9" s="8">
        <v>100</v>
      </c>
      <c r="M9" s="8">
        <v>80</v>
      </c>
      <c r="N9" s="8">
        <v>40</v>
      </c>
      <c r="O9" s="1">
        <f t="shared" si="0"/>
        <v>428</v>
      </c>
      <c r="P9" s="14">
        <f t="shared" si="1"/>
        <v>61.142857142857146</v>
      </c>
      <c r="Q9" s="20">
        <f t="shared" si="2"/>
        <v>3</v>
      </c>
    </row>
    <row r="10" spans="1:17" ht="18" customHeight="1">
      <c r="A10" s="19">
        <v>4</v>
      </c>
      <c r="B10" s="2" t="s">
        <v>1682</v>
      </c>
      <c r="C10" s="1" t="s">
        <v>1683</v>
      </c>
      <c r="D10" s="3" t="s">
        <v>1684</v>
      </c>
      <c r="E10" s="1" t="s">
        <v>58</v>
      </c>
      <c r="F10" s="10" t="s">
        <v>1631</v>
      </c>
      <c r="G10" s="2">
        <v>32</v>
      </c>
      <c r="H10" s="8">
        <v>55</v>
      </c>
      <c r="I10" s="8">
        <v>60</v>
      </c>
      <c r="J10" s="8">
        <v>75</v>
      </c>
      <c r="K10" s="8">
        <v>60</v>
      </c>
      <c r="L10" s="8">
        <v>80</v>
      </c>
      <c r="M10" s="8">
        <v>90</v>
      </c>
      <c r="N10" s="8">
        <v>50</v>
      </c>
      <c r="O10" s="1">
        <f t="shared" si="0"/>
        <v>415</v>
      </c>
      <c r="P10" s="14">
        <f t="shared" si="1"/>
        <v>59.285714285714285</v>
      </c>
      <c r="Q10" s="20">
        <f t="shared" si="2"/>
        <v>4</v>
      </c>
    </row>
    <row r="11" spans="1:17" ht="18" customHeight="1">
      <c r="A11" s="19">
        <v>5</v>
      </c>
      <c r="B11" s="2" t="s">
        <v>1755</v>
      </c>
      <c r="C11" s="1">
        <v>311260299</v>
      </c>
      <c r="D11" s="3" t="s">
        <v>1756</v>
      </c>
      <c r="E11" s="1" t="s">
        <v>78</v>
      </c>
      <c r="F11" s="10" t="s">
        <v>1631</v>
      </c>
      <c r="G11" s="2">
        <v>33</v>
      </c>
      <c r="H11" s="8">
        <v>90</v>
      </c>
      <c r="I11" s="8">
        <v>8</v>
      </c>
      <c r="J11" s="8">
        <v>100</v>
      </c>
      <c r="K11" s="8">
        <v>85</v>
      </c>
      <c r="L11" s="8">
        <v>85</v>
      </c>
      <c r="M11" s="8">
        <v>75</v>
      </c>
      <c r="N11" s="8">
        <v>45</v>
      </c>
      <c r="O11" s="1">
        <f t="shared" si="0"/>
        <v>398</v>
      </c>
      <c r="P11" s="14">
        <f t="shared" si="1"/>
        <v>56.857142857142854</v>
      </c>
      <c r="Q11" s="20">
        <f t="shared" si="2"/>
        <v>5</v>
      </c>
    </row>
    <row r="12" spans="1:17" ht="18" customHeight="1">
      <c r="A12" s="19">
        <v>6</v>
      </c>
      <c r="B12" s="2" t="s">
        <v>1787</v>
      </c>
      <c r="C12" s="1">
        <v>311260916</v>
      </c>
      <c r="D12" s="3" t="s">
        <v>1788</v>
      </c>
      <c r="E12" s="1" t="s">
        <v>82</v>
      </c>
      <c r="F12" s="10" t="s">
        <v>1631</v>
      </c>
      <c r="G12" s="2">
        <v>34</v>
      </c>
      <c r="H12" s="8">
        <v>55</v>
      </c>
      <c r="I12" s="8">
        <v>85</v>
      </c>
      <c r="J12" s="8">
        <v>45</v>
      </c>
      <c r="K12" s="8">
        <v>30</v>
      </c>
      <c r="L12" s="8">
        <v>95</v>
      </c>
      <c r="M12" s="8">
        <v>70</v>
      </c>
      <c r="N12" s="8">
        <v>70</v>
      </c>
      <c r="O12" s="1">
        <f t="shared" si="0"/>
        <v>395</v>
      </c>
      <c r="P12" s="14">
        <f t="shared" si="1"/>
        <v>56.428571428571431</v>
      </c>
      <c r="Q12" s="20">
        <f t="shared" si="2"/>
        <v>6</v>
      </c>
    </row>
    <row r="13" spans="1:17" ht="18" customHeight="1">
      <c r="A13" s="19">
        <v>7</v>
      </c>
      <c r="B13" s="2" t="s">
        <v>1740</v>
      </c>
      <c r="C13" s="1" t="s">
        <v>1741</v>
      </c>
      <c r="D13" s="3" t="s">
        <v>1742</v>
      </c>
      <c r="E13" s="1" t="s">
        <v>66</v>
      </c>
      <c r="F13" s="10" t="s">
        <v>1631</v>
      </c>
      <c r="G13" s="2">
        <v>33</v>
      </c>
      <c r="H13" s="8">
        <v>50</v>
      </c>
      <c r="I13" s="8">
        <v>70</v>
      </c>
      <c r="J13" s="8">
        <v>85</v>
      </c>
      <c r="K13" s="8">
        <v>60</v>
      </c>
      <c r="L13" s="8">
        <v>55</v>
      </c>
      <c r="M13" s="8">
        <v>60</v>
      </c>
      <c r="N13" s="8">
        <v>65</v>
      </c>
      <c r="O13" s="1">
        <f t="shared" si="0"/>
        <v>395</v>
      </c>
      <c r="P13" s="14">
        <f t="shared" si="1"/>
        <v>56.428571428571431</v>
      </c>
      <c r="Q13" s="20">
        <f t="shared" si="2"/>
        <v>6</v>
      </c>
    </row>
    <row r="14" spans="1:17" ht="18" customHeight="1">
      <c r="A14" s="19">
        <v>8</v>
      </c>
      <c r="B14" s="2" t="s">
        <v>1777</v>
      </c>
      <c r="C14" s="1">
        <v>311260911</v>
      </c>
      <c r="D14" s="3" t="s">
        <v>1778</v>
      </c>
      <c r="E14" s="1" t="s">
        <v>59</v>
      </c>
      <c r="F14" s="10" t="s">
        <v>1631</v>
      </c>
      <c r="G14" s="2">
        <v>34</v>
      </c>
      <c r="H14" s="8">
        <v>80</v>
      </c>
      <c r="I14" s="8">
        <v>73</v>
      </c>
      <c r="J14" s="8">
        <v>70</v>
      </c>
      <c r="K14" s="8">
        <v>75</v>
      </c>
      <c r="L14" s="8">
        <v>45</v>
      </c>
      <c r="M14" s="8">
        <v>60</v>
      </c>
      <c r="N14" s="8">
        <v>70</v>
      </c>
      <c r="O14" s="1">
        <f t="shared" si="0"/>
        <v>393</v>
      </c>
      <c r="P14" s="14">
        <f t="shared" si="1"/>
        <v>56.142857142857146</v>
      </c>
      <c r="Q14" s="20">
        <f t="shared" si="2"/>
        <v>8</v>
      </c>
    </row>
    <row r="15" spans="1:17" ht="18" customHeight="1">
      <c r="A15" s="19">
        <v>9</v>
      </c>
      <c r="B15" s="2" t="s">
        <v>1670</v>
      </c>
      <c r="C15" s="1" t="s">
        <v>1671</v>
      </c>
      <c r="D15" s="3" t="s">
        <v>1672</v>
      </c>
      <c r="E15" s="1" t="s">
        <v>71</v>
      </c>
      <c r="F15" s="10" t="s">
        <v>1631</v>
      </c>
      <c r="G15" s="2">
        <v>32</v>
      </c>
      <c r="H15" s="8">
        <v>70</v>
      </c>
      <c r="I15" s="8">
        <v>88</v>
      </c>
      <c r="J15" s="8">
        <v>45</v>
      </c>
      <c r="K15" s="8">
        <v>75</v>
      </c>
      <c r="L15" s="8">
        <v>55</v>
      </c>
      <c r="M15" s="8">
        <v>45</v>
      </c>
      <c r="N15" s="8">
        <v>80</v>
      </c>
      <c r="O15" s="1">
        <f t="shared" si="0"/>
        <v>388</v>
      </c>
      <c r="P15" s="14">
        <f t="shared" si="1"/>
        <v>55.428571428571431</v>
      </c>
      <c r="Q15" s="20">
        <f t="shared" si="2"/>
        <v>9</v>
      </c>
    </row>
    <row r="16" spans="1:17" ht="18" customHeight="1">
      <c r="A16" s="19">
        <v>10</v>
      </c>
      <c r="B16" s="2" t="s">
        <v>1641</v>
      </c>
      <c r="C16" s="1" t="s">
        <v>1642</v>
      </c>
      <c r="D16" s="3" t="s">
        <v>1643</v>
      </c>
      <c r="E16" s="1" t="s">
        <v>69</v>
      </c>
      <c r="F16" s="10" t="s">
        <v>1631</v>
      </c>
      <c r="G16" s="2">
        <v>32</v>
      </c>
      <c r="H16" s="8">
        <v>60</v>
      </c>
      <c r="I16" s="8">
        <v>75</v>
      </c>
      <c r="J16" s="8">
        <v>50</v>
      </c>
      <c r="K16" s="8">
        <v>75</v>
      </c>
      <c r="L16" s="8">
        <v>70</v>
      </c>
      <c r="M16" s="8">
        <v>50</v>
      </c>
      <c r="N16" s="8">
        <v>65</v>
      </c>
      <c r="O16" s="1">
        <f t="shared" si="0"/>
        <v>385</v>
      </c>
      <c r="P16" s="14">
        <f t="shared" si="1"/>
        <v>55</v>
      </c>
      <c r="Q16" s="20">
        <f t="shared" si="2"/>
        <v>10</v>
      </c>
    </row>
    <row r="17" spans="1:17" ht="18" customHeight="1">
      <c r="A17" s="19">
        <v>11</v>
      </c>
      <c r="B17" s="2" t="s">
        <v>1647</v>
      </c>
      <c r="C17" s="1" t="s">
        <v>1648</v>
      </c>
      <c r="D17" s="3" t="s">
        <v>1649</v>
      </c>
      <c r="E17" s="1" t="s">
        <v>55</v>
      </c>
      <c r="F17" s="10" t="s">
        <v>1631</v>
      </c>
      <c r="G17" s="2">
        <v>32</v>
      </c>
      <c r="H17" s="8">
        <v>80</v>
      </c>
      <c r="I17" s="8">
        <v>63</v>
      </c>
      <c r="J17" s="8">
        <v>55</v>
      </c>
      <c r="K17" s="8">
        <v>60</v>
      </c>
      <c r="L17" s="8">
        <v>65</v>
      </c>
      <c r="M17" s="8">
        <v>70</v>
      </c>
      <c r="N17" s="8">
        <v>65</v>
      </c>
      <c r="O17" s="1">
        <f t="shared" si="0"/>
        <v>378</v>
      </c>
      <c r="P17" s="14">
        <f t="shared" si="1"/>
        <v>54</v>
      </c>
      <c r="Q17" s="20">
        <f t="shared" si="2"/>
        <v>11</v>
      </c>
    </row>
    <row r="18" spans="1:17" ht="18" customHeight="1">
      <c r="A18" s="19">
        <v>12</v>
      </c>
      <c r="B18" s="2" t="s">
        <v>1667</v>
      </c>
      <c r="C18" s="1" t="s">
        <v>1668</v>
      </c>
      <c r="D18" s="3" t="s">
        <v>1669</v>
      </c>
      <c r="E18" s="1" t="s">
        <v>71</v>
      </c>
      <c r="F18" s="10" t="s">
        <v>1631</v>
      </c>
      <c r="G18" s="2">
        <v>32</v>
      </c>
      <c r="H18" s="8">
        <v>70</v>
      </c>
      <c r="I18" s="8">
        <v>58</v>
      </c>
      <c r="J18" s="8">
        <v>55</v>
      </c>
      <c r="K18" s="8">
        <v>90</v>
      </c>
      <c r="L18" s="8">
        <v>65</v>
      </c>
      <c r="M18" s="8">
        <v>50</v>
      </c>
      <c r="N18" s="8">
        <v>50</v>
      </c>
      <c r="O18" s="1">
        <f t="shared" si="0"/>
        <v>368</v>
      </c>
      <c r="P18" s="14">
        <f t="shared" si="1"/>
        <v>52.571428571428569</v>
      </c>
      <c r="Q18" s="20">
        <f t="shared" si="2"/>
        <v>12</v>
      </c>
    </row>
    <row r="19" spans="1:17" ht="18" customHeight="1">
      <c r="A19" s="19">
        <v>13</v>
      </c>
      <c r="B19" s="2" t="s">
        <v>1691</v>
      </c>
      <c r="C19" s="1" t="s">
        <v>1692</v>
      </c>
      <c r="D19" s="3" t="s">
        <v>1693</v>
      </c>
      <c r="E19" s="1" t="s">
        <v>60</v>
      </c>
      <c r="F19" s="10" t="s">
        <v>1631</v>
      </c>
      <c r="G19" s="2">
        <v>32</v>
      </c>
      <c r="H19" s="8">
        <v>45</v>
      </c>
      <c r="I19" s="8">
        <v>68</v>
      </c>
      <c r="J19" s="8">
        <v>25</v>
      </c>
      <c r="K19" s="8">
        <v>80</v>
      </c>
      <c r="L19" s="8">
        <v>45</v>
      </c>
      <c r="M19" s="8">
        <v>60</v>
      </c>
      <c r="N19" s="8">
        <v>75</v>
      </c>
      <c r="O19" s="1">
        <f t="shared" si="0"/>
        <v>353</v>
      </c>
      <c r="P19" s="14">
        <f t="shared" si="1"/>
        <v>50.428571428571431</v>
      </c>
      <c r="Q19" s="20">
        <f t="shared" si="2"/>
        <v>13</v>
      </c>
    </row>
    <row r="20" spans="1:17" ht="18" customHeight="1">
      <c r="A20" s="19">
        <v>14</v>
      </c>
      <c r="B20" s="2" t="s">
        <v>1707</v>
      </c>
      <c r="C20" s="1" t="s">
        <v>1708</v>
      </c>
      <c r="D20" s="3" t="s">
        <v>1709</v>
      </c>
      <c r="E20" s="1" t="s">
        <v>84</v>
      </c>
      <c r="F20" s="10" t="s">
        <v>1631</v>
      </c>
      <c r="G20" s="2">
        <v>33</v>
      </c>
      <c r="H20" s="8">
        <v>50</v>
      </c>
      <c r="I20" s="8">
        <v>55</v>
      </c>
      <c r="J20" s="8">
        <v>35</v>
      </c>
      <c r="K20" s="8">
        <v>70</v>
      </c>
      <c r="L20" s="8">
        <v>50</v>
      </c>
      <c r="M20" s="8">
        <v>65</v>
      </c>
      <c r="N20" s="8">
        <v>70</v>
      </c>
      <c r="O20" s="1">
        <f t="shared" si="0"/>
        <v>345</v>
      </c>
      <c r="P20" s="14">
        <f t="shared" si="1"/>
        <v>49.285714285714285</v>
      </c>
      <c r="Q20" s="20">
        <f t="shared" si="2"/>
        <v>14</v>
      </c>
    </row>
    <row r="21" spans="1:17" ht="18" customHeight="1">
      <c r="A21" s="19">
        <v>15</v>
      </c>
      <c r="B21" s="2" t="s">
        <v>1746</v>
      </c>
      <c r="C21" s="1" t="s">
        <v>1747</v>
      </c>
      <c r="D21" s="3" t="s">
        <v>1748</v>
      </c>
      <c r="E21" s="1" t="s">
        <v>75</v>
      </c>
      <c r="F21" s="10" t="s">
        <v>1631</v>
      </c>
      <c r="G21" s="2">
        <v>33</v>
      </c>
      <c r="H21" s="8">
        <v>50</v>
      </c>
      <c r="I21" s="8">
        <v>58</v>
      </c>
      <c r="J21" s="8">
        <v>65</v>
      </c>
      <c r="K21" s="8">
        <v>55</v>
      </c>
      <c r="L21" s="8">
        <v>55</v>
      </c>
      <c r="M21" s="8">
        <v>60</v>
      </c>
      <c r="N21" s="8">
        <v>50</v>
      </c>
      <c r="O21" s="1">
        <f t="shared" si="0"/>
        <v>343</v>
      </c>
      <c r="P21" s="14">
        <f t="shared" si="1"/>
        <v>49</v>
      </c>
      <c r="Q21" s="20">
        <f t="shared" si="2"/>
        <v>15</v>
      </c>
    </row>
    <row r="22" spans="1:17" ht="18" customHeight="1">
      <c r="A22" s="19">
        <v>16</v>
      </c>
      <c r="B22" s="2" t="s">
        <v>1716</v>
      </c>
      <c r="C22" s="1" t="s">
        <v>1717</v>
      </c>
      <c r="D22" s="3" t="s">
        <v>1718</v>
      </c>
      <c r="E22" s="1" t="s">
        <v>64</v>
      </c>
      <c r="F22" s="10" t="s">
        <v>1631</v>
      </c>
      <c r="G22" s="2">
        <v>33</v>
      </c>
      <c r="H22" s="8">
        <v>50</v>
      </c>
      <c r="I22" s="8">
        <v>53</v>
      </c>
      <c r="J22" s="8">
        <v>45</v>
      </c>
      <c r="K22" s="8">
        <v>75</v>
      </c>
      <c r="L22" s="8">
        <v>45</v>
      </c>
      <c r="M22" s="8">
        <v>75</v>
      </c>
      <c r="N22" s="8">
        <v>45</v>
      </c>
      <c r="O22" s="1">
        <f t="shared" si="0"/>
        <v>338</v>
      </c>
      <c r="P22" s="14">
        <f t="shared" si="1"/>
        <v>48.285714285714285</v>
      </c>
      <c r="Q22" s="20">
        <f t="shared" si="2"/>
        <v>16</v>
      </c>
    </row>
    <row r="23" spans="1:17" ht="18" customHeight="1">
      <c r="A23" s="19">
        <v>17</v>
      </c>
      <c r="B23" s="2" t="s">
        <v>1688</v>
      </c>
      <c r="C23" s="1" t="s">
        <v>1689</v>
      </c>
      <c r="D23" s="3" t="s">
        <v>1690</v>
      </c>
      <c r="E23" s="1" t="s">
        <v>59</v>
      </c>
      <c r="F23" s="10" t="s">
        <v>1631</v>
      </c>
      <c r="G23" s="2">
        <v>32</v>
      </c>
      <c r="H23" s="8">
        <v>45</v>
      </c>
      <c r="I23" s="8">
        <v>68</v>
      </c>
      <c r="J23" s="8">
        <v>65</v>
      </c>
      <c r="K23" s="8">
        <v>75</v>
      </c>
      <c r="L23" s="8">
        <v>35</v>
      </c>
      <c r="M23" s="8">
        <v>50</v>
      </c>
      <c r="N23" s="8">
        <v>40</v>
      </c>
      <c r="O23" s="1">
        <f t="shared" si="0"/>
        <v>333</v>
      </c>
      <c r="P23" s="14">
        <f t="shared" si="1"/>
        <v>47.571428571428569</v>
      </c>
      <c r="Q23" s="20">
        <f t="shared" si="2"/>
        <v>17</v>
      </c>
    </row>
    <row r="24" spans="1:17" ht="18" customHeight="1">
      <c r="A24" s="19">
        <v>18</v>
      </c>
      <c r="B24" s="2" t="s">
        <v>1749</v>
      </c>
      <c r="C24" s="1">
        <v>311260296</v>
      </c>
      <c r="D24" s="3" t="s">
        <v>1750</v>
      </c>
      <c r="E24" s="1" t="s">
        <v>78</v>
      </c>
      <c r="F24" s="10" t="s">
        <v>1631</v>
      </c>
      <c r="G24" s="2">
        <v>33</v>
      </c>
      <c r="H24" s="8">
        <v>60</v>
      </c>
      <c r="I24" s="8">
        <v>68</v>
      </c>
      <c r="J24" s="8">
        <v>45</v>
      </c>
      <c r="K24" s="8">
        <v>70</v>
      </c>
      <c r="L24" s="8">
        <v>60</v>
      </c>
      <c r="M24" s="8">
        <v>50</v>
      </c>
      <c r="N24" s="8">
        <v>40</v>
      </c>
      <c r="O24" s="1">
        <f t="shared" si="0"/>
        <v>333</v>
      </c>
      <c r="P24" s="14">
        <f t="shared" si="1"/>
        <v>47.571428571428569</v>
      </c>
      <c r="Q24" s="20">
        <f t="shared" si="2"/>
        <v>17</v>
      </c>
    </row>
    <row r="25" spans="1:17" ht="18" customHeight="1">
      <c r="A25" s="19">
        <v>19</v>
      </c>
      <c r="B25" s="2" t="s">
        <v>1783</v>
      </c>
      <c r="C25" s="1">
        <v>311260914</v>
      </c>
      <c r="D25" s="3" t="s">
        <v>1784</v>
      </c>
      <c r="E25" s="1" t="s">
        <v>63</v>
      </c>
      <c r="F25" s="10" t="s">
        <v>1631</v>
      </c>
      <c r="G25" s="2">
        <v>34</v>
      </c>
      <c r="H25" s="8">
        <v>65</v>
      </c>
      <c r="I25" s="8">
        <v>80</v>
      </c>
      <c r="J25" s="8">
        <v>60</v>
      </c>
      <c r="K25" s="8">
        <v>70</v>
      </c>
      <c r="L25" s="8">
        <v>55</v>
      </c>
      <c r="M25" s="8">
        <v>40</v>
      </c>
      <c r="N25" s="8">
        <v>20</v>
      </c>
      <c r="O25" s="1">
        <f t="shared" si="0"/>
        <v>325</v>
      </c>
      <c r="P25" s="14">
        <f t="shared" si="1"/>
        <v>46.428571428571431</v>
      </c>
      <c r="Q25" s="20">
        <f t="shared" si="2"/>
        <v>19</v>
      </c>
    </row>
    <row r="26" spans="1:17" ht="18" customHeight="1">
      <c r="A26" s="19">
        <v>20</v>
      </c>
      <c r="B26" s="2" t="s">
        <v>1731</v>
      </c>
      <c r="C26" s="1" t="s">
        <v>1732</v>
      </c>
      <c r="D26" s="3" t="s">
        <v>1733</v>
      </c>
      <c r="E26" s="1" t="s">
        <v>82</v>
      </c>
      <c r="F26" s="10" t="s">
        <v>1631</v>
      </c>
      <c r="G26" s="2">
        <v>33</v>
      </c>
      <c r="H26" s="8">
        <v>80</v>
      </c>
      <c r="I26" s="8">
        <v>68</v>
      </c>
      <c r="J26" s="8">
        <v>55</v>
      </c>
      <c r="K26" s="8">
        <v>65</v>
      </c>
      <c r="L26" s="8">
        <v>40</v>
      </c>
      <c r="M26" s="8">
        <v>65</v>
      </c>
      <c r="N26" s="8">
        <v>30</v>
      </c>
      <c r="O26" s="1">
        <f t="shared" si="0"/>
        <v>323</v>
      </c>
      <c r="P26" s="14">
        <f t="shared" si="1"/>
        <v>46.142857142857146</v>
      </c>
      <c r="Q26" s="20">
        <f t="shared" si="2"/>
        <v>20</v>
      </c>
    </row>
    <row r="27" spans="1:17" ht="18" customHeight="1">
      <c r="A27" s="19">
        <v>21</v>
      </c>
      <c r="B27" s="2" t="s">
        <v>1743</v>
      </c>
      <c r="C27" s="1" t="s">
        <v>1744</v>
      </c>
      <c r="D27" s="3" t="s">
        <v>1745</v>
      </c>
      <c r="E27" s="1" t="s">
        <v>353</v>
      </c>
      <c r="F27" s="10" t="s">
        <v>1631</v>
      </c>
      <c r="G27" s="2">
        <v>33</v>
      </c>
      <c r="H27" s="8">
        <v>55</v>
      </c>
      <c r="I27" s="8">
        <v>75</v>
      </c>
      <c r="J27" s="8">
        <v>25</v>
      </c>
      <c r="K27" s="8">
        <v>65</v>
      </c>
      <c r="L27" s="8">
        <v>40</v>
      </c>
      <c r="M27" s="8">
        <v>40</v>
      </c>
      <c r="N27" s="8">
        <v>65</v>
      </c>
      <c r="O27" s="1">
        <f t="shared" si="0"/>
        <v>310</v>
      </c>
      <c r="P27" s="14">
        <f t="shared" si="1"/>
        <v>44.285714285714285</v>
      </c>
      <c r="Q27" s="20">
        <f t="shared" si="2"/>
        <v>21</v>
      </c>
    </row>
    <row r="28" spans="1:17" ht="18" customHeight="1">
      <c r="A28" s="19">
        <v>22</v>
      </c>
      <c r="B28" s="2" t="s">
        <v>1676</v>
      </c>
      <c r="C28" s="1" t="s">
        <v>1677</v>
      </c>
      <c r="D28" s="3" t="s">
        <v>1678</v>
      </c>
      <c r="E28" s="1" t="s">
        <v>58</v>
      </c>
      <c r="F28" s="10" t="s">
        <v>1631</v>
      </c>
      <c r="G28" s="2">
        <v>32</v>
      </c>
      <c r="H28" s="8">
        <v>55</v>
      </c>
      <c r="I28" s="8">
        <v>63</v>
      </c>
      <c r="J28" s="8">
        <v>25</v>
      </c>
      <c r="K28" s="8">
        <v>65</v>
      </c>
      <c r="L28" s="8">
        <v>60</v>
      </c>
      <c r="M28" s="8">
        <v>40</v>
      </c>
      <c r="N28" s="8">
        <v>55</v>
      </c>
      <c r="O28" s="1">
        <f t="shared" si="0"/>
        <v>308</v>
      </c>
      <c r="P28" s="14">
        <f t="shared" si="1"/>
        <v>44</v>
      </c>
      <c r="Q28" s="20">
        <f t="shared" si="2"/>
        <v>22</v>
      </c>
    </row>
    <row r="29" spans="1:17" ht="18" customHeight="1">
      <c r="A29" s="19">
        <v>23</v>
      </c>
      <c r="B29" s="2" t="s">
        <v>1757</v>
      </c>
      <c r="C29" s="1">
        <v>311260300</v>
      </c>
      <c r="D29" s="3" t="s">
        <v>1758</v>
      </c>
      <c r="E29" s="1" t="s">
        <v>78</v>
      </c>
      <c r="F29" s="10" t="s">
        <v>1631</v>
      </c>
      <c r="G29" s="2">
        <v>34</v>
      </c>
      <c r="H29" s="8">
        <v>35</v>
      </c>
      <c r="I29" s="8">
        <v>68</v>
      </c>
      <c r="J29" s="8">
        <v>20</v>
      </c>
      <c r="K29" s="8">
        <v>60</v>
      </c>
      <c r="L29" s="8">
        <v>55</v>
      </c>
      <c r="M29" s="8">
        <v>30</v>
      </c>
      <c r="N29" s="8">
        <v>75</v>
      </c>
      <c r="O29" s="1">
        <f t="shared" si="0"/>
        <v>308</v>
      </c>
      <c r="P29" s="14">
        <f t="shared" si="1"/>
        <v>44</v>
      </c>
      <c r="Q29" s="20">
        <f t="shared" si="2"/>
        <v>22</v>
      </c>
    </row>
    <row r="30" spans="1:17" ht="18" customHeight="1">
      <c r="A30" s="19">
        <v>24</v>
      </c>
      <c r="B30" s="2" t="s">
        <v>1734</v>
      </c>
      <c r="C30" s="1" t="s">
        <v>1735</v>
      </c>
      <c r="D30" s="3" t="s">
        <v>1736</v>
      </c>
      <c r="E30" s="1" t="s">
        <v>66</v>
      </c>
      <c r="F30" s="10" t="s">
        <v>1631</v>
      </c>
      <c r="G30" s="2">
        <v>33</v>
      </c>
      <c r="H30" s="8">
        <v>50</v>
      </c>
      <c r="I30" s="8">
        <v>58</v>
      </c>
      <c r="J30" s="8">
        <v>80</v>
      </c>
      <c r="K30" s="8">
        <v>50</v>
      </c>
      <c r="L30" s="8">
        <v>50</v>
      </c>
      <c r="M30" s="8">
        <v>30</v>
      </c>
      <c r="N30" s="8">
        <v>40</v>
      </c>
      <c r="O30" s="1">
        <f t="shared" si="0"/>
        <v>308</v>
      </c>
      <c r="P30" s="14">
        <f t="shared" si="1"/>
        <v>44</v>
      </c>
      <c r="Q30" s="20">
        <f t="shared" si="2"/>
        <v>22</v>
      </c>
    </row>
    <row r="31" spans="1:17" ht="18" customHeight="1">
      <c r="A31" s="19">
        <v>25</v>
      </c>
      <c r="B31" s="2" t="s">
        <v>1685</v>
      </c>
      <c r="C31" s="1" t="s">
        <v>1686</v>
      </c>
      <c r="D31" s="3" t="s">
        <v>1687</v>
      </c>
      <c r="E31" s="1" t="s">
        <v>59</v>
      </c>
      <c r="F31" s="10" t="s">
        <v>1631</v>
      </c>
      <c r="G31" s="2">
        <v>32</v>
      </c>
      <c r="H31" s="8">
        <v>60</v>
      </c>
      <c r="I31" s="8">
        <v>65</v>
      </c>
      <c r="J31" s="8">
        <v>25</v>
      </c>
      <c r="K31" s="8">
        <v>60</v>
      </c>
      <c r="L31" s="8">
        <v>45</v>
      </c>
      <c r="M31" s="8">
        <v>70</v>
      </c>
      <c r="N31" s="8">
        <v>40</v>
      </c>
      <c r="O31" s="1">
        <f t="shared" si="0"/>
        <v>305</v>
      </c>
      <c r="P31" s="14">
        <f t="shared" si="1"/>
        <v>43.571428571428569</v>
      </c>
      <c r="Q31" s="20">
        <f t="shared" si="2"/>
        <v>25</v>
      </c>
    </row>
    <row r="32" spans="1:17" ht="18" customHeight="1">
      <c r="A32" s="19">
        <v>26</v>
      </c>
      <c r="B32" s="2" t="s">
        <v>1673</v>
      </c>
      <c r="C32" s="1" t="s">
        <v>1674</v>
      </c>
      <c r="D32" s="3" t="s">
        <v>1675</v>
      </c>
      <c r="E32" s="1" t="s">
        <v>72</v>
      </c>
      <c r="F32" s="10" t="s">
        <v>1631</v>
      </c>
      <c r="G32" s="2">
        <v>32</v>
      </c>
      <c r="H32" s="8">
        <v>80</v>
      </c>
      <c r="I32" s="8">
        <v>63</v>
      </c>
      <c r="J32" s="8">
        <v>25</v>
      </c>
      <c r="K32" s="8">
        <v>50</v>
      </c>
      <c r="L32" s="8">
        <v>40</v>
      </c>
      <c r="M32" s="8">
        <v>55</v>
      </c>
      <c r="N32" s="8">
        <v>70</v>
      </c>
      <c r="O32" s="1">
        <f t="shared" si="0"/>
        <v>303</v>
      </c>
      <c r="P32" s="14">
        <f t="shared" si="1"/>
        <v>43.285714285714285</v>
      </c>
      <c r="Q32" s="20">
        <f t="shared" si="2"/>
        <v>26</v>
      </c>
    </row>
    <row r="33" spans="1:17" ht="18" customHeight="1">
      <c r="A33" s="19">
        <v>27</v>
      </c>
      <c r="B33" s="2" t="s">
        <v>1728</v>
      </c>
      <c r="C33" s="1" t="s">
        <v>1729</v>
      </c>
      <c r="D33" s="3" t="s">
        <v>1730</v>
      </c>
      <c r="E33" s="1" t="s">
        <v>65</v>
      </c>
      <c r="F33" s="10" t="s">
        <v>1631</v>
      </c>
      <c r="G33" s="2">
        <v>33</v>
      </c>
      <c r="H33" s="8">
        <v>60</v>
      </c>
      <c r="I33" s="8">
        <v>63</v>
      </c>
      <c r="J33" s="8">
        <v>15</v>
      </c>
      <c r="K33" s="8">
        <v>75</v>
      </c>
      <c r="L33" s="8">
        <v>55</v>
      </c>
      <c r="M33" s="8">
        <v>70</v>
      </c>
      <c r="N33" s="8">
        <v>20</v>
      </c>
      <c r="O33" s="1">
        <f t="shared" si="0"/>
        <v>298</v>
      </c>
      <c r="P33" s="14">
        <f t="shared" si="1"/>
        <v>42.571428571428569</v>
      </c>
      <c r="Q33" s="20">
        <f t="shared" si="2"/>
        <v>27</v>
      </c>
    </row>
    <row r="34" spans="1:17" ht="18" customHeight="1">
      <c r="A34" s="19">
        <v>28</v>
      </c>
      <c r="B34" s="2" t="s">
        <v>1632</v>
      </c>
      <c r="C34" s="1" t="s">
        <v>1633</v>
      </c>
      <c r="D34" s="3" t="s">
        <v>1634</v>
      </c>
      <c r="E34" s="1" t="s">
        <v>69</v>
      </c>
      <c r="F34" s="10" t="s">
        <v>1631</v>
      </c>
      <c r="G34" s="2">
        <v>32</v>
      </c>
      <c r="H34" s="8">
        <v>60</v>
      </c>
      <c r="I34" s="8">
        <v>78</v>
      </c>
      <c r="J34" s="8">
        <v>35</v>
      </c>
      <c r="K34" s="8">
        <v>60</v>
      </c>
      <c r="L34" s="8">
        <v>35</v>
      </c>
      <c r="M34" s="8">
        <v>37</v>
      </c>
      <c r="N34" s="8">
        <v>50</v>
      </c>
      <c r="O34" s="1">
        <f t="shared" si="0"/>
        <v>295</v>
      </c>
      <c r="P34" s="14">
        <f t="shared" si="1"/>
        <v>42.142857142857146</v>
      </c>
      <c r="Q34" s="20">
        <f t="shared" si="2"/>
        <v>28</v>
      </c>
    </row>
    <row r="35" spans="1:17" ht="18" customHeight="1">
      <c r="A35" s="19">
        <v>29</v>
      </c>
      <c r="B35" s="2" t="s">
        <v>1644</v>
      </c>
      <c r="C35" s="1" t="s">
        <v>1645</v>
      </c>
      <c r="D35" s="3" t="s">
        <v>1646</v>
      </c>
      <c r="E35" s="1" t="s">
        <v>69</v>
      </c>
      <c r="F35" s="10" t="s">
        <v>1631</v>
      </c>
      <c r="G35" s="2">
        <v>32</v>
      </c>
      <c r="H35" s="8">
        <v>50</v>
      </c>
      <c r="I35" s="8">
        <v>68</v>
      </c>
      <c r="J35" s="8">
        <v>25</v>
      </c>
      <c r="K35" s="8">
        <v>70</v>
      </c>
      <c r="L35" s="8">
        <v>35</v>
      </c>
      <c r="M35" s="8">
        <v>55</v>
      </c>
      <c r="N35" s="8">
        <v>40</v>
      </c>
      <c r="O35" s="1">
        <f t="shared" si="0"/>
        <v>293</v>
      </c>
      <c r="P35" s="14">
        <f t="shared" si="1"/>
        <v>41.857142857142854</v>
      </c>
      <c r="Q35" s="20">
        <f t="shared" si="2"/>
        <v>29</v>
      </c>
    </row>
    <row r="36" spans="1:17" ht="18" customHeight="1">
      <c r="A36" s="19">
        <v>30</v>
      </c>
      <c r="B36" s="2" t="s">
        <v>1773</v>
      </c>
      <c r="C36" s="1">
        <v>311260909</v>
      </c>
      <c r="D36" s="3" t="s">
        <v>1774</v>
      </c>
      <c r="E36" s="1" t="s">
        <v>55</v>
      </c>
      <c r="F36" s="10" t="s">
        <v>1631</v>
      </c>
      <c r="G36" s="2">
        <v>34</v>
      </c>
      <c r="H36" s="8">
        <v>65</v>
      </c>
      <c r="I36" s="8">
        <v>45</v>
      </c>
      <c r="J36" s="8">
        <v>55</v>
      </c>
      <c r="K36" s="8">
        <v>90</v>
      </c>
      <c r="L36" s="8">
        <v>35</v>
      </c>
      <c r="M36" s="8">
        <v>60</v>
      </c>
      <c r="N36" s="8">
        <v>0</v>
      </c>
      <c r="O36" s="1">
        <f t="shared" si="0"/>
        <v>285</v>
      </c>
      <c r="P36" s="14">
        <f t="shared" si="1"/>
        <v>40.714285714285715</v>
      </c>
      <c r="Q36" s="20">
        <f t="shared" si="2"/>
        <v>30</v>
      </c>
    </row>
    <row r="37" spans="1:17" ht="18" customHeight="1">
      <c r="A37" s="19">
        <v>31</v>
      </c>
      <c r="B37" s="2" t="s">
        <v>1694</v>
      </c>
      <c r="C37" s="1" t="s">
        <v>1695</v>
      </c>
      <c r="D37" s="3" t="s">
        <v>1696</v>
      </c>
      <c r="E37" s="1" t="s">
        <v>61</v>
      </c>
      <c r="F37" s="10" t="s">
        <v>1631</v>
      </c>
      <c r="G37" s="2">
        <v>33</v>
      </c>
      <c r="H37" s="8">
        <v>50</v>
      </c>
      <c r="I37" s="8">
        <v>70</v>
      </c>
      <c r="J37" s="8">
        <v>40</v>
      </c>
      <c r="K37" s="8">
        <v>45</v>
      </c>
      <c r="L37" s="8">
        <v>40</v>
      </c>
      <c r="M37" s="8">
        <v>25</v>
      </c>
      <c r="N37" s="8">
        <v>65</v>
      </c>
      <c r="O37" s="1">
        <f t="shared" si="0"/>
        <v>285</v>
      </c>
      <c r="P37" s="14">
        <f t="shared" si="1"/>
        <v>40.714285714285715</v>
      </c>
      <c r="Q37" s="20">
        <f t="shared" si="2"/>
        <v>30</v>
      </c>
    </row>
    <row r="38" spans="1:17" ht="18" customHeight="1">
      <c r="A38" s="19">
        <v>32</v>
      </c>
      <c r="B38" s="2" t="s">
        <v>1779</v>
      </c>
      <c r="C38" s="1">
        <v>311260912</v>
      </c>
      <c r="D38" s="3" t="s">
        <v>1780</v>
      </c>
      <c r="E38" s="1" t="s">
        <v>81</v>
      </c>
      <c r="F38" s="10" t="s">
        <v>1631</v>
      </c>
      <c r="G38" s="2">
        <v>34</v>
      </c>
      <c r="H38" s="8">
        <v>65</v>
      </c>
      <c r="I38" s="8">
        <v>48</v>
      </c>
      <c r="J38" s="8">
        <v>45</v>
      </c>
      <c r="K38" s="8">
        <v>50</v>
      </c>
      <c r="L38" s="8">
        <v>55</v>
      </c>
      <c r="M38" s="8">
        <v>55</v>
      </c>
      <c r="N38" s="8">
        <v>30</v>
      </c>
      <c r="O38" s="1">
        <f t="shared" si="0"/>
        <v>283</v>
      </c>
      <c r="P38" s="14">
        <f t="shared" si="1"/>
        <v>40.428571428571431</v>
      </c>
      <c r="Q38" s="20">
        <f t="shared" si="2"/>
        <v>32</v>
      </c>
    </row>
    <row r="39" spans="1:17" ht="18" customHeight="1">
      <c r="A39" s="19">
        <v>33</v>
      </c>
      <c r="B39" s="2" t="s">
        <v>1628</v>
      </c>
      <c r="C39" s="1" t="s">
        <v>1629</v>
      </c>
      <c r="D39" s="3" t="s">
        <v>1630</v>
      </c>
      <c r="E39" s="1" t="s">
        <v>69</v>
      </c>
      <c r="F39" s="10" t="s">
        <v>1631</v>
      </c>
      <c r="G39" s="2">
        <v>32</v>
      </c>
      <c r="H39" s="8">
        <v>45</v>
      </c>
      <c r="I39" s="8">
        <v>63</v>
      </c>
      <c r="J39" s="8">
        <v>25</v>
      </c>
      <c r="K39" s="8">
        <v>60</v>
      </c>
      <c r="L39" s="8">
        <v>25</v>
      </c>
      <c r="M39" s="8">
        <v>50</v>
      </c>
      <c r="N39" s="8">
        <v>55</v>
      </c>
      <c r="O39" s="1">
        <f t="shared" ref="O39:O66" si="3">SUBTOTAL(9,I39:N39)</f>
        <v>278</v>
      </c>
      <c r="P39" s="14">
        <f t="shared" ref="P39:P66" si="4">O39/7</f>
        <v>39.714285714285715</v>
      </c>
      <c r="Q39" s="20">
        <f t="shared" ref="Q39:Q66" si="5">RANK(P39,P$7:P$311,0)</f>
        <v>33</v>
      </c>
    </row>
    <row r="40" spans="1:17" ht="18" customHeight="1">
      <c r="A40" s="19">
        <v>34</v>
      </c>
      <c r="B40" s="2" t="s">
        <v>1771</v>
      </c>
      <c r="C40" s="1">
        <v>311260427</v>
      </c>
      <c r="D40" s="3" t="s">
        <v>1772</v>
      </c>
      <c r="E40" s="1" t="s">
        <v>65</v>
      </c>
      <c r="F40" s="10" t="s">
        <v>1631</v>
      </c>
      <c r="G40" s="2">
        <v>34</v>
      </c>
      <c r="H40" s="8">
        <v>50</v>
      </c>
      <c r="I40" s="8">
        <v>48</v>
      </c>
      <c r="J40" s="8">
        <v>20</v>
      </c>
      <c r="K40" s="8">
        <v>55</v>
      </c>
      <c r="L40" s="8">
        <v>45</v>
      </c>
      <c r="M40" s="8">
        <v>55</v>
      </c>
      <c r="N40" s="8">
        <v>50</v>
      </c>
      <c r="O40" s="1">
        <f t="shared" si="3"/>
        <v>273</v>
      </c>
      <c r="P40" s="14">
        <f t="shared" si="4"/>
        <v>39</v>
      </c>
      <c r="Q40" s="20">
        <f t="shared" si="5"/>
        <v>34</v>
      </c>
    </row>
    <row r="41" spans="1:17" ht="18" customHeight="1">
      <c r="A41" s="19">
        <v>35</v>
      </c>
      <c r="B41" s="2" t="s">
        <v>1635</v>
      </c>
      <c r="C41" s="1" t="s">
        <v>1636</v>
      </c>
      <c r="D41" s="3" t="s">
        <v>1637</v>
      </c>
      <c r="E41" s="1" t="s">
        <v>69</v>
      </c>
      <c r="F41" s="10" t="s">
        <v>1631</v>
      </c>
      <c r="G41" s="2">
        <v>32</v>
      </c>
      <c r="H41" s="8">
        <v>65</v>
      </c>
      <c r="I41" s="8">
        <v>60</v>
      </c>
      <c r="J41" s="8">
        <v>40</v>
      </c>
      <c r="K41" s="8">
        <v>50</v>
      </c>
      <c r="L41" s="8">
        <v>50</v>
      </c>
      <c r="M41" s="8">
        <v>50</v>
      </c>
      <c r="N41" s="8">
        <v>10</v>
      </c>
      <c r="O41" s="1">
        <f t="shared" si="3"/>
        <v>260</v>
      </c>
      <c r="P41" s="14">
        <f t="shared" si="4"/>
        <v>37.142857142857146</v>
      </c>
      <c r="Q41" s="20">
        <f t="shared" si="5"/>
        <v>35</v>
      </c>
    </row>
    <row r="42" spans="1:17" ht="18" customHeight="1">
      <c r="A42" s="19">
        <v>36</v>
      </c>
      <c r="B42" s="2" t="s">
        <v>1679</v>
      </c>
      <c r="C42" s="1" t="s">
        <v>1680</v>
      </c>
      <c r="D42" s="3" t="s">
        <v>1681</v>
      </c>
      <c r="E42" s="1" t="s">
        <v>58</v>
      </c>
      <c r="F42" s="10" t="s">
        <v>1631</v>
      </c>
      <c r="G42" s="2">
        <v>32</v>
      </c>
      <c r="H42" s="8">
        <v>70</v>
      </c>
      <c r="I42" s="8">
        <v>65</v>
      </c>
      <c r="J42" s="8">
        <v>20</v>
      </c>
      <c r="K42" s="8">
        <v>45</v>
      </c>
      <c r="L42" s="8">
        <v>15</v>
      </c>
      <c r="M42" s="8">
        <v>50</v>
      </c>
      <c r="N42" s="8">
        <v>60</v>
      </c>
      <c r="O42" s="1">
        <f t="shared" si="3"/>
        <v>255</v>
      </c>
      <c r="P42" s="14">
        <f t="shared" si="4"/>
        <v>36.428571428571431</v>
      </c>
      <c r="Q42" s="20">
        <f t="shared" si="5"/>
        <v>36</v>
      </c>
    </row>
    <row r="43" spans="1:17" ht="18" customHeight="1">
      <c r="A43" s="19">
        <v>37</v>
      </c>
      <c r="B43" s="2" t="s">
        <v>1661</v>
      </c>
      <c r="C43" s="1" t="s">
        <v>1662</v>
      </c>
      <c r="D43" s="3" t="s">
        <v>1663</v>
      </c>
      <c r="E43" s="1" t="s">
        <v>56</v>
      </c>
      <c r="F43" s="10" t="s">
        <v>1631</v>
      </c>
      <c r="G43" s="2">
        <v>32</v>
      </c>
      <c r="H43" s="8">
        <v>60</v>
      </c>
      <c r="I43" s="8">
        <v>58</v>
      </c>
      <c r="J43" s="8">
        <v>25</v>
      </c>
      <c r="K43" s="8">
        <v>25</v>
      </c>
      <c r="L43" s="8">
        <v>50</v>
      </c>
      <c r="M43" s="8">
        <v>50</v>
      </c>
      <c r="N43" s="8">
        <v>45</v>
      </c>
      <c r="O43" s="1">
        <f t="shared" si="3"/>
        <v>253</v>
      </c>
      <c r="P43" s="14">
        <f t="shared" si="4"/>
        <v>36.142857142857146</v>
      </c>
      <c r="Q43" s="20">
        <f t="shared" si="5"/>
        <v>37</v>
      </c>
    </row>
    <row r="44" spans="1:17" ht="18" customHeight="1">
      <c r="A44" s="19">
        <v>38</v>
      </c>
      <c r="B44" s="2" t="s">
        <v>1653</v>
      </c>
      <c r="C44" s="1" t="s">
        <v>1654</v>
      </c>
      <c r="D44" s="3" t="s">
        <v>579</v>
      </c>
      <c r="E44" s="1" t="s">
        <v>79</v>
      </c>
      <c r="F44" s="10" t="s">
        <v>1631</v>
      </c>
      <c r="G44" s="2">
        <v>32</v>
      </c>
      <c r="H44" s="8">
        <v>75</v>
      </c>
      <c r="I44" s="8">
        <v>35</v>
      </c>
      <c r="J44" s="8">
        <v>35</v>
      </c>
      <c r="K44" s="8">
        <v>55</v>
      </c>
      <c r="L44" s="8">
        <v>80</v>
      </c>
      <c r="M44" s="8">
        <v>15</v>
      </c>
      <c r="N44" s="8">
        <v>30</v>
      </c>
      <c r="O44" s="1">
        <f t="shared" si="3"/>
        <v>250</v>
      </c>
      <c r="P44" s="14">
        <f t="shared" si="4"/>
        <v>35.714285714285715</v>
      </c>
      <c r="Q44" s="20">
        <f t="shared" si="5"/>
        <v>38</v>
      </c>
    </row>
    <row r="45" spans="1:17" ht="18" customHeight="1">
      <c r="A45" s="19">
        <v>39</v>
      </c>
      <c r="B45" s="2" t="s">
        <v>1761</v>
      </c>
      <c r="C45" s="1">
        <v>311260422</v>
      </c>
      <c r="D45" s="3" t="s">
        <v>1762</v>
      </c>
      <c r="E45" s="1" t="s">
        <v>64</v>
      </c>
      <c r="F45" s="10" t="s">
        <v>1631</v>
      </c>
      <c r="G45" s="2">
        <v>34</v>
      </c>
      <c r="H45" s="8">
        <v>40</v>
      </c>
      <c r="I45" s="8">
        <v>68</v>
      </c>
      <c r="J45" s="8">
        <v>45</v>
      </c>
      <c r="K45" s="8">
        <v>50</v>
      </c>
      <c r="L45" s="8">
        <v>25</v>
      </c>
      <c r="M45" s="8">
        <v>45</v>
      </c>
      <c r="N45" s="8">
        <v>10</v>
      </c>
      <c r="O45" s="1">
        <f t="shared" si="3"/>
        <v>243</v>
      </c>
      <c r="P45" s="14">
        <f t="shared" si="4"/>
        <v>34.714285714285715</v>
      </c>
      <c r="Q45" s="20">
        <f t="shared" si="5"/>
        <v>39</v>
      </c>
    </row>
    <row r="46" spans="1:17" ht="18" customHeight="1">
      <c r="A46" s="19">
        <v>40</v>
      </c>
      <c r="B46" s="2" t="s">
        <v>1753</v>
      </c>
      <c r="C46" s="1">
        <v>311260298</v>
      </c>
      <c r="D46" s="3" t="s">
        <v>1754</v>
      </c>
      <c r="E46" s="1" t="s">
        <v>78</v>
      </c>
      <c r="F46" s="10" t="s">
        <v>1631</v>
      </c>
      <c r="G46" s="2">
        <v>33</v>
      </c>
      <c r="H46" s="8">
        <v>60</v>
      </c>
      <c r="I46" s="8">
        <v>60</v>
      </c>
      <c r="J46" s="8">
        <v>40</v>
      </c>
      <c r="K46" s="8">
        <v>30</v>
      </c>
      <c r="L46" s="8">
        <v>40</v>
      </c>
      <c r="M46" s="8">
        <v>45</v>
      </c>
      <c r="N46" s="8">
        <v>25</v>
      </c>
      <c r="O46" s="1">
        <f t="shared" si="3"/>
        <v>240</v>
      </c>
      <c r="P46" s="14">
        <f t="shared" si="4"/>
        <v>34.285714285714285</v>
      </c>
      <c r="Q46" s="20">
        <f t="shared" si="5"/>
        <v>40</v>
      </c>
    </row>
    <row r="47" spans="1:17" ht="18" customHeight="1">
      <c r="A47" s="19">
        <v>41</v>
      </c>
      <c r="B47" s="2" t="s">
        <v>1737</v>
      </c>
      <c r="C47" s="1" t="s">
        <v>1738</v>
      </c>
      <c r="D47" s="3" t="s">
        <v>1739</v>
      </c>
      <c r="E47" s="1" t="s">
        <v>66</v>
      </c>
      <c r="F47" s="10" t="s">
        <v>1631</v>
      </c>
      <c r="G47" s="2">
        <v>33</v>
      </c>
      <c r="H47" s="8">
        <v>60</v>
      </c>
      <c r="I47" s="8">
        <v>58</v>
      </c>
      <c r="J47" s="8">
        <v>20</v>
      </c>
      <c r="K47" s="8">
        <v>80</v>
      </c>
      <c r="L47" s="8">
        <v>45</v>
      </c>
      <c r="M47" s="8">
        <v>30</v>
      </c>
      <c r="N47" s="8">
        <v>5</v>
      </c>
      <c r="O47" s="1">
        <f t="shared" si="3"/>
        <v>238</v>
      </c>
      <c r="P47" s="14">
        <f t="shared" si="4"/>
        <v>34</v>
      </c>
      <c r="Q47" s="20">
        <f t="shared" si="5"/>
        <v>41</v>
      </c>
    </row>
    <row r="48" spans="1:17" ht="18" customHeight="1">
      <c r="A48" s="19">
        <v>42</v>
      </c>
      <c r="B48" s="2" t="s">
        <v>1722</v>
      </c>
      <c r="C48" s="1" t="s">
        <v>1723</v>
      </c>
      <c r="D48" s="3" t="s">
        <v>1724</v>
      </c>
      <c r="E48" s="1" t="s">
        <v>65</v>
      </c>
      <c r="F48" s="10" t="s">
        <v>1631</v>
      </c>
      <c r="G48" s="2">
        <v>33</v>
      </c>
      <c r="H48" s="8">
        <v>65</v>
      </c>
      <c r="I48" s="8">
        <v>65</v>
      </c>
      <c r="J48" s="8">
        <v>25</v>
      </c>
      <c r="K48" s="8">
        <v>50</v>
      </c>
      <c r="L48" s="8">
        <v>45</v>
      </c>
      <c r="M48" s="8">
        <v>40</v>
      </c>
      <c r="N48" s="8">
        <v>10</v>
      </c>
      <c r="O48" s="1">
        <f t="shared" si="3"/>
        <v>235</v>
      </c>
      <c r="P48" s="14">
        <f t="shared" si="4"/>
        <v>33.571428571428569</v>
      </c>
      <c r="Q48" s="20">
        <f t="shared" si="5"/>
        <v>42</v>
      </c>
    </row>
    <row r="49" spans="1:17" ht="18" customHeight="1">
      <c r="A49" s="19">
        <v>43</v>
      </c>
      <c r="B49" s="2" t="s">
        <v>1704</v>
      </c>
      <c r="C49" s="1" t="s">
        <v>1705</v>
      </c>
      <c r="D49" s="3" t="s">
        <v>1706</v>
      </c>
      <c r="E49" s="1" t="s">
        <v>84</v>
      </c>
      <c r="F49" s="10" t="s">
        <v>1631</v>
      </c>
      <c r="G49" s="2">
        <v>33</v>
      </c>
      <c r="H49" s="8">
        <v>50</v>
      </c>
      <c r="I49" s="8">
        <v>50</v>
      </c>
      <c r="J49" s="8">
        <v>35</v>
      </c>
      <c r="K49" s="8">
        <v>70</v>
      </c>
      <c r="L49" s="8">
        <v>30</v>
      </c>
      <c r="M49" s="8">
        <v>35</v>
      </c>
      <c r="N49" s="8">
        <v>10</v>
      </c>
      <c r="O49" s="1">
        <f t="shared" si="3"/>
        <v>230</v>
      </c>
      <c r="P49" s="14">
        <f t="shared" si="4"/>
        <v>32.857142857142854</v>
      </c>
      <c r="Q49" s="20">
        <f t="shared" si="5"/>
        <v>43</v>
      </c>
    </row>
    <row r="50" spans="1:17" ht="18" customHeight="1">
      <c r="A50" s="19">
        <v>44</v>
      </c>
      <c r="B50" s="2" t="s">
        <v>1655</v>
      </c>
      <c r="C50" s="1" t="s">
        <v>1656</v>
      </c>
      <c r="D50" s="3" t="s">
        <v>1657</v>
      </c>
      <c r="E50" s="1" t="s">
        <v>79</v>
      </c>
      <c r="F50" s="10" t="s">
        <v>1631</v>
      </c>
      <c r="G50" s="2">
        <v>32</v>
      </c>
      <c r="H50" s="8">
        <v>50</v>
      </c>
      <c r="I50" s="8">
        <v>30</v>
      </c>
      <c r="J50" s="8">
        <v>40</v>
      </c>
      <c r="K50" s="8">
        <v>35</v>
      </c>
      <c r="L50" s="8">
        <v>35</v>
      </c>
      <c r="M50" s="8">
        <v>30</v>
      </c>
      <c r="N50" s="8">
        <v>55</v>
      </c>
      <c r="O50" s="1">
        <f t="shared" si="3"/>
        <v>225</v>
      </c>
      <c r="P50" s="14">
        <f t="shared" si="4"/>
        <v>32.142857142857146</v>
      </c>
      <c r="Q50" s="20">
        <f t="shared" si="5"/>
        <v>44</v>
      </c>
    </row>
    <row r="51" spans="1:17" ht="18" customHeight="1">
      <c r="A51" s="19">
        <v>45</v>
      </c>
      <c r="B51" s="2" t="s">
        <v>1775</v>
      </c>
      <c r="C51" s="1">
        <v>311260910</v>
      </c>
      <c r="D51" s="3" t="s">
        <v>1776</v>
      </c>
      <c r="E51" s="1" t="s">
        <v>79</v>
      </c>
      <c r="F51" s="10" t="s">
        <v>1631</v>
      </c>
      <c r="G51" s="2">
        <v>34</v>
      </c>
      <c r="H51" s="8">
        <v>75</v>
      </c>
      <c r="I51" s="8">
        <v>58</v>
      </c>
      <c r="J51" s="8">
        <v>20</v>
      </c>
      <c r="K51" s="8">
        <v>45</v>
      </c>
      <c r="L51" s="8">
        <v>35</v>
      </c>
      <c r="M51" s="8">
        <v>55</v>
      </c>
      <c r="N51" s="8">
        <v>10</v>
      </c>
      <c r="O51" s="1">
        <f t="shared" si="3"/>
        <v>223</v>
      </c>
      <c r="P51" s="14">
        <f t="shared" si="4"/>
        <v>31.857142857142858</v>
      </c>
      <c r="Q51" s="20">
        <f t="shared" si="5"/>
        <v>45</v>
      </c>
    </row>
    <row r="52" spans="1:17" ht="18" customHeight="1">
      <c r="A52" s="19">
        <v>46</v>
      </c>
      <c r="B52" s="2" t="s">
        <v>1759</v>
      </c>
      <c r="C52" s="1">
        <v>311260301</v>
      </c>
      <c r="D52" s="3" t="s">
        <v>1760</v>
      </c>
      <c r="E52" s="1" t="s">
        <v>78</v>
      </c>
      <c r="F52" s="10" t="s">
        <v>1631</v>
      </c>
      <c r="G52" s="2">
        <v>34</v>
      </c>
      <c r="H52" s="8">
        <v>40</v>
      </c>
      <c r="I52" s="8">
        <v>58</v>
      </c>
      <c r="J52" s="8">
        <v>30</v>
      </c>
      <c r="K52" s="8">
        <v>65</v>
      </c>
      <c r="L52" s="8">
        <v>15</v>
      </c>
      <c r="M52" s="8">
        <v>35</v>
      </c>
      <c r="N52" s="8">
        <v>20</v>
      </c>
      <c r="O52" s="1">
        <f t="shared" si="3"/>
        <v>223</v>
      </c>
      <c r="P52" s="14">
        <f t="shared" si="4"/>
        <v>31.857142857142858</v>
      </c>
      <c r="Q52" s="20">
        <f t="shared" si="5"/>
        <v>45</v>
      </c>
    </row>
    <row r="53" spans="1:17" ht="18" customHeight="1">
      <c r="A53" s="19">
        <v>47</v>
      </c>
      <c r="B53" s="2" t="s">
        <v>1658</v>
      </c>
      <c r="C53" s="1" t="s">
        <v>1659</v>
      </c>
      <c r="D53" s="3" t="s">
        <v>1660</v>
      </c>
      <c r="E53" s="1" t="s">
        <v>70</v>
      </c>
      <c r="F53" s="10" t="s">
        <v>1631</v>
      </c>
      <c r="G53" s="2">
        <v>32</v>
      </c>
      <c r="H53" s="8">
        <v>40</v>
      </c>
      <c r="I53" s="8">
        <v>50</v>
      </c>
      <c r="J53" s="8">
        <v>35</v>
      </c>
      <c r="K53" s="8">
        <v>55</v>
      </c>
      <c r="L53" s="8">
        <v>50</v>
      </c>
      <c r="M53" s="8">
        <v>20</v>
      </c>
      <c r="N53" s="8">
        <v>10</v>
      </c>
      <c r="O53" s="1">
        <f t="shared" si="3"/>
        <v>220</v>
      </c>
      <c r="P53" s="14">
        <f t="shared" si="4"/>
        <v>31.428571428571427</v>
      </c>
      <c r="Q53" s="20">
        <f t="shared" si="5"/>
        <v>47</v>
      </c>
    </row>
    <row r="54" spans="1:17" ht="18" customHeight="1">
      <c r="A54" s="19">
        <v>48</v>
      </c>
      <c r="B54" s="2" t="s">
        <v>1697</v>
      </c>
      <c r="C54" s="1" t="s">
        <v>1698</v>
      </c>
      <c r="D54" s="3" t="s">
        <v>1699</v>
      </c>
      <c r="E54" s="1" t="s">
        <v>61</v>
      </c>
      <c r="F54" s="10" t="s">
        <v>1631</v>
      </c>
      <c r="G54" s="2">
        <v>33</v>
      </c>
      <c r="H54" s="8">
        <v>50</v>
      </c>
      <c r="I54" s="8">
        <v>35</v>
      </c>
      <c r="J54" s="8">
        <v>40</v>
      </c>
      <c r="K54" s="8">
        <v>70</v>
      </c>
      <c r="L54" s="8">
        <v>45</v>
      </c>
      <c r="M54" s="8">
        <v>30</v>
      </c>
      <c r="N54" s="8">
        <v>0</v>
      </c>
      <c r="O54" s="1">
        <f t="shared" si="3"/>
        <v>220</v>
      </c>
      <c r="P54" s="14">
        <f t="shared" si="4"/>
        <v>31.428571428571427</v>
      </c>
      <c r="Q54" s="20">
        <f t="shared" si="5"/>
        <v>47</v>
      </c>
    </row>
    <row r="55" spans="1:17" ht="18" customHeight="1">
      <c r="A55" s="19">
        <v>49</v>
      </c>
      <c r="B55" s="2" t="s">
        <v>1751</v>
      </c>
      <c r="C55" s="1">
        <v>311260297</v>
      </c>
      <c r="D55" s="3" t="s">
        <v>1752</v>
      </c>
      <c r="E55" s="1" t="s">
        <v>78</v>
      </c>
      <c r="F55" s="10" t="s">
        <v>1631</v>
      </c>
      <c r="G55" s="2">
        <v>33</v>
      </c>
      <c r="H55" s="8">
        <v>50</v>
      </c>
      <c r="I55" s="8">
        <v>50</v>
      </c>
      <c r="J55" s="8">
        <v>45</v>
      </c>
      <c r="K55" s="8">
        <v>50</v>
      </c>
      <c r="L55" s="8">
        <v>45</v>
      </c>
      <c r="M55" s="8">
        <v>25</v>
      </c>
      <c r="N55" s="8">
        <v>0</v>
      </c>
      <c r="O55" s="1">
        <f t="shared" si="3"/>
        <v>215</v>
      </c>
      <c r="P55" s="14">
        <f t="shared" si="4"/>
        <v>30.714285714285715</v>
      </c>
      <c r="Q55" s="20">
        <f t="shared" si="5"/>
        <v>49</v>
      </c>
    </row>
    <row r="56" spans="1:17" ht="18" customHeight="1">
      <c r="A56" s="19">
        <v>50</v>
      </c>
      <c r="B56" s="2" t="s">
        <v>1725</v>
      </c>
      <c r="C56" s="1" t="s">
        <v>1726</v>
      </c>
      <c r="D56" s="3" t="s">
        <v>1727</v>
      </c>
      <c r="E56" s="1" t="s">
        <v>65</v>
      </c>
      <c r="F56" s="10" t="s">
        <v>1631</v>
      </c>
      <c r="G56" s="2">
        <v>33</v>
      </c>
      <c r="H56" s="8">
        <v>55</v>
      </c>
      <c r="I56" s="8">
        <v>65</v>
      </c>
      <c r="J56" s="8">
        <v>10</v>
      </c>
      <c r="K56" s="8">
        <v>45</v>
      </c>
      <c r="L56" s="8">
        <v>50</v>
      </c>
      <c r="M56" s="8">
        <v>15</v>
      </c>
      <c r="N56" s="8">
        <v>25</v>
      </c>
      <c r="O56" s="1">
        <f t="shared" si="3"/>
        <v>210</v>
      </c>
      <c r="P56" s="14">
        <f t="shared" si="4"/>
        <v>30</v>
      </c>
      <c r="Q56" s="20">
        <f t="shared" si="5"/>
        <v>50</v>
      </c>
    </row>
    <row r="57" spans="1:17" ht="18" customHeight="1">
      <c r="A57" s="19">
        <v>51</v>
      </c>
      <c r="B57" s="2" t="s">
        <v>1763</v>
      </c>
      <c r="C57" s="1">
        <v>311260423</v>
      </c>
      <c r="D57" s="3" t="s">
        <v>1764</v>
      </c>
      <c r="E57" s="1" t="s">
        <v>78</v>
      </c>
      <c r="F57" s="10" t="s">
        <v>1631</v>
      </c>
      <c r="G57" s="2">
        <v>34</v>
      </c>
      <c r="H57" s="8">
        <v>65</v>
      </c>
      <c r="I57" s="8">
        <v>35</v>
      </c>
      <c r="J57" s="8">
        <v>25</v>
      </c>
      <c r="K57" s="8">
        <v>35</v>
      </c>
      <c r="L57" s="8">
        <v>30</v>
      </c>
      <c r="M57" s="8">
        <v>60</v>
      </c>
      <c r="N57" s="8">
        <v>20</v>
      </c>
      <c r="O57" s="1">
        <f t="shared" si="3"/>
        <v>205</v>
      </c>
      <c r="P57" s="14">
        <f t="shared" si="4"/>
        <v>29.285714285714285</v>
      </c>
      <c r="Q57" s="20">
        <f t="shared" si="5"/>
        <v>51</v>
      </c>
    </row>
    <row r="58" spans="1:17" ht="18" customHeight="1">
      <c r="A58" s="19">
        <v>52</v>
      </c>
      <c r="B58" s="2" t="s">
        <v>1765</v>
      </c>
      <c r="C58" s="1">
        <v>311260424</v>
      </c>
      <c r="D58" s="3" t="s">
        <v>1766</v>
      </c>
      <c r="E58" s="1" t="s">
        <v>90</v>
      </c>
      <c r="F58" s="10" t="s">
        <v>1631</v>
      </c>
      <c r="G58" s="2">
        <v>34</v>
      </c>
      <c r="H58" s="8">
        <v>20</v>
      </c>
      <c r="I58" s="8">
        <v>68</v>
      </c>
      <c r="J58" s="8">
        <v>25</v>
      </c>
      <c r="K58" s="8">
        <v>35</v>
      </c>
      <c r="L58" s="8">
        <v>10</v>
      </c>
      <c r="M58" s="8">
        <v>40</v>
      </c>
      <c r="N58" s="8">
        <v>10</v>
      </c>
      <c r="O58" s="1">
        <f t="shared" si="3"/>
        <v>188</v>
      </c>
      <c r="P58" s="14">
        <f t="shared" si="4"/>
        <v>26.857142857142858</v>
      </c>
      <c r="Q58" s="20">
        <f t="shared" si="5"/>
        <v>52</v>
      </c>
    </row>
    <row r="59" spans="1:17" ht="18" customHeight="1">
      <c r="A59" s="19">
        <v>53</v>
      </c>
      <c r="B59" s="2" t="s">
        <v>1650</v>
      </c>
      <c r="C59" s="1" t="s">
        <v>1651</v>
      </c>
      <c r="D59" s="3" t="s">
        <v>1652</v>
      </c>
      <c r="E59" s="1" t="s">
        <v>55</v>
      </c>
      <c r="F59" s="10" t="s">
        <v>1631</v>
      </c>
      <c r="G59" s="2">
        <v>32</v>
      </c>
      <c r="H59" s="8">
        <v>50</v>
      </c>
      <c r="I59" s="8">
        <v>50</v>
      </c>
      <c r="J59" s="8">
        <v>20</v>
      </c>
      <c r="K59" s="8">
        <v>50</v>
      </c>
      <c r="L59" s="8">
        <v>15</v>
      </c>
      <c r="M59" s="8">
        <v>30</v>
      </c>
      <c r="N59" s="8">
        <v>10</v>
      </c>
      <c r="O59" s="1">
        <f t="shared" si="3"/>
        <v>175</v>
      </c>
      <c r="P59" s="14">
        <f t="shared" si="4"/>
        <v>25</v>
      </c>
      <c r="Q59" s="20">
        <f t="shared" si="5"/>
        <v>53</v>
      </c>
    </row>
    <row r="60" spans="1:17" ht="18" customHeight="1">
      <c r="A60" s="19">
        <v>54</v>
      </c>
      <c r="B60" s="2" t="s">
        <v>1700</v>
      </c>
      <c r="C60" s="1" t="s">
        <v>1701</v>
      </c>
      <c r="D60" s="3" t="s">
        <v>1702</v>
      </c>
      <c r="E60" s="1" t="s">
        <v>1703</v>
      </c>
      <c r="F60" s="10" t="s">
        <v>1631</v>
      </c>
      <c r="G60" s="2">
        <v>33</v>
      </c>
      <c r="H60" s="8">
        <v>25</v>
      </c>
      <c r="I60" s="8">
        <v>38</v>
      </c>
      <c r="J60" s="8">
        <v>5</v>
      </c>
      <c r="K60" s="8">
        <v>30</v>
      </c>
      <c r="L60" s="8">
        <v>15</v>
      </c>
      <c r="M60" s="8">
        <v>15</v>
      </c>
      <c r="N60" s="8">
        <v>60</v>
      </c>
      <c r="O60" s="1">
        <f t="shared" si="3"/>
        <v>163</v>
      </c>
      <c r="P60" s="14">
        <f t="shared" si="4"/>
        <v>23.285714285714285</v>
      </c>
      <c r="Q60" s="20">
        <f t="shared" si="5"/>
        <v>54</v>
      </c>
    </row>
    <row r="61" spans="1:17" ht="18" customHeight="1">
      <c r="A61" s="19">
        <v>55</v>
      </c>
      <c r="B61" s="2" t="s">
        <v>1767</v>
      </c>
      <c r="C61" s="1">
        <v>311260425</v>
      </c>
      <c r="D61" s="3" t="s">
        <v>1768</v>
      </c>
      <c r="E61" s="1" t="s">
        <v>88</v>
      </c>
      <c r="F61" s="10" t="s">
        <v>1631</v>
      </c>
      <c r="G61" s="2">
        <v>34</v>
      </c>
      <c r="H61" s="8">
        <v>30</v>
      </c>
      <c r="I61" s="8">
        <v>40</v>
      </c>
      <c r="J61" s="8">
        <v>25</v>
      </c>
      <c r="K61" s="8">
        <v>20</v>
      </c>
      <c r="L61" s="8">
        <v>15</v>
      </c>
      <c r="M61" s="8">
        <v>60</v>
      </c>
      <c r="N61" s="8">
        <v>0</v>
      </c>
      <c r="O61" s="1">
        <f t="shared" si="3"/>
        <v>160</v>
      </c>
      <c r="P61" s="14">
        <f t="shared" si="4"/>
        <v>22.857142857142858</v>
      </c>
      <c r="Q61" s="20">
        <f t="shared" si="5"/>
        <v>55</v>
      </c>
    </row>
    <row r="62" spans="1:17" ht="18" customHeight="1">
      <c r="A62" s="19">
        <v>56</v>
      </c>
      <c r="B62" s="2" t="s">
        <v>1719</v>
      </c>
      <c r="C62" s="1" t="s">
        <v>1720</v>
      </c>
      <c r="D62" s="3" t="s">
        <v>1721</v>
      </c>
      <c r="E62" s="1" t="s">
        <v>65</v>
      </c>
      <c r="F62" s="10" t="s">
        <v>1631</v>
      </c>
      <c r="G62" s="2">
        <v>33</v>
      </c>
      <c r="H62" s="8">
        <v>15</v>
      </c>
      <c r="I62" s="8">
        <v>30</v>
      </c>
      <c r="J62" s="8">
        <v>15</v>
      </c>
      <c r="K62" s="8">
        <v>50</v>
      </c>
      <c r="L62" s="8">
        <v>25</v>
      </c>
      <c r="M62" s="8">
        <v>25</v>
      </c>
      <c r="N62" s="8">
        <v>0</v>
      </c>
      <c r="O62" s="1">
        <f t="shared" si="3"/>
        <v>145</v>
      </c>
      <c r="P62" s="14">
        <f t="shared" si="4"/>
        <v>20.714285714285715</v>
      </c>
      <c r="Q62" s="20">
        <f t="shared" si="5"/>
        <v>56</v>
      </c>
    </row>
    <row r="63" spans="1:17" ht="18" customHeight="1">
      <c r="A63" s="19">
        <v>57</v>
      </c>
      <c r="B63" s="2" t="s">
        <v>1710</v>
      </c>
      <c r="C63" s="1" t="s">
        <v>1711</v>
      </c>
      <c r="D63" s="3" t="s">
        <v>1712</v>
      </c>
      <c r="E63" s="1" t="s">
        <v>84</v>
      </c>
      <c r="F63" s="10" t="s">
        <v>1631</v>
      </c>
      <c r="G63" s="2">
        <v>33</v>
      </c>
      <c r="H63" s="8">
        <v>40</v>
      </c>
      <c r="I63" s="8">
        <v>30</v>
      </c>
      <c r="J63" s="8">
        <v>15</v>
      </c>
      <c r="K63" s="8">
        <v>35</v>
      </c>
      <c r="L63" s="8">
        <v>30</v>
      </c>
      <c r="M63" s="8">
        <v>25</v>
      </c>
      <c r="N63" s="8">
        <v>5</v>
      </c>
      <c r="O63" s="1">
        <f t="shared" si="3"/>
        <v>140</v>
      </c>
      <c r="P63" s="14">
        <f t="shared" si="4"/>
        <v>20</v>
      </c>
      <c r="Q63" s="20">
        <f t="shared" si="5"/>
        <v>57</v>
      </c>
    </row>
    <row r="64" spans="1:17" ht="18" customHeight="1">
      <c r="A64" s="19">
        <v>58</v>
      </c>
      <c r="B64" s="2" t="s">
        <v>1638</v>
      </c>
      <c r="C64" s="1" t="s">
        <v>1639</v>
      </c>
      <c r="D64" s="3" t="s">
        <v>1640</v>
      </c>
      <c r="E64" s="1" t="s">
        <v>69</v>
      </c>
      <c r="F64" s="10" t="s">
        <v>1631</v>
      </c>
      <c r="G64" s="2">
        <v>32</v>
      </c>
      <c r="H64" s="8">
        <v>40</v>
      </c>
      <c r="I64" s="8">
        <v>55</v>
      </c>
      <c r="J64" s="8">
        <v>15</v>
      </c>
      <c r="K64" s="8">
        <v>25</v>
      </c>
      <c r="L64" s="8">
        <v>10</v>
      </c>
      <c r="M64" s="8">
        <v>20</v>
      </c>
      <c r="N64" s="8">
        <v>5</v>
      </c>
      <c r="O64" s="1">
        <f t="shared" si="3"/>
        <v>130</v>
      </c>
      <c r="P64" s="14">
        <f t="shared" si="4"/>
        <v>18.571428571428573</v>
      </c>
      <c r="Q64" s="20">
        <f t="shared" si="5"/>
        <v>58</v>
      </c>
    </row>
    <row r="65" spans="1:17" ht="18" customHeight="1">
      <c r="A65" s="19">
        <v>59</v>
      </c>
      <c r="B65" s="2" t="s">
        <v>1781</v>
      </c>
      <c r="C65" s="1">
        <v>311260913</v>
      </c>
      <c r="D65" s="3" t="s">
        <v>1782</v>
      </c>
      <c r="E65" s="1" t="s">
        <v>73</v>
      </c>
      <c r="F65" s="10" t="s">
        <v>1631</v>
      </c>
      <c r="G65" s="2">
        <v>34</v>
      </c>
      <c r="H65" s="8">
        <v>20</v>
      </c>
      <c r="I65" s="8">
        <v>43</v>
      </c>
      <c r="J65" s="8">
        <v>30</v>
      </c>
      <c r="K65" s="8">
        <v>25</v>
      </c>
      <c r="L65" s="8">
        <v>5</v>
      </c>
      <c r="M65" s="8">
        <v>15</v>
      </c>
      <c r="N65" s="8">
        <v>0</v>
      </c>
      <c r="O65" s="1">
        <f t="shared" si="3"/>
        <v>118</v>
      </c>
      <c r="P65" s="14">
        <f t="shared" si="4"/>
        <v>16.857142857142858</v>
      </c>
      <c r="Q65" s="20">
        <f t="shared" si="5"/>
        <v>59</v>
      </c>
    </row>
    <row r="66" spans="1:17" ht="18" customHeight="1">
      <c r="A66" s="19">
        <v>60</v>
      </c>
      <c r="B66" s="28" t="s">
        <v>1785</v>
      </c>
      <c r="C66" s="29">
        <v>311260915</v>
      </c>
      <c r="D66" s="30" t="s">
        <v>1786</v>
      </c>
      <c r="E66" s="29" t="s">
        <v>64</v>
      </c>
      <c r="F66" s="31" t="s">
        <v>1631</v>
      </c>
      <c r="G66" s="28">
        <v>34</v>
      </c>
      <c r="H66" s="40"/>
      <c r="I66" s="40"/>
      <c r="J66" s="40"/>
      <c r="K66" s="40"/>
      <c r="L66" s="40"/>
      <c r="M66" s="40"/>
      <c r="N66" s="40"/>
      <c r="O66" s="29">
        <f t="shared" si="3"/>
        <v>0</v>
      </c>
      <c r="P66" s="41">
        <f t="shared" si="4"/>
        <v>0</v>
      </c>
      <c r="Q66" s="33">
        <f t="shared" si="5"/>
        <v>60</v>
      </c>
    </row>
  </sheetData>
  <mergeCells count="4">
    <mergeCell ref="A1:P1"/>
    <mergeCell ref="A2:P2"/>
    <mergeCell ref="A3:P3"/>
    <mergeCell ref="A5:B5"/>
  </mergeCells>
  <conditionalFormatting sqref="H7:N7">
    <cfRule type="cellIs" dxfId="7237" priority="240" operator="lessThan">
      <formula>5</formula>
    </cfRule>
  </conditionalFormatting>
  <conditionalFormatting sqref="H7:N7">
    <cfRule type="expression" dxfId="7236" priority="239">
      <formula>5</formula>
    </cfRule>
  </conditionalFormatting>
  <conditionalFormatting sqref="H7:N7">
    <cfRule type="cellIs" dxfId="7235" priority="238" operator="lessThan">
      <formula>50</formula>
    </cfRule>
  </conditionalFormatting>
  <conditionalFormatting sqref="P7">
    <cfRule type="cellIs" dxfId="7234" priority="237" operator="lessThan">
      <formula>50</formula>
    </cfRule>
  </conditionalFormatting>
  <conditionalFormatting sqref="H8:N8">
    <cfRule type="cellIs" dxfId="7233" priority="236" operator="lessThan">
      <formula>5</formula>
    </cfRule>
  </conditionalFormatting>
  <conditionalFormatting sqref="H8:N8">
    <cfRule type="expression" dxfId="7232" priority="235">
      <formula>5</formula>
    </cfRule>
  </conditionalFormatting>
  <conditionalFormatting sqref="H8:N8">
    <cfRule type="cellIs" dxfId="7231" priority="234" operator="lessThan">
      <formula>50</formula>
    </cfRule>
  </conditionalFormatting>
  <conditionalFormatting sqref="P8">
    <cfRule type="cellIs" dxfId="7230" priority="233" operator="lessThan">
      <formula>50</formula>
    </cfRule>
  </conditionalFormatting>
  <conditionalFormatting sqref="H9:N9">
    <cfRule type="cellIs" dxfId="7229" priority="232" operator="lessThan">
      <formula>5</formula>
    </cfRule>
  </conditionalFormatting>
  <conditionalFormatting sqref="H9:N9">
    <cfRule type="expression" dxfId="7228" priority="231">
      <formula>5</formula>
    </cfRule>
  </conditionalFormatting>
  <conditionalFormatting sqref="H9:N9">
    <cfRule type="cellIs" dxfId="7227" priority="230" operator="lessThan">
      <formula>50</formula>
    </cfRule>
  </conditionalFormatting>
  <conditionalFormatting sqref="P9">
    <cfRule type="cellIs" dxfId="7226" priority="229" operator="lessThan">
      <formula>50</formula>
    </cfRule>
  </conditionalFormatting>
  <conditionalFormatting sqref="H10:N10">
    <cfRule type="cellIs" dxfId="7225" priority="228" operator="lessThan">
      <formula>5</formula>
    </cfRule>
  </conditionalFormatting>
  <conditionalFormatting sqref="H10:N10">
    <cfRule type="expression" dxfId="7224" priority="227">
      <formula>5</formula>
    </cfRule>
  </conditionalFormatting>
  <conditionalFormatting sqref="H10:N10">
    <cfRule type="cellIs" dxfId="7223" priority="226" operator="lessThan">
      <formula>50</formula>
    </cfRule>
  </conditionalFormatting>
  <conditionalFormatting sqref="P10">
    <cfRule type="cellIs" dxfId="7222" priority="225" operator="lessThan">
      <formula>50</formula>
    </cfRule>
  </conditionalFormatting>
  <conditionalFormatting sqref="H11:N11">
    <cfRule type="cellIs" dxfId="7221" priority="224" operator="lessThan">
      <formula>5</formula>
    </cfRule>
  </conditionalFormatting>
  <conditionalFormatting sqref="H11:N11">
    <cfRule type="expression" dxfId="7220" priority="223">
      <formula>5</formula>
    </cfRule>
  </conditionalFormatting>
  <conditionalFormatting sqref="H11:N11">
    <cfRule type="cellIs" dxfId="7219" priority="222" operator="lessThan">
      <formula>50</formula>
    </cfRule>
  </conditionalFormatting>
  <conditionalFormatting sqref="P11">
    <cfRule type="cellIs" dxfId="7218" priority="221" operator="lessThan">
      <formula>50</formula>
    </cfRule>
  </conditionalFormatting>
  <conditionalFormatting sqref="H12:N12">
    <cfRule type="cellIs" dxfId="7217" priority="220" operator="lessThan">
      <formula>5</formula>
    </cfRule>
  </conditionalFormatting>
  <conditionalFormatting sqref="H12:N12">
    <cfRule type="expression" dxfId="7216" priority="219">
      <formula>5</formula>
    </cfRule>
  </conditionalFormatting>
  <conditionalFormatting sqref="H12:N12">
    <cfRule type="cellIs" dxfId="7215" priority="218" operator="lessThan">
      <formula>50</formula>
    </cfRule>
  </conditionalFormatting>
  <conditionalFormatting sqref="P12">
    <cfRule type="cellIs" dxfId="7214" priority="217" operator="lessThan">
      <formula>50</formula>
    </cfRule>
  </conditionalFormatting>
  <conditionalFormatting sqref="H13:N13">
    <cfRule type="cellIs" dxfId="7213" priority="216" operator="lessThan">
      <formula>5</formula>
    </cfRule>
  </conditionalFormatting>
  <conditionalFormatting sqref="H13:N13">
    <cfRule type="expression" dxfId="7212" priority="215">
      <formula>5</formula>
    </cfRule>
  </conditionalFormatting>
  <conditionalFormatting sqref="H13:N13">
    <cfRule type="cellIs" dxfId="7211" priority="214" operator="lessThan">
      <formula>50</formula>
    </cfRule>
  </conditionalFormatting>
  <conditionalFormatting sqref="P13">
    <cfRule type="cellIs" dxfId="7210" priority="213" operator="lessThan">
      <formula>50</formula>
    </cfRule>
  </conditionalFormatting>
  <conditionalFormatting sqref="H14:N14">
    <cfRule type="cellIs" dxfId="7209" priority="212" operator="lessThan">
      <formula>5</formula>
    </cfRule>
  </conditionalFormatting>
  <conditionalFormatting sqref="H14:N14">
    <cfRule type="expression" dxfId="7208" priority="211">
      <formula>5</formula>
    </cfRule>
  </conditionalFormatting>
  <conditionalFormatting sqref="H14:N14">
    <cfRule type="cellIs" dxfId="7207" priority="210" operator="lessThan">
      <formula>50</formula>
    </cfRule>
  </conditionalFormatting>
  <conditionalFormatting sqref="P14">
    <cfRule type="cellIs" dxfId="7206" priority="209" operator="lessThan">
      <formula>50</formula>
    </cfRule>
  </conditionalFormatting>
  <conditionalFormatting sqref="H15:N15">
    <cfRule type="cellIs" dxfId="7205" priority="208" operator="lessThan">
      <formula>5</formula>
    </cfRule>
  </conditionalFormatting>
  <conditionalFormatting sqref="H15:N15">
    <cfRule type="expression" dxfId="7204" priority="207">
      <formula>5</formula>
    </cfRule>
  </conditionalFormatting>
  <conditionalFormatting sqref="H15:N15">
    <cfRule type="cellIs" dxfId="7203" priority="206" operator="lessThan">
      <formula>50</formula>
    </cfRule>
  </conditionalFormatting>
  <conditionalFormatting sqref="P15">
    <cfRule type="cellIs" dxfId="7202" priority="205" operator="lessThan">
      <formula>50</formula>
    </cfRule>
  </conditionalFormatting>
  <conditionalFormatting sqref="H16:N16">
    <cfRule type="cellIs" dxfId="7201" priority="204" operator="lessThan">
      <formula>5</formula>
    </cfRule>
  </conditionalFormatting>
  <conditionalFormatting sqref="H16:N16">
    <cfRule type="expression" dxfId="7200" priority="203">
      <formula>5</formula>
    </cfRule>
  </conditionalFormatting>
  <conditionalFormatting sqref="H16:N16">
    <cfRule type="cellIs" dxfId="7199" priority="202" operator="lessThan">
      <formula>50</formula>
    </cfRule>
  </conditionalFormatting>
  <conditionalFormatting sqref="P16">
    <cfRule type="cellIs" dxfId="7198" priority="201" operator="lessThan">
      <formula>50</formula>
    </cfRule>
  </conditionalFormatting>
  <conditionalFormatting sqref="H17:N17">
    <cfRule type="cellIs" dxfId="7197" priority="200" operator="lessThan">
      <formula>5</formula>
    </cfRule>
  </conditionalFormatting>
  <conditionalFormatting sqref="H17:N17">
    <cfRule type="expression" dxfId="7196" priority="199">
      <formula>5</formula>
    </cfRule>
  </conditionalFormatting>
  <conditionalFormatting sqref="H17:N17">
    <cfRule type="cellIs" dxfId="7195" priority="198" operator="lessThan">
      <formula>50</formula>
    </cfRule>
  </conditionalFormatting>
  <conditionalFormatting sqref="P17">
    <cfRule type="cellIs" dxfId="7194" priority="197" operator="lessThan">
      <formula>50</formula>
    </cfRule>
  </conditionalFormatting>
  <conditionalFormatting sqref="H18:N18">
    <cfRule type="cellIs" dxfId="7193" priority="196" operator="lessThan">
      <formula>5</formula>
    </cfRule>
  </conditionalFormatting>
  <conditionalFormatting sqref="H18:N18">
    <cfRule type="expression" dxfId="7192" priority="195">
      <formula>5</formula>
    </cfRule>
  </conditionalFormatting>
  <conditionalFormatting sqref="H18:N18">
    <cfRule type="cellIs" dxfId="7191" priority="194" operator="lessThan">
      <formula>50</formula>
    </cfRule>
  </conditionalFormatting>
  <conditionalFormatting sqref="P18">
    <cfRule type="cellIs" dxfId="7190" priority="193" operator="lessThan">
      <formula>50</formula>
    </cfRule>
  </conditionalFormatting>
  <conditionalFormatting sqref="H19:N19">
    <cfRule type="cellIs" dxfId="7189" priority="192" operator="lessThan">
      <formula>5</formula>
    </cfRule>
  </conditionalFormatting>
  <conditionalFormatting sqref="H19:N19">
    <cfRule type="expression" dxfId="7188" priority="191">
      <formula>5</formula>
    </cfRule>
  </conditionalFormatting>
  <conditionalFormatting sqref="H19:N19">
    <cfRule type="cellIs" dxfId="7187" priority="190" operator="lessThan">
      <formula>50</formula>
    </cfRule>
  </conditionalFormatting>
  <conditionalFormatting sqref="P19">
    <cfRule type="cellIs" dxfId="7186" priority="189" operator="lessThan">
      <formula>50</formula>
    </cfRule>
  </conditionalFormatting>
  <conditionalFormatting sqref="H20:N20">
    <cfRule type="cellIs" dxfId="7185" priority="188" operator="lessThan">
      <formula>5</formula>
    </cfRule>
  </conditionalFormatting>
  <conditionalFormatting sqref="H20:N20">
    <cfRule type="expression" dxfId="7184" priority="187">
      <formula>5</formula>
    </cfRule>
  </conditionalFormatting>
  <conditionalFormatting sqref="H20:N20">
    <cfRule type="cellIs" dxfId="7183" priority="186" operator="lessThan">
      <formula>50</formula>
    </cfRule>
  </conditionalFormatting>
  <conditionalFormatting sqref="P20">
    <cfRule type="cellIs" dxfId="7182" priority="185" operator="lessThan">
      <formula>50</formula>
    </cfRule>
  </conditionalFormatting>
  <conditionalFormatting sqref="H21:N21">
    <cfRule type="cellIs" dxfId="7181" priority="184" operator="lessThan">
      <formula>5</formula>
    </cfRule>
  </conditionalFormatting>
  <conditionalFormatting sqref="H21:N21">
    <cfRule type="expression" dxfId="7180" priority="183">
      <formula>5</formula>
    </cfRule>
  </conditionalFormatting>
  <conditionalFormatting sqref="H21:N21">
    <cfRule type="cellIs" dxfId="7179" priority="182" operator="lessThan">
      <formula>50</formula>
    </cfRule>
  </conditionalFormatting>
  <conditionalFormatting sqref="P21">
    <cfRule type="cellIs" dxfId="7178" priority="181" operator="lessThan">
      <formula>50</formula>
    </cfRule>
  </conditionalFormatting>
  <conditionalFormatting sqref="H22:N22">
    <cfRule type="cellIs" dxfId="7177" priority="180" operator="lessThan">
      <formula>5</formula>
    </cfRule>
  </conditionalFormatting>
  <conditionalFormatting sqref="H22:N22">
    <cfRule type="expression" dxfId="7176" priority="179">
      <formula>5</formula>
    </cfRule>
  </conditionalFormatting>
  <conditionalFormatting sqref="H22:N22">
    <cfRule type="cellIs" dxfId="7175" priority="178" operator="lessThan">
      <formula>50</formula>
    </cfRule>
  </conditionalFormatting>
  <conditionalFormatting sqref="P22">
    <cfRule type="cellIs" dxfId="7174" priority="177" operator="lessThan">
      <formula>50</formula>
    </cfRule>
  </conditionalFormatting>
  <conditionalFormatting sqref="H23:N23">
    <cfRule type="cellIs" dxfId="7173" priority="176" operator="lessThan">
      <formula>5</formula>
    </cfRule>
  </conditionalFormatting>
  <conditionalFormatting sqref="H23:N23">
    <cfRule type="expression" dxfId="7172" priority="175">
      <formula>5</formula>
    </cfRule>
  </conditionalFormatting>
  <conditionalFormatting sqref="H23:N23">
    <cfRule type="cellIs" dxfId="7171" priority="174" operator="lessThan">
      <formula>50</formula>
    </cfRule>
  </conditionalFormatting>
  <conditionalFormatting sqref="P23">
    <cfRule type="cellIs" dxfId="7170" priority="173" operator="lessThan">
      <formula>50</formula>
    </cfRule>
  </conditionalFormatting>
  <conditionalFormatting sqref="H24:N24">
    <cfRule type="cellIs" dxfId="7169" priority="172" operator="lessThan">
      <formula>5</formula>
    </cfRule>
  </conditionalFormatting>
  <conditionalFormatting sqref="H24:N24">
    <cfRule type="expression" dxfId="7168" priority="171">
      <formula>5</formula>
    </cfRule>
  </conditionalFormatting>
  <conditionalFormatting sqref="H24:N24">
    <cfRule type="cellIs" dxfId="7167" priority="170" operator="lessThan">
      <formula>50</formula>
    </cfRule>
  </conditionalFormatting>
  <conditionalFormatting sqref="P24">
    <cfRule type="cellIs" dxfId="7166" priority="169" operator="lessThan">
      <formula>50</formula>
    </cfRule>
  </conditionalFormatting>
  <conditionalFormatting sqref="H25:N25">
    <cfRule type="cellIs" dxfId="7165" priority="168" operator="lessThan">
      <formula>5</formula>
    </cfRule>
  </conditionalFormatting>
  <conditionalFormatting sqref="H25:N25">
    <cfRule type="expression" dxfId="7164" priority="167">
      <formula>5</formula>
    </cfRule>
  </conditionalFormatting>
  <conditionalFormatting sqref="H25:N25">
    <cfRule type="cellIs" dxfId="7163" priority="166" operator="lessThan">
      <formula>50</formula>
    </cfRule>
  </conditionalFormatting>
  <conditionalFormatting sqref="P25">
    <cfRule type="cellIs" dxfId="7162" priority="165" operator="lessThan">
      <formula>50</formula>
    </cfRule>
  </conditionalFormatting>
  <conditionalFormatting sqref="H26:N26">
    <cfRule type="cellIs" dxfId="7161" priority="164" operator="lessThan">
      <formula>5</formula>
    </cfRule>
  </conditionalFormatting>
  <conditionalFormatting sqref="H26:N26">
    <cfRule type="expression" dxfId="7160" priority="163">
      <formula>5</formula>
    </cfRule>
  </conditionalFormatting>
  <conditionalFormatting sqref="H26:N26">
    <cfRule type="cellIs" dxfId="7159" priority="162" operator="lessThan">
      <formula>50</formula>
    </cfRule>
  </conditionalFormatting>
  <conditionalFormatting sqref="P26">
    <cfRule type="cellIs" dxfId="7158" priority="161" operator="lessThan">
      <formula>50</formula>
    </cfRule>
  </conditionalFormatting>
  <conditionalFormatting sqref="H27:N27">
    <cfRule type="cellIs" dxfId="7157" priority="160" operator="lessThan">
      <formula>5</formula>
    </cfRule>
  </conditionalFormatting>
  <conditionalFormatting sqref="H27:N27">
    <cfRule type="expression" dxfId="7156" priority="159">
      <formula>5</formula>
    </cfRule>
  </conditionalFormatting>
  <conditionalFormatting sqref="H27:N27">
    <cfRule type="cellIs" dxfId="7155" priority="158" operator="lessThan">
      <formula>50</formula>
    </cfRule>
  </conditionalFormatting>
  <conditionalFormatting sqref="P27">
    <cfRule type="cellIs" dxfId="7154" priority="157" operator="lessThan">
      <formula>50</formula>
    </cfRule>
  </conditionalFormatting>
  <conditionalFormatting sqref="H28:N28">
    <cfRule type="cellIs" dxfId="7153" priority="156" operator="lessThan">
      <formula>5</formula>
    </cfRule>
  </conditionalFormatting>
  <conditionalFormatting sqref="H28:N28">
    <cfRule type="expression" dxfId="7152" priority="155">
      <formula>5</formula>
    </cfRule>
  </conditionalFormatting>
  <conditionalFormatting sqref="H28:N28">
    <cfRule type="cellIs" dxfId="7151" priority="154" operator="lessThan">
      <formula>50</formula>
    </cfRule>
  </conditionalFormatting>
  <conditionalFormatting sqref="P28">
    <cfRule type="cellIs" dxfId="7150" priority="153" operator="lessThan">
      <formula>50</formula>
    </cfRule>
  </conditionalFormatting>
  <conditionalFormatting sqref="H29:N29">
    <cfRule type="cellIs" dxfId="7149" priority="152" operator="lessThan">
      <formula>5</formula>
    </cfRule>
  </conditionalFormatting>
  <conditionalFormatting sqref="H29:N29">
    <cfRule type="expression" dxfId="7148" priority="151">
      <formula>5</formula>
    </cfRule>
  </conditionalFormatting>
  <conditionalFormatting sqref="H29:N29">
    <cfRule type="cellIs" dxfId="7147" priority="150" operator="lessThan">
      <formula>50</formula>
    </cfRule>
  </conditionalFormatting>
  <conditionalFormatting sqref="P29">
    <cfRule type="cellIs" dxfId="7146" priority="149" operator="lessThan">
      <formula>50</formula>
    </cfRule>
  </conditionalFormatting>
  <conditionalFormatting sqref="H30:N30">
    <cfRule type="cellIs" dxfId="7145" priority="148" operator="lessThan">
      <formula>5</formula>
    </cfRule>
  </conditionalFormatting>
  <conditionalFormatting sqref="H30:N30">
    <cfRule type="expression" dxfId="7144" priority="147">
      <formula>5</formula>
    </cfRule>
  </conditionalFormatting>
  <conditionalFormatting sqref="H30:N30">
    <cfRule type="cellIs" dxfId="7143" priority="146" operator="lessThan">
      <formula>50</formula>
    </cfRule>
  </conditionalFormatting>
  <conditionalFormatting sqref="P30">
    <cfRule type="cellIs" dxfId="7142" priority="145" operator="lessThan">
      <formula>50</formula>
    </cfRule>
  </conditionalFormatting>
  <conditionalFormatting sqref="H31:N31">
    <cfRule type="cellIs" dxfId="7141" priority="144" operator="lessThan">
      <formula>5</formula>
    </cfRule>
  </conditionalFormatting>
  <conditionalFormatting sqref="H31:N31">
    <cfRule type="expression" dxfId="7140" priority="143">
      <formula>5</formula>
    </cfRule>
  </conditionalFormatting>
  <conditionalFormatting sqref="H31:N31">
    <cfRule type="cellIs" dxfId="7139" priority="142" operator="lessThan">
      <formula>50</formula>
    </cfRule>
  </conditionalFormatting>
  <conditionalFormatting sqref="P31">
    <cfRule type="cellIs" dxfId="7138" priority="141" operator="lessThan">
      <formula>50</formula>
    </cfRule>
  </conditionalFormatting>
  <conditionalFormatting sqref="H32:N32">
    <cfRule type="cellIs" dxfId="7137" priority="140" operator="lessThan">
      <formula>5</formula>
    </cfRule>
  </conditionalFormatting>
  <conditionalFormatting sqref="H32:N32">
    <cfRule type="expression" dxfId="7136" priority="139">
      <formula>5</formula>
    </cfRule>
  </conditionalFormatting>
  <conditionalFormatting sqref="H32:N32">
    <cfRule type="cellIs" dxfId="7135" priority="138" operator="lessThan">
      <formula>50</formula>
    </cfRule>
  </conditionalFormatting>
  <conditionalFormatting sqref="P32">
    <cfRule type="cellIs" dxfId="7134" priority="137" operator="lessThan">
      <formula>50</formula>
    </cfRule>
  </conditionalFormatting>
  <conditionalFormatting sqref="H33:N33">
    <cfRule type="cellIs" dxfId="7133" priority="136" operator="lessThan">
      <formula>5</formula>
    </cfRule>
  </conditionalFormatting>
  <conditionalFormatting sqref="H33:N33">
    <cfRule type="expression" dxfId="7132" priority="135">
      <formula>5</formula>
    </cfRule>
  </conditionalFormatting>
  <conditionalFormatting sqref="H33:N33">
    <cfRule type="cellIs" dxfId="7131" priority="134" operator="lessThan">
      <formula>50</formula>
    </cfRule>
  </conditionalFormatting>
  <conditionalFormatting sqref="P33">
    <cfRule type="cellIs" dxfId="7130" priority="133" operator="lessThan">
      <formula>50</formula>
    </cfRule>
  </conditionalFormatting>
  <conditionalFormatting sqref="H34:N34">
    <cfRule type="cellIs" dxfId="7129" priority="132" operator="lessThan">
      <formula>5</formula>
    </cfRule>
  </conditionalFormatting>
  <conditionalFormatting sqref="H34:N34">
    <cfRule type="expression" dxfId="7128" priority="131">
      <formula>5</formula>
    </cfRule>
  </conditionalFormatting>
  <conditionalFormatting sqref="H34:N34">
    <cfRule type="cellIs" dxfId="7127" priority="130" operator="lessThan">
      <formula>50</formula>
    </cfRule>
  </conditionalFormatting>
  <conditionalFormatting sqref="P34">
    <cfRule type="cellIs" dxfId="7126" priority="129" operator="lessThan">
      <formula>50</formula>
    </cfRule>
  </conditionalFormatting>
  <conditionalFormatting sqref="H35:N35">
    <cfRule type="cellIs" dxfId="7125" priority="128" operator="lessThan">
      <formula>5</formula>
    </cfRule>
  </conditionalFormatting>
  <conditionalFormatting sqref="H35:N35">
    <cfRule type="expression" dxfId="7124" priority="127">
      <formula>5</formula>
    </cfRule>
  </conditionalFormatting>
  <conditionalFormatting sqref="H35:N35">
    <cfRule type="cellIs" dxfId="7123" priority="126" operator="lessThan">
      <formula>50</formula>
    </cfRule>
  </conditionalFormatting>
  <conditionalFormatting sqref="P35">
    <cfRule type="cellIs" dxfId="7122" priority="125" operator="lessThan">
      <formula>50</formula>
    </cfRule>
  </conditionalFormatting>
  <conditionalFormatting sqref="H36:N36">
    <cfRule type="cellIs" dxfId="7121" priority="124" operator="lessThan">
      <formula>5</formula>
    </cfRule>
  </conditionalFormatting>
  <conditionalFormatting sqref="H36:N36">
    <cfRule type="expression" dxfId="7120" priority="123">
      <formula>5</formula>
    </cfRule>
  </conditionalFormatting>
  <conditionalFormatting sqref="H36:N36">
    <cfRule type="cellIs" dxfId="7119" priority="122" operator="lessThan">
      <formula>50</formula>
    </cfRule>
  </conditionalFormatting>
  <conditionalFormatting sqref="P36">
    <cfRule type="cellIs" dxfId="7118" priority="121" operator="lessThan">
      <formula>50</formula>
    </cfRule>
  </conditionalFormatting>
  <conditionalFormatting sqref="H37:N37">
    <cfRule type="cellIs" dxfId="7117" priority="120" operator="lessThan">
      <formula>5</formula>
    </cfRule>
  </conditionalFormatting>
  <conditionalFormatting sqref="H37:N37">
    <cfRule type="expression" dxfId="7116" priority="119">
      <formula>5</formula>
    </cfRule>
  </conditionalFormatting>
  <conditionalFormatting sqref="H37:N37">
    <cfRule type="cellIs" dxfId="7115" priority="118" operator="lessThan">
      <formula>50</formula>
    </cfRule>
  </conditionalFormatting>
  <conditionalFormatting sqref="P37">
    <cfRule type="cellIs" dxfId="7114" priority="117" operator="lessThan">
      <formula>50</formula>
    </cfRule>
  </conditionalFormatting>
  <conditionalFormatting sqref="H38:N38">
    <cfRule type="cellIs" dxfId="7113" priority="116" operator="lessThan">
      <formula>5</formula>
    </cfRule>
  </conditionalFormatting>
  <conditionalFormatting sqref="H38:N38">
    <cfRule type="expression" dxfId="7112" priority="115">
      <formula>5</formula>
    </cfRule>
  </conditionalFormatting>
  <conditionalFormatting sqref="H38:N38">
    <cfRule type="cellIs" dxfId="7111" priority="114" operator="lessThan">
      <formula>50</formula>
    </cfRule>
  </conditionalFormatting>
  <conditionalFormatting sqref="P38">
    <cfRule type="cellIs" dxfId="7110" priority="113" operator="lessThan">
      <formula>50</formula>
    </cfRule>
  </conditionalFormatting>
  <conditionalFormatting sqref="H39:N39">
    <cfRule type="cellIs" dxfId="7109" priority="112" operator="lessThan">
      <formula>5</formula>
    </cfRule>
  </conditionalFormatting>
  <conditionalFormatting sqref="H39:N39">
    <cfRule type="expression" dxfId="7108" priority="111">
      <formula>5</formula>
    </cfRule>
  </conditionalFormatting>
  <conditionalFormatting sqref="H39:N39">
    <cfRule type="cellIs" dxfId="7107" priority="110" operator="lessThan">
      <formula>50</formula>
    </cfRule>
  </conditionalFormatting>
  <conditionalFormatting sqref="P39">
    <cfRule type="cellIs" dxfId="7106" priority="109" operator="lessThan">
      <formula>50</formula>
    </cfRule>
  </conditionalFormatting>
  <conditionalFormatting sqref="H40:N40">
    <cfRule type="cellIs" dxfId="7105" priority="108" operator="lessThan">
      <formula>5</formula>
    </cfRule>
  </conditionalFormatting>
  <conditionalFormatting sqref="H40:N40">
    <cfRule type="expression" dxfId="7104" priority="107">
      <formula>5</formula>
    </cfRule>
  </conditionalFormatting>
  <conditionalFormatting sqref="H40:N40">
    <cfRule type="cellIs" dxfId="7103" priority="106" operator="lessThan">
      <formula>50</formula>
    </cfRule>
  </conditionalFormatting>
  <conditionalFormatting sqref="P40">
    <cfRule type="cellIs" dxfId="7102" priority="105" operator="lessThan">
      <formula>50</formula>
    </cfRule>
  </conditionalFormatting>
  <conditionalFormatting sqref="H41:N41">
    <cfRule type="cellIs" dxfId="7101" priority="104" operator="lessThan">
      <formula>5</formula>
    </cfRule>
  </conditionalFormatting>
  <conditionalFormatting sqref="H41:N41">
    <cfRule type="expression" dxfId="7100" priority="103">
      <formula>5</formula>
    </cfRule>
  </conditionalFormatting>
  <conditionalFormatting sqref="H41:N41">
    <cfRule type="cellIs" dxfId="7099" priority="102" operator="lessThan">
      <formula>50</formula>
    </cfRule>
  </conditionalFormatting>
  <conditionalFormatting sqref="P41">
    <cfRule type="cellIs" dxfId="7098" priority="101" operator="lessThan">
      <formula>50</formula>
    </cfRule>
  </conditionalFormatting>
  <conditionalFormatting sqref="H42:N42">
    <cfRule type="cellIs" dxfId="7097" priority="100" operator="lessThan">
      <formula>5</formula>
    </cfRule>
  </conditionalFormatting>
  <conditionalFormatting sqref="H42:N42">
    <cfRule type="expression" dxfId="7096" priority="99">
      <formula>5</formula>
    </cfRule>
  </conditionalFormatting>
  <conditionalFormatting sqref="H42:N42">
    <cfRule type="cellIs" dxfId="7095" priority="98" operator="lessThan">
      <formula>50</formula>
    </cfRule>
  </conditionalFormatting>
  <conditionalFormatting sqref="P42">
    <cfRule type="cellIs" dxfId="7094" priority="97" operator="lessThan">
      <formula>50</formula>
    </cfRule>
  </conditionalFormatting>
  <conditionalFormatting sqref="H43:N43">
    <cfRule type="cellIs" dxfId="7093" priority="96" operator="lessThan">
      <formula>5</formula>
    </cfRule>
  </conditionalFormatting>
  <conditionalFormatting sqref="H43:N43">
    <cfRule type="expression" dxfId="7092" priority="95">
      <formula>5</formula>
    </cfRule>
  </conditionalFormatting>
  <conditionalFormatting sqref="H43:N43">
    <cfRule type="cellIs" dxfId="7091" priority="94" operator="lessThan">
      <formula>50</formula>
    </cfRule>
  </conditionalFormatting>
  <conditionalFormatting sqref="P43">
    <cfRule type="cellIs" dxfId="7090" priority="93" operator="lessThan">
      <formula>50</formula>
    </cfRule>
  </conditionalFormatting>
  <conditionalFormatting sqref="H44:N44">
    <cfRule type="cellIs" dxfId="7089" priority="92" operator="lessThan">
      <formula>5</formula>
    </cfRule>
  </conditionalFormatting>
  <conditionalFormatting sqref="H44:N44">
    <cfRule type="expression" dxfId="7088" priority="91">
      <formula>5</formula>
    </cfRule>
  </conditionalFormatting>
  <conditionalFormatting sqref="H44:N44">
    <cfRule type="cellIs" dxfId="7087" priority="90" operator="lessThan">
      <formula>50</formula>
    </cfRule>
  </conditionalFormatting>
  <conditionalFormatting sqref="P44">
    <cfRule type="cellIs" dxfId="7086" priority="89" operator="lessThan">
      <formula>50</formula>
    </cfRule>
  </conditionalFormatting>
  <conditionalFormatting sqref="H45:N45">
    <cfRule type="cellIs" dxfId="7085" priority="88" operator="lessThan">
      <formula>5</formula>
    </cfRule>
  </conditionalFormatting>
  <conditionalFormatting sqref="H45:N45">
    <cfRule type="expression" dxfId="7084" priority="87">
      <formula>5</formula>
    </cfRule>
  </conditionalFormatting>
  <conditionalFormatting sqref="H45:N45">
    <cfRule type="cellIs" dxfId="7083" priority="86" operator="lessThan">
      <formula>50</formula>
    </cfRule>
  </conditionalFormatting>
  <conditionalFormatting sqref="P45">
    <cfRule type="cellIs" dxfId="7082" priority="85" operator="lessThan">
      <formula>50</formula>
    </cfRule>
  </conditionalFormatting>
  <conditionalFormatting sqref="H46:N46">
    <cfRule type="cellIs" dxfId="7081" priority="84" operator="lessThan">
      <formula>5</formula>
    </cfRule>
  </conditionalFormatting>
  <conditionalFormatting sqref="H46:N46">
    <cfRule type="expression" dxfId="7080" priority="83">
      <formula>5</formula>
    </cfRule>
  </conditionalFormatting>
  <conditionalFormatting sqref="H46:N46">
    <cfRule type="cellIs" dxfId="7079" priority="82" operator="lessThan">
      <formula>50</formula>
    </cfRule>
  </conditionalFormatting>
  <conditionalFormatting sqref="P46">
    <cfRule type="cellIs" dxfId="7078" priority="81" operator="lessThan">
      <formula>50</formula>
    </cfRule>
  </conditionalFormatting>
  <conditionalFormatting sqref="H47:N47">
    <cfRule type="cellIs" dxfId="7077" priority="80" operator="lessThan">
      <formula>5</formula>
    </cfRule>
  </conditionalFormatting>
  <conditionalFormatting sqref="H47:N47">
    <cfRule type="expression" dxfId="7076" priority="79">
      <formula>5</formula>
    </cfRule>
  </conditionalFormatting>
  <conditionalFormatting sqref="H47:N47">
    <cfRule type="cellIs" dxfId="7075" priority="78" operator="lessThan">
      <formula>50</formula>
    </cfRule>
  </conditionalFormatting>
  <conditionalFormatting sqref="P47">
    <cfRule type="cellIs" dxfId="7074" priority="77" operator="lessThan">
      <formula>50</formula>
    </cfRule>
  </conditionalFormatting>
  <conditionalFormatting sqref="H48:N48">
    <cfRule type="cellIs" dxfId="7073" priority="76" operator="lessThan">
      <formula>5</formula>
    </cfRule>
  </conditionalFormatting>
  <conditionalFormatting sqref="H48:N48">
    <cfRule type="expression" dxfId="7072" priority="75">
      <formula>5</formula>
    </cfRule>
  </conditionalFormatting>
  <conditionalFormatting sqref="H48:N48">
    <cfRule type="cellIs" dxfId="7071" priority="74" operator="lessThan">
      <formula>50</formula>
    </cfRule>
  </conditionalFormatting>
  <conditionalFormatting sqref="P48">
    <cfRule type="cellIs" dxfId="7070" priority="73" operator="lessThan">
      <formula>50</formula>
    </cfRule>
  </conditionalFormatting>
  <conditionalFormatting sqref="H49:N49">
    <cfRule type="cellIs" dxfId="7069" priority="72" operator="lessThan">
      <formula>5</formula>
    </cfRule>
  </conditionalFormatting>
  <conditionalFormatting sqref="H49:N49">
    <cfRule type="expression" dxfId="7068" priority="71">
      <formula>5</formula>
    </cfRule>
  </conditionalFormatting>
  <conditionalFormatting sqref="H49:N49">
    <cfRule type="cellIs" dxfId="7067" priority="70" operator="lessThan">
      <formula>50</formula>
    </cfRule>
  </conditionalFormatting>
  <conditionalFormatting sqref="P49">
    <cfRule type="cellIs" dxfId="7066" priority="69" operator="lessThan">
      <formula>50</formula>
    </cfRule>
  </conditionalFormatting>
  <conditionalFormatting sqref="H50:N50">
    <cfRule type="cellIs" dxfId="7065" priority="68" operator="lessThan">
      <formula>5</formula>
    </cfRule>
  </conditionalFormatting>
  <conditionalFormatting sqref="H50:N50">
    <cfRule type="expression" dxfId="7064" priority="67">
      <formula>5</formula>
    </cfRule>
  </conditionalFormatting>
  <conditionalFormatting sqref="H50:N50">
    <cfRule type="cellIs" dxfId="7063" priority="66" operator="lessThan">
      <formula>50</formula>
    </cfRule>
  </conditionalFormatting>
  <conditionalFormatting sqref="P50">
    <cfRule type="cellIs" dxfId="7062" priority="65" operator="lessThan">
      <formula>50</formula>
    </cfRule>
  </conditionalFormatting>
  <conditionalFormatting sqref="H51:N51">
    <cfRule type="cellIs" dxfId="7061" priority="64" operator="lessThan">
      <formula>5</formula>
    </cfRule>
  </conditionalFormatting>
  <conditionalFormatting sqref="H51:N51">
    <cfRule type="expression" dxfId="7060" priority="63">
      <formula>5</formula>
    </cfRule>
  </conditionalFormatting>
  <conditionalFormatting sqref="H51:N51">
    <cfRule type="cellIs" dxfId="7059" priority="62" operator="lessThan">
      <formula>50</formula>
    </cfRule>
  </conditionalFormatting>
  <conditionalFormatting sqref="P51">
    <cfRule type="cellIs" dxfId="7058" priority="61" operator="lessThan">
      <formula>50</formula>
    </cfRule>
  </conditionalFormatting>
  <conditionalFormatting sqref="H52:N52">
    <cfRule type="cellIs" dxfId="7057" priority="60" operator="lessThan">
      <formula>5</formula>
    </cfRule>
  </conditionalFormatting>
  <conditionalFormatting sqref="H52:N52">
    <cfRule type="expression" dxfId="7056" priority="59">
      <formula>5</formula>
    </cfRule>
  </conditionalFormatting>
  <conditionalFormatting sqref="H52:N52">
    <cfRule type="cellIs" dxfId="7055" priority="58" operator="lessThan">
      <formula>50</formula>
    </cfRule>
  </conditionalFormatting>
  <conditionalFormatting sqref="P52">
    <cfRule type="cellIs" dxfId="7054" priority="57" operator="lessThan">
      <formula>50</formula>
    </cfRule>
  </conditionalFormatting>
  <conditionalFormatting sqref="H53:N53">
    <cfRule type="cellIs" dxfId="7053" priority="56" operator="lessThan">
      <formula>5</formula>
    </cfRule>
  </conditionalFormatting>
  <conditionalFormatting sqref="H53:N53">
    <cfRule type="expression" dxfId="7052" priority="55">
      <formula>5</formula>
    </cfRule>
  </conditionalFormatting>
  <conditionalFormatting sqref="H53:N53">
    <cfRule type="cellIs" dxfId="7051" priority="54" operator="lessThan">
      <formula>50</formula>
    </cfRule>
  </conditionalFormatting>
  <conditionalFormatting sqref="P53">
    <cfRule type="cellIs" dxfId="7050" priority="53" operator="lessThan">
      <formula>50</formula>
    </cfRule>
  </conditionalFormatting>
  <conditionalFormatting sqref="H54:N54">
    <cfRule type="cellIs" dxfId="7049" priority="52" operator="lessThan">
      <formula>5</formula>
    </cfRule>
  </conditionalFormatting>
  <conditionalFormatting sqref="H54:N54">
    <cfRule type="expression" dxfId="7048" priority="51">
      <formula>5</formula>
    </cfRule>
  </conditionalFormatting>
  <conditionalFormatting sqref="H54:N54">
    <cfRule type="cellIs" dxfId="7047" priority="50" operator="lessThan">
      <formula>50</formula>
    </cfRule>
  </conditionalFormatting>
  <conditionalFormatting sqref="P54">
    <cfRule type="cellIs" dxfId="7046" priority="49" operator="lessThan">
      <formula>50</formula>
    </cfRule>
  </conditionalFormatting>
  <conditionalFormatting sqref="H55:N55">
    <cfRule type="cellIs" dxfId="7045" priority="48" operator="lessThan">
      <formula>5</formula>
    </cfRule>
  </conditionalFormatting>
  <conditionalFormatting sqref="H55:N55">
    <cfRule type="expression" dxfId="7044" priority="47">
      <formula>5</formula>
    </cfRule>
  </conditionalFormatting>
  <conditionalFormatting sqref="H55:N55">
    <cfRule type="cellIs" dxfId="7043" priority="46" operator="lessThan">
      <formula>50</formula>
    </cfRule>
  </conditionalFormatting>
  <conditionalFormatting sqref="P55">
    <cfRule type="cellIs" dxfId="7042" priority="45" operator="lessThan">
      <formula>50</formula>
    </cfRule>
  </conditionalFormatting>
  <conditionalFormatting sqref="H56:N56">
    <cfRule type="cellIs" dxfId="7041" priority="44" operator="lessThan">
      <formula>5</formula>
    </cfRule>
  </conditionalFormatting>
  <conditionalFormatting sqref="H56:N56">
    <cfRule type="expression" dxfId="7040" priority="43">
      <formula>5</formula>
    </cfRule>
  </conditionalFormatting>
  <conditionalFormatting sqref="H56:N56">
    <cfRule type="cellIs" dxfId="7039" priority="42" operator="lessThan">
      <formula>50</formula>
    </cfRule>
  </conditionalFormatting>
  <conditionalFormatting sqref="P56">
    <cfRule type="cellIs" dxfId="7038" priority="41" operator="lessThan">
      <formula>50</formula>
    </cfRule>
  </conditionalFormatting>
  <conditionalFormatting sqref="H57:N57">
    <cfRule type="cellIs" dxfId="7037" priority="40" operator="lessThan">
      <formula>5</formula>
    </cfRule>
  </conditionalFormatting>
  <conditionalFormatting sqref="H57:N57">
    <cfRule type="expression" dxfId="7036" priority="39">
      <formula>5</formula>
    </cfRule>
  </conditionalFormatting>
  <conditionalFormatting sqref="H57:N57">
    <cfRule type="cellIs" dxfId="7035" priority="38" operator="lessThan">
      <formula>50</formula>
    </cfRule>
  </conditionalFormatting>
  <conditionalFormatting sqref="P57">
    <cfRule type="cellIs" dxfId="7034" priority="37" operator="lessThan">
      <formula>50</formula>
    </cfRule>
  </conditionalFormatting>
  <conditionalFormatting sqref="H58:N58">
    <cfRule type="cellIs" dxfId="7033" priority="36" operator="lessThan">
      <formula>5</formula>
    </cfRule>
  </conditionalFormatting>
  <conditionalFormatting sqref="H58:N58">
    <cfRule type="expression" dxfId="7032" priority="35">
      <formula>5</formula>
    </cfRule>
  </conditionalFormatting>
  <conditionalFormatting sqref="H58:N58">
    <cfRule type="cellIs" dxfId="7031" priority="34" operator="lessThan">
      <formula>50</formula>
    </cfRule>
  </conditionalFormatting>
  <conditionalFormatting sqref="P58">
    <cfRule type="cellIs" dxfId="7030" priority="33" operator="lessThan">
      <formula>50</formula>
    </cfRule>
  </conditionalFormatting>
  <conditionalFormatting sqref="H59:N59">
    <cfRule type="cellIs" dxfId="7029" priority="32" operator="lessThan">
      <formula>5</formula>
    </cfRule>
  </conditionalFormatting>
  <conditionalFormatting sqref="H59:N59">
    <cfRule type="expression" dxfId="7028" priority="31">
      <formula>5</formula>
    </cfRule>
  </conditionalFormatting>
  <conditionalFormatting sqref="H59:N59">
    <cfRule type="cellIs" dxfId="7027" priority="30" operator="lessThan">
      <formula>50</formula>
    </cfRule>
  </conditionalFormatting>
  <conditionalFormatting sqref="P59">
    <cfRule type="cellIs" dxfId="7026" priority="29" operator="lessThan">
      <formula>50</formula>
    </cfRule>
  </conditionalFormatting>
  <conditionalFormatting sqref="H60:N60">
    <cfRule type="cellIs" dxfId="7025" priority="28" operator="lessThan">
      <formula>5</formula>
    </cfRule>
  </conditionalFormatting>
  <conditionalFormatting sqref="H60:N60">
    <cfRule type="expression" dxfId="7024" priority="27">
      <formula>5</formula>
    </cfRule>
  </conditionalFormatting>
  <conditionalFormatting sqref="H60:N60">
    <cfRule type="cellIs" dxfId="7023" priority="26" operator="lessThan">
      <formula>50</formula>
    </cfRule>
  </conditionalFormatting>
  <conditionalFormatting sqref="P60">
    <cfRule type="cellIs" dxfId="7022" priority="25" operator="lessThan">
      <formula>50</formula>
    </cfRule>
  </conditionalFormatting>
  <conditionalFormatting sqref="H61:N61">
    <cfRule type="cellIs" dxfId="7021" priority="24" operator="lessThan">
      <formula>5</formula>
    </cfRule>
  </conditionalFormatting>
  <conditionalFormatting sqref="H61:N61">
    <cfRule type="expression" dxfId="7020" priority="23">
      <formula>5</formula>
    </cfRule>
  </conditionalFormatting>
  <conditionalFormatting sqref="H61:N61">
    <cfRule type="cellIs" dxfId="7019" priority="22" operator="lessThan">
      <formula>50</formula>
    </cfRule>
  </conditionalFormatting>
  <conditionalFormatting sqref="P61">
    <cfRule type="cellIs" dxfId="7018" priority="21" operator="lessThan">
      <formula>50</formula>
    </cfRule>
  </conditionalFormatting>
  <conditionalFormatting sqref="H62:N62">
    <cfRule type="cellIs" dxfId="7017" priority="20" operator="lessThan">
      <formula>5</formula>
    </cfRule>
  </conditionalFormatting>
  <conditionalFormatting sqref="H62:N62">
    <cfRule type="expression" dxfId="7016" priority="19">
      <formula>5</formula>
    </cfRule>
  </conditionalFormatting>
  <conditionalFormatting sqref="H62:N62">
    <cfRule type="cellIs" dxfId="7015" priority="18" operator="lessThan">
      <formula>50</formula>
    </cfRule>
  </conditionalFormatting>
  <conditionalFormatting sqref="P62">
    <cfRule type="cellIs" dxfId="7014" priority="17" operator="lessThan">
      <formula>50</formula>
    </cfRule>
  </conditionalFormatting>
  <conditionalFormatting sqref="H63:N63">
    <cfRule type="cellIs" dxfId="7013" priority="16" operator="lessThan">
      <formula>5</formula>
    </cfRule>
  </conditionalFormatting>
  <conditionalFormatting sqref="H63:N63">
    <cfRule type="expression" dxfId="7012" priority="15">
      <formula>5</formula>
    </cfRule>
  </conditionalFormatting>
  <conditionalFormatting sqref="H63:N63">
    <cfRule type="cellIs" dxfId="7011" priority="14" operator="lessThan">
      <formula>50</formula>
    </cfRule>
  </conditionalFormatting>
  <conditionalFormatting sqref="P63">
    <cfRule type="cellIs" dxfId="7010" priority="13" operator="lessThan">
      <formula>50</formula>
    </cfRule>
  </conditionalFormatting>
  <conditionalFormatting sqref="H64:N64">
    <cfRule type="cellIs" dxfId="7009" priority="12" operator="lessThan">
      <formula>5</formula>
    </cfRule>
  </conditionalFormatting>
  <conditionalFormatting sqref="H64:N64">
    <cfRule type="expression" dxfId="7008" priority="11">
      <formula>5</formula>
    </cfRule>
  </conditionalFormatting>
  <conditionalFormatting sqref="H64:N64">
    <cfRule type="cellIs" dxfId="7007" priority="10" operator="lessThan">
      <formula>50</formula>
    </cfRule>
  </conditionalFormatting>
  <conditionalFormatting sqref="P64">
    <cfRule type="cellIs" dxfId="7006" priority="9" operator="lessThan">
      <formula>50</formula>
    </cfRule>
  </conditionalFormatting>
  <conditionalFormatting sqref="H65:N65">
    <cfRule type="cellIs" dxfId="7005" priority="8" operator="lessThan">
      <formula>5</formula>
    </cfRule>
  </conditionalFormatting>
  <conditionalFormatting sqref="H65:N65">
    <cfRule type="expression" dxfId="7004" priority="7">
      <formula>5</formula>
    </cfRule>
  </conditionalFormatting>
  <conditionalFormatting sqref="H65:N65">
    <cfRule type="cellIs" dxfId="7003" priority="6" operator="lessThan">
      <formula>50</formula>
    </cfRule>
  </conditionalFormatting>
  <conditionalFormatting sqref="P65">
    <cfRule type="cellIs" dxfId="7002" priority="5" operator="lessThan">
      <formula>50</formula>
    </cfRule>
  </conditionalFormatting>
  <conditionalFormatting sqref="H66:N66">
    <cfRule type="cellIs" dxfId="7001" priority="4" operator="lessThan">
      <formula>5</formula>
    </cfRule>
  </conditionalFormatting>
  <conditionalFormatting sqref="H66:N66">
    <cfRule type="expression" dxfId="7000" priority="3">
      <formula>5</formula>
    </cfRule>
  </conditionalFormatting>
  <conditionalFormatting sqref="H66:N66">
    <cfRule type="cellIs" dxfId="6999" priority="2" operator="lessThan">
      <formula>50</formula>
    </cfRule>
  </conditionalFormatting>
  <conditionalFormatting sqref="P66">
    <cfRule type="cellIs" dxfId="6998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9:E9 D11:E11 D13:E18 D34:E34" xr:uid="{2A44136A-E10B-461F-93D1-8D28053290B8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A281-179D-4303-9440-992AAFCC8E31}">
  <sheetPr codeName="Sheet94"/>
  <dimension ref="A1:Q66"/>
  <sheetViews>
    <sheetView showGridLines="0" workbookViewId="0">
      <selection activeCell="J18" sqref="J18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6" width="4.7109375" style="44" customWidth="1"/>
    <col min="17" max="17" width="4.7109375" customWidth="1"/>
  </cols>
  <sheetData>
    <row r="1" spans="1:17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42"/>
      <c r="Q4" s="11"/>
    </row>
    <row r="5" spans="1:17" ht="16.5" customHeight="1">
      <c r="A5" s="57" t="s">
        <v>5326</v>
      </c>
      <c r="B5" s="57"/>
      <c r="C5" s="17"/>
      <c r="D5" s="15" t="s">
        <v>5338</v>
      </c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42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7" t="s">
        <v>7</v>
      </c>
      <c r="I6" s="38" t="s">
        <v>1</v>
      </c>
      <c r="J6" s="37" t="s">
        <v>8</v>
      </c>
      <c r="K6" s="37" t="s">
        <v>2</v>
      </c>
      <c r="L6" s="37" t="s">
        <v>9</v>
      </c>
      <c r="M6" s="47" t="s">
        <v>10</v>
      </c>
      <c r="N6" s="37" t="s">
        <v>3</v>
      </c>
      <c r="O6" s="37" t="s">
        <v>5320</v>
      </c>
      <c r="P6" s="45" t="s">
        <v>5321</v>
      </c>
      <c r="Q6" s="39" t="s">
        <v>5324</v>
      </c>
    </row>
    <row r="7" spans="1:17" ht="18" customHeight="1" thickTop="1">
      <c r="A7" s="19">
        <v>1</v>
      </c>
      <c r="B7" s="2" t="s">
        <v>1824</v>
      </c>
      <c r="C7" s="1" t="s">
        <v>1825</v>
      </c>
      <c r="D7" s="3" t="s">
        <v>1826</v>
      </c>
      <c r="E7" s="1" t="s">
        <v>71</v>
      </c>
      <c r="F7" s="10" t="s">
        <v>1792</v>
      </c>
      <c r="G7" s="2">
        <v>35</v>
      </c>
      <c r="H7" s="8">
        <v>80</v>
      </c>
      <c r="I7" s="8">
        <v>85</v>
      </c>
      <c r="J7" s="8">
        <v>100</v>
      </c>
      <c r="K7" s="8">
        <v>90</v>
      </c>
      <c r="L7" s="8">
        <v>65</v>
      </c>
      <c r="M7" s="8">
        <v>70</v>
      </c>
      <c r="N7" s="8">
        <v>85</v>
      </c>
      <c r="O7" s="1">
        <f t="shared" ref="O7:O38" si="0">SUBTOTAL(9,I7:N7)</f>
        <v>495</v>
      </c>
      <c r="P7" s="14">
        <f t="shared" ref="P7:P38" si="1">O7/7</f>
        <v>70.714285714285708</v>
      </c>
      <c r="Q7" s="20">
        <f t="shared" ref="Q7:Q38" si="2">RANK(P7,P$7:P$311,0)</f>
        <v>1</v>
      </c>
    </row>
    <row r="8" spans="1:17" ht="18" customHeight="1">
      <c r="A8" s="19">
        <v>2</v>
      </c>
      <c r="B8" s="2" t="s">
        <v>1845</v>
      </c>
      <c r="C8" s="1" t="s">
        <v>1846</v>
      </c>
      <c r="D8" s="3" t="s">
        <v>1847</v>
      </c>
      <c r="E8" s="1" t="s">
        <v>61</v>
      </c>
      <c r="F8" s="10" t="s">
        <v>1792</v>
      </c>
      <c r="G8" s="2">
        <v>35</v>
      </c>
      <c r="H8" s="8">
        <v>85</v>
      </c>
      <c r="I8" s="8">
        <v>78</v>
      </c>
      <c r="J8" s="8">
        <v>85</v>
      </c>
      <c r="K8" s="8">
        <v>95</v>
      </c>
      <c r="L8" s="8">
        <v>75</v>
      </c>
      <c r="M8" s="8">
        <v>90</v>
      </c>
      <c r="N8" s="8">
        <v>45</v>
      </c>
      <c r="O8" s="1">
        <f t="shared" si="0"/>
        <v>468</v>
      </c>
      <c r="P8" s="14">
        <f t="shared" si="1"/>
        <v>66.857142857142861</v>
      </c>
      <c r="Q8" s="20">
        <f t="shared" si="2"/>
        <v>2</v>
      </c>
    </row>
    <row r="9" spans="1:17" ht="18" customHeight="1">
      <c r="A9" s="19">
        <v>3</v>
      </c>
      <c r="B9" s="2" t="s">
        <v>1821</v>
      </c>
      <c r="C9" s="1" t="s">
        <v>1822</v>
      </c>
      <c r="D9" s="3" t="s">
        <v>1823</v>
      </c>
      <c r="E9" s="1" t="s">
        <v>57</v>
      </c>
      <c r="F9" s="10" t="s">
        <v>1792</v>
      </c>
      <c r="G9" s="2">
        <v>35</v>
      </c>
      <c r="H9" s="8">
        <v>80</v>
      </c>
      <c r="I9" s="8">
        <v>68</v>
      </c>
      <c r="J9" s="8">
        <v>90</v>
      </c>
      <c r="K9" s="8">
        <v>85</v>
      </c>
      <c r="L9" s="8">
        <v>70</v>
      </c>
      <c r="M9" s="8">
        <v>80</v>
      </c>
      <c r="N9" s="8">
        <v>65</v>
      </c>
      <c r="O9" s="1">
        <f t="shared" si="0"/>
        <v>458</v>
      </c>
      <c r="P9" s="14">
        <f t="shared" si="1"/>
        <v>65.428571428571431</v>
      </c>
      <c r="Q9" s="20">
        <f t="shared" si="2"/>
        <v>3</v>
      </c>
    </row>
    <row r="10" spans="1:17" ht="18" customHeight="1">
      <c r="A10" s="19">
        <v>4</v>
      </c>
      <c r="B10" s="2" t="s">
        <v>1914</v>
      </c>
      <c r="C10" s="1">
        <v>311260305</v>
      </c>
      <c r="D10" s="3" t="s">
        <v>1915</v>
      </c>
      <c r="E10" s="1" t="s">
        <v>78</v>
      </c>
      <c r="F10" s="10" t="s">
        <v>1792</v>
      </c>
      <c r="G10" s="2">
        <v>37</v>
      </c>
      <c r="H10" s="8">
        <v>85</v>
      </c>
      <c r="I10" s="8">
        <v>90</v>
      </c>
      <c r="J10" s="8">
        <v>75</v>
      </c>
      <c r="K10" s="8">
        <v>70</v>
      </c>
      <c r="L10" s="8">
        <v>80</v>
      </c>
      <c r="M10" s="8">
        <v>45</v>
      </c>
      <c r="N10" s="8">
        <v>85</v>
      </c>
      <c r="O10" s="1">
        <f t="shared" si="0"/>
        <v>445</v>
      </c>
      <c r="P10" s="14">
        <f t="shared" si="1"/>
        <v>63.571428571428569</v>
      </c>
      <c r="Q10" s="20">
        <f t="shared" si="2"/>
        <v>4</v>
      </c>
    </row>
    <row r="11" spans="1:17" ht="18" customHeight="1">
      <c r="A11" s="19">
        <v>5</v>
      </c>
      <c r="B11" s="2" t="s">
        <v>1802</v>
      </c>
      <c r="C11" s="1" t="s">
        <v>1803</v>
      </c>
      <c r="D11" s="3" t="s">
        <v>465</v>
      </c>
      <c r="E11" s="1" t="s">
        <v>55</v>
      </c>
      <c r="F11" s="10" t="s">
        <v>1792</v>
      </c>
      <c r="G11" s="2">
        <v>35</v>
      </c>
      <c r="H11" s="8">
        <v>95</v>
      </c>
      <c r="I11" s="8">
        <v>78</v>
      </c>
      <c r="J11" s="8">
        <v>85</v>
      </c>
      <c r="K11" s="8">
        <v>95</v>
      </c>
      <c r="L11" s="8">
        <v>55</v>
      </c>
      <c r="M11" s="8">
        <v>95</v>
      </c>
      <c r="N11" s="8">
        <v>30</v>
      </c>
      <c r="O11" s="1">
        <f t="shared" si="0"/>
        <v>438</v>
      </c>
      <c r="P11" s="14">
        <f t="shared" si="1"/>
        <v>62.571428571428569</v>
      </c>
      <c r="Q11" s="20">
        <f t="shared" si="2"/>
        <v>5</v>
      </c>
    </row>
    <row r="12" spans="1:17" ht="18" customHeight="1">
      <c r="A12" s="19">
        <v>6</v>
      </c>
      <c r="B12" s="2" t="s">
        <v>1910</v>
      </c>
      <c r="C12" s="1">
        <v>311260303</v>
      </c>
      <c r="D12" s="3" t="s">
        <v>1911</v>
      </c>
      <c r="E12" s="1" t="s">
        <v>69</v>
      </c>
      <c r="F12" s="10" t="s">
        <v>1792</v>
      </c>
      <c r="G12" s="2">
        <v>37</v>
      </c>
      <c r="H12" s="8">
        <v>65</v>
      </c>
      <c r="I12" s="8">
        <v>55</v>
      </c>
      <c r="J12" s="8">
        <v>70</v>
      </c>
      <c r="K12" s="8">
        <v>70</v>
      </c>
      <c r="L12" s="8">
        <v>80</v>
      </c>
      <c r="M12" s="8">
        <v>85</v>
      </c>
      <c r="N12" s="8">
        <v>70</v>
      </c>
      <c r="O12" s="1">
        <f t="shared" si="0"/>
        <v>430</v>
      </c>
      <c r="P12" s="14">
        <f t="shared" si="1"/>
        <v>61.428571428571431</v>
      </c>
      <c r="Q12" s="20">
        <f t="shared" si="2"/>
        <v>6</v>
      </c>
    </row>
    <row r="13" spans="1:17" ht="18" customHeight="1">
      <c r="A13" s="19">
        <v>7</v>
      </c>
      <c r="B13" s="2" t="s">
        <v>1928</v>
      </c>
      <c r="C13" s="1">
        <v>311260432</v>
      </c>
      <c r="D13" s="3" t="s">
        <v>1929</v>
      </c>
      <c r="E13" s="1" t="s">
        <v>68</v>
      </c>
      <c r="F13" s="10" t="s">
        <v>1792</v>
      </c>
      <c r="G13" s="2">
        <v>37</v>
      </c>
      <c r="H13" s="8">
        <v>75</v>
      </c>
      <c r="I13" s="8">
        <v>83</v>
      </c>
      <c r="J13" s="8">
        <v>40</v>
      </c>
      <c r="K13" s="8">
        <v>60</v>
      </c>
      <c r="L13" s="8">
        <v>65</v>
      </c>
      <c r="M13" s="8">
        <v>80</v>
      </c>
      <c r="N13" s="8">
        <v>80</v>
      </c>
      <c r="O13" s="1">
        <f t="shared" si="0"/>
        <v>408</v>
      </c>
      <c r="P13" s="14">
        <f t="shared" si="1"/>
        <v>58.285714285714285</v>
      </c>
      <c r="Q13" s="20">
        <f t="shared" si="2"/>
        <v>7</v>
      </c>
    </row>
    <row r="14" spans="1:17" ht="18" customHeight="1">
      <c r="A14" s="19">
        <v>8</v>
      </c>
      <c r="B14" s="2" t="s">
        <v>1836</v>
      </c>
      <c r="C14" s="1" t="s">
        <v>1837</v>
      </c>
      <c r="D14" s="3" t="s">
        <v>1838</v>
      </c>
      <c r="E14" s="1" t="s">
        <v>59</v>
      </c>
      <c r="F14" s="10" t="s">
        <v>1792</v>
      </c>
      <c r="G14" s="2">
        <v>35</v>
      </c>
      <c r="H14" s="8">
        <v>65</v>
      </c>
      <c r="I14" s="8">
        <v>80</v>
      </c>
      <c r="J14" s="8">
        <v>85</v>
      </c>
      <c r="K14" s="8">
        <v>60</v>
      </c>
      <c r="L14" s="8">
        <v>60</v>
      </c>
      <c r="M14" s="8">
        <v>75</v>
      </c>
      <c r="N14" s="8">
        <v>40</v>
      </c>
      <c r="O14" s="1">
        <f t="shared" si="0"/>
        <v>400</v>
      </c>
      <c r="P14" s="14">
        <f t="shared" si="1"/>
        <v>57.142857142857146</v>
      </c>
      <c r="Q14" s="20">
        <f t="shared" si="2"/>
        <v>8</v>
      </c>
    </row>
    <row r="15" spans="1:17" ht="18" customHeight="1">
      <c r="A15" s="19">
        <v>9</v>
      </c>
      <c r="B15" s="2" t="s">
        <v>1796</v>
      </c>
      <c r="C15" s="1" t="s">
        <v>1797</v>
      </c>
      <c r="D15" s="3" t="s">
        <v>1798</v>
      </c>
      <c r="E15" s="1" t="s">
        <v>55</v>
      </c>
      <c r="F15" s="10" t="s">
        <v>1792</v>
      </c>
      <c r="G15" s="2">
        <v>34</v>
      </c>
      <c r="H15" s="8">
        <v>70</v>
      </c>
      <c r="I15" s="8">
        <v>75</v>
      </c>
      <c r="J15" s="8">
        <v>75</v>
      </c>
      <c r="K15" s="8">
        <v>95</v>
      </c>
      <c r="L15" s="8">
        <v>50</v>
      </c>
      <c r="M15" s="8">
        <v>50</v>
      </c>
      <c r="N15" s="8">
        <v>50</v>
      </c>
      <c r="O15" s="1">
        <f t="shared" si="0"/>
        <v>395</v>
      </c>
      <c r="P15" s="14">
        <f t="shared" si="1"/>
        <v>56.428571428571431</v>
      </c>
      <c r="Q15" s="20">
        <f t="shared" si="2"/>
        <v>9</v>
      </c>
    </row>
    <row r="16" spans="1:17" ht="18" customHeight="1">
      <c r="A16" s="19">
        <v>10</v>
      </c>
      <c r="B16" s="2" t="s">
        <v>1804</v>
      </c>
      <c r="C16" s="1" t="s">
        <v>1805</v>
      </c>
      <c r="D16" s="3" t="s">
        <v>1806</v>
      </c>
      <c r="E16" s="1" t="s">
        <v>55</v>
      </c>
      <c r="F16" s="10" t="s">
        <v>1792</v>
      </c>
      <c r="G16" s="2">
        <v>35</v>
      </c>
      <c r="H16" s="8">
        <v>50</v>
      </c>
      <c r="I16" s="8">
        <v>73</v>
      </c>
      <c r="J16" s="8">
        <v>65</v>
      </c>
      <c r="K16" s="8">
        <v>70</v>
      </c>
      <c r="L16" s="8">
        <v>60</v>
      </c>
      <c r="M16" s="8">
        <v>55</v>
      </c>
      <c r="N16" s="8">
        <v>70</v>
      </c>
      <c r="O16" s="1">
        <f t="shared" si="0"/>
        <v>393</v>
      </c>
      <c r="P16" s="14">
        <f t="shared" si="1"/>
        <v>56.142857142857146</v>
      </c>
      <c r="Q16" s="20">
        <f t="shared" si="2"/>
        <v>10</v>
      </c>
    </row>
    <row r="17" spans="1:17" ht="18" customHeight="1">
      <c r="A17" s="19">
        <v>11</v>
      </c>
      <c r="B17" s="2" t="s">
        <v>1890</v>
      </c>
      <c r="C17" s="1" t="s">
        <v>1891</v>
      </c>
      <c r="D17" s="3" t="s">
        <v>1892</v>
      </c>
      <c r="E17" s="1" t="s">
        <v>66</v>
      </c>
      <c r="F17" s="10" t="s">
        <v>1792</v>
      </c>
      <c r="G17" s="2">
        <v>36</v>
      </c>
      <c r="H17" s="8">
        <v>60</v>
      </c>
      <c r="I17" s="8">
        <v>70</v>
      </c>
      <c r="J17" s="8">
        <v>40</v>
      </c>
      <c r="K17" s="8">
        <v>85</v>
      </c>
      <c r="L17" s="8">
        <v>85</v>
      </c>
      <c r="M17" s="8">
        <v>45</v>
      </c>
      <c r="N17" s="8">
        <v>65</v>
      </c>
      <c r="O17" s="1">
        <f t="shared" si="0"/>
        <v>390</v>
      </c>
      <c r="P17" s="14">
        <f t="shared" si="1"/>
        <v>55.714285714285715</v>
      </c>
      <c r="Q17" s="20">
        <f t="shared" si="2"/>
        <v>11</v>
      </c>
    </row>
    <row r="18" spans="1:17" ht="18" customHeight="1">
      <c r="A18" s="19">
        <v>12</v>
      </c>
      <c r="B18" s="2" t="s">
        <v>1833</v>
      </c>
      <c r="C18" s="1" t="s">
        <v>1834</v>
      </c>
      <c r="D18" s="3" t="s">
        <v>1835</v>
      </c>
      <c r="E18" s="1" t="s">
        <v>72</v>
      </c>
      <c r="F18" s="10" t="s">
        <v>1792</v>
      </c>
      <c r="G18" s="2">
        <v>35</v>
      </c>
      <c r="H18" s="8">
        <v>75</v>
      </c>
      <c r="I18" s="8">
        <v>73</v>
      </c>
      <c r="J18" s="8">
        <v>65</v>
      </c>
      <c r="K18" s="8">
        <v>55</v>
      </c>
      <c r="L18" s="8">
        <v>65</v>
      </c>
      <c r="M18" s="8">
        <v>70</v>
      </c>
      <c r="N18" s="8">
        <v>60</v>
      </c>
      <c r="O18" s="1">
        <f t="shared" si="0"/>
        <v>388</v>
      </c>
      <c r="P18" s="14">
        <f t="shared" si="1"/>
        <v>55.428571428571431</v>
      </c>
      <c r="Q18" s="20">
        <f t="shared" si="2"/>
        <v>12</v>
      </c>
    </row>
    <row r="19" spans="1:17" ht="18" customHeight="1">
      <c r="A19" s="19">
        <v>13</v>
      </c>
      <c r="B19" s="2" t="s">
        <v>1839</v>
      </c>
      <c r="C19" s="1" t="s">
        <v>1840</v>
      </c>
      <c r="D19" s="3" t="s">
        <v>1841</v>
      </c>
      <c r="E19" s="1" t="s">
        <v>60</v>
      </c>
      <c r="F19" s="10" t="s">
        <v>1792</v>
      </c>
      <c r="G19" s="2">
        <v>35</v>
      </c>
      <c r="H19" s="8">
        <v>50</v>
      </c>
      <c r="I19" s="8">
        <v>90</v>
      </c>
      <c r="J19" s="8">
        <v>63</v>
      </c>
      <c r="K19" s="8">
        <v>80</v>
      </c>
      <c r="L19" s="8">
        <v>50</v>
      </c>
      <c r="M19" s="8">
        <v>35</v>
      </c>
      <c r="N19" s="8">
        <v>70</v>
      </c>
      <c r="O19" s="1">
        <f t="shared" si="0"/>
        <v>388</v>
      </c>
      <c r="P19" s="14">
        <f t="shared" si="1"/>
        <v>55.428571428571431</v>
      </c>
      <c r="Q19" s="20">
        <f t="shared" si="2"/>
        <v>12</v>
      </c>
    </row>
    <row r="20" spans="1:17" ht="18" customHeight="1">
      <c r="A20" s="19">
        <v>14</v>
      </c>
      <c r="B20" s="2" t="s">
        <v>1893</v>
      </c>
      <c r="C20" s="1" t="s">
        <v>1894</v>
      </c>
      <c r="D20" s="3" t="s">
        <v>1895</v>
      </c>
      <c r="E20" s="1" t="s">
        <v>67</v>
      </c>
      <c r="F20" s="10" t="s">
        <v>1792</v>
      </c>
      <c r="G20" s="2">
        <v>36</v>
      </c>
      <c r="H20" s="8">
        <v>70</v>
      </c>
      <c r="I20" s="8">
        <v>83</v>
      </c>
      <c r="J20" s="8">
        <v>35</v>
      </c>
      <c r="K20" s="8">
        <v>85</v>
      </c>
      <c r="L20" s="8">
        <v>45</v>
      </c>
      <c r="M20" s="8">
        <v>65</v>
      </c>
      <c r="N20" s="8">
        <v>70</v>
      </c>
      <c r="O20" s="1">
        <f t="shared" si="0"/>
        <v>383</v>
      </c>
      <c r="P20" s="14">
        <f t="shared" si="1"/>
        <v>54.714285714285715</v>
      </c>
      <c r="Q20" s="20">
        <f t="shared" si="2"/>
        <v>14</v>
      </c>
    </row>
    <row r="21" spans="1:17" ht="18" customHeight="1">
      <c r="A21" s="19">
        <v>15</v>
      </c>
      <c r="B21" s="2" t="s">
        <v>1793</v>
      </c>
      <c r="C21" s="1" t="s">
        <v>1794</v>
      </c>
      <c r="D21" s="3" t="s">
        <v>1795</v>
      </c>
      <c r="E21" s="1" t="s">
        <v>69</v>
      </c>
      <c r="F21" s="10" t="s">
        <v>1792</v>
      </c>
      <c r="G21" s="2">
        <v>34</v>
      </c>
      <c r="H21" s="8">
        <v>50</v>
      </c>
      <c r="I21" s="8">
        <v>70</v>
      </c>
      <c r="J21" s="8">
        <v>60</v>
      </c>
      <c r="K21" s="8">
        <v>50</v>
      </c>
      <c r="L21" s="8">
        <v>65</v>
      </c>
      <c r="M21" s="8">
        <v>75</v>
      </c>
      <c r="N21" s="8">
        <v>60</v>
      </c>
      <c r="O21" s="1">
        <f t="shared" si="0"/>
        <v>380</v>
      </c>
      <c r="P21" s="14">
        <f t="shared" si="1"/>
        <v>54.285714285714285</v>
      </c>
      <c r="Q21" s="20">
        <f t="shared" si="2"/>
        <v>15</v>
      </c>
    </row>
    <row r="22" spans="1:17" ht="18" customHeight="1">
      <c r="A22" s="19">
        <v>16</v>
      </c>
      <c r="B22" s="2" t="s">
        <v>1924</v>
      </c>
      <c r="C22" s="1">
        <v>311260430</v>
      </c>
      <c r="D22" s="3" t="s">
        <v>1925</v>
      </c>
      <c r="E22" s="1" t="s">
        <v>67</v>
      </c>
      <c r="F22" s="10" t="s">
        <v>1792</v>
      </c>
      <c r="G22" s="2">
        <v>37</v>
      </c>
      <c r="H22" s="8">
        <v>65</v>
      </c>
      <c r="I22" s="8">
        <v>73</v>
      </c>
      <c r="J22" s="8">
        <v>50</v>
      </c>
      <c r="K22" s="8">
        <v>60</v>
      </c>
      <c r="L22" s="8">
        <v>45</v>
      </c>
      <c r="M22" s="8">
        <v>60</v>
      </c>
      <c r="N22" s="8">
        <v>85</v>
      </c>
      <c r="O22" s="1">
        <f t="shared" si="0"/>
        <v>373</v>
      </c>
      <c r="P22" s="14">
        <f t="shared" si="1"/>
        <v>53.285714285714285</v>
      </c>
      <c r="Q22" s="20">
        <f t="shared" si="2"/>
        <v>16</v>
      </c>
    </row>
    <row r="23" spans="1:17" ht="18" customHeight="1">
      <c r="A23" s="19">
        <v>17</v>
      </c>
      <c r="B23" s="2" t="s">
        <v>1810</v>
      </c>
      <c r="C23" s="1" t="s">
        <v>1811</v>
      </c>
      <c r="D23" s="3" t="s">
        <v>1812</v>
      </c>
      <c r="E23" s="1" t="s">
        <v>79</v>
      </c>
      <c r="F23" s="10" t="s">
        <v>1792</v>
      </c>
      <c r="G23" s="2">
        <v>35</v>
      </c>
      <c r="H23" s="8">
        <v>80</v>
      </c>
      <c r="I23" s="8">
        <v>70</v>
      </c>
      <c r="J23" s="8">
        <v>65</v>
      </c>
      <c r="K23" s="8">
        <v>85</v>
      </c>
      <c r="L23" s="8">
        <v>45</v>
      </c>
      <c r="M23" s="8">
        <v>55</v>
      </c>
      <c r="N23" s="8">
        <v>45</v>
      </c>
      <c r="O23" s="1">
        <f t="shared" si="0"/>
        <v>365</v>
      </c>
      <c r="P23" s="14">
        <f t="shared" si="1"/>
        <v>52.142857142857146</v>
      </c>
      <c r="Q23" s="20">
        <f t="shared" si="2"/>
        <v>17</v>
      </c>
    </row>
    <row r="24" spans="1:17" ht="18" customHeight="1">
      <c r="A24" s="19">
        <v>18</v>
      </c>
      <c r="B24" s="2" t="s">
        <v>1842</v>
      </c>
      <c r="C24" s="1" t="s">
        <v>1843</v>
      </c>
      <c r="D24" s="3" t="s">
        <v>1844</v>
      </c>
      <c r="E24" s="1" t="s">
        <v>60</v>
      </c>
      <c r="F24" s="10" t="s">
        <v>1792</v>
      </c>
      <c r="G24" s="2">
        <v>35</v>
      </c>
      <c r="H24" s="8">
        <v>80</v>
      </c>
      <c r="I24" s="8">
        <v>68</v>
      </c>
      <c r="J24" s="8">
        <v>70</v>
      </c>
      <c r="K24" s="8">
        <v>80</v>
      </c>
      <c r="L24" s="8">
        <v>80</v>
      </c>
      <c r="M24" s="8">
        <v>35</v>
      </c>
      <c r="N24" s="8">
        <v>30</v>
      </c>
      <c r="O24" s="1">
        <f t="shared" si="0"/>
        <v>363</v>
      </c>
      <c r="P24" s="14">
        <f t="shared" si="1"/>
        <v>51.857142857142854</v>
      </c>
      <c r="Q24" s="20">
        <f t="shared" si="2"/>
        <v>18</v>
      </c>
    </row>
    <row r="25" spans="1:17" ht="18" customHeight="1">
      <c r="A25" s="19">
        <v>19</v>
      </c>
      <c r="B25" s="2" t="s">
        <v>1934</v>
      </c>
      <c r="C25" s="1">
        <v>311260919</v>
      </c>
      <c r="D25" s="3" t="s">
        <v>1935</v>
      </c>
      <c r="E25" s="1" t="s">
        <v>90</v>
      </c>
      <c r="F25" s="10" t="s">
        <v>1792</v>
      </c>
      <c r="G25" s="2">
        <v>37</v>
      </c>
      <c r="H25" s="8">
        <v>60</v>
      </c>
      <c r="I25" s="8">
        <v>58</v>
      </c>
      <c r="J25" s="8">
        <v>60</v>
      </c>
      <c r="K25" s="8">
        <v>55</v>
      </c>
      <c r="L25" s="8">
        <v>40</v>
      </c>
      <c r="M25" s="8">
        <v>60</v>
      </c>
      <c r="N25" s="8">
        <v>90</v>
      </c>
      <c r="O25" s="1">
        <f t="shared" si="0"/>
        <v>363</v>
      </c>
      <c r="P25" s="14">
        <f t="shared" si="1"/>
        <v>51.857142857142854</v>
      </c>
      <c r="Q25" s="20">
        <f t="shared" si="2"/>
        <v>18</v>
      </c>
    </row>
    <row r="26" spans="1:17" ht="18" customHeight="1">
      <c r="A26" s="19">
        <v>20</v>
      </c>
      <c r="B26" s="2" t="s">
        <v>1938</v>
      </c>
      <c r="C26" s="1">
        <v>311260921</v>
      </c>
      <c r="D26" s="3" t="s">
        <v>1939</v>
      </c>
      <c r="E26" s="1" t="s">
        <v>82</v>
      </c>
      <c r="F26" s="10" t="s">
        <v>1792</v>
      </c>
      <c r="G26" s="2">
        <v>37</v>
      </c>
      <c r="H26" s="8">
        <v>80</v>
      </c>
      <c r="I26" s="8">
        <v>70</v>
      </c>
      <c r="J26" s="8">
        <v>15</v>
      </c>
      <c r="K26" s="8">
        <v>55</v>
      </c>
      <c r="L26" s="8">
        <v>70</v>
      </c>
      <c r="M26" s="8">
        <v>70</v>
      </c>
      <c r="N26" s="8">
        <v>60</v>
      </c>
      <c r="O26" s="1">
        <f t="shared" si="0"/>
        <v>340</v>
      </c>
      <c r="P26" s="14">
        <f t="shared" si="1"/>
        <v>48.571428571428569</v>
      </c>
      <c r="Q26" s="20">
        <f t="shared" si="2"/>
        <v>20</v>
      </c>
    </row>
    <row r="27" spans="1:17" ht="18" customHeight="1">
      <c r="A27" s="19">
        <v>21</v>
      </c>
      <c r="B27" s="2" t="s">
        <v>1866</v>
      </c>
      <c r="C27" s="1" t="s">
        <v>1867</v>
      </c>
      <c r="D27" s="3" t="s">
        <v>1868</v>
      </c>
      <c r="E27" s="1" t="s">
        <v>78</v>
      </c>
      <c r="F27" s="10" t="s">
        <v>1792</v>
      </c>
      <c r="G27" s="2">
        <v>36</v>
      </c>
      <c r="H27" s="8">
        <v>75</v>
      </c>
      <c r="I27" s="8">
        <v>63</v>
      </c>
      <c r="J27" s="8">
        <v>35</v>
      </c>
      <c r="K27" s="8">
        <v>80</v>
      </c>
      <c r="L27" s="8">
        <v>40</v>
      </c>
      <c r="M27" s="8">
        <v>70</v>
      </c>
      <c r="N27" s="8">
        <v>50</v>
      </c>
      <c r="O27" s="1">
        <f t="shared" si="0"/>
        <v>338</v>
      </c>
      <c r="P27" s="14">
        <f t="shared" si="1"/>
        <v>48.285714285714285</v>
      </c>
      <c r="Q27" s="20">
        <f t="shared" si="2"/>
        <v>21</v>
      </c>
    </row>
    <row r="28" spans="1:17" ht="18" customHeight="1">
      <c r="A28" s="19">
        <v>22</v>
      </c>
      <c r="B28" s="2" t="s">
        <v>1851</v>
      </c>
      <c r="C28" s="1" t="s">
        <v>1852</v>
      </c>
      <c r="D28" s="3" t="s">
        <v>1853</v>
      </c>
      <c r="E28" s="1" t="s">
        <v>73</v>
      </c>
      <c r="F28" s="10" t="s">
        <v>1792</v>
      </c>
      <c r="G28" s="2">
        <v>35</v>
      </c>
      <c r="H28" s="8">
        <v>65</v>
      </c>
      <c r="I28" s="8">
        <v>55</v>
      </c>
      <c r="J28" s="8">
        <v>40</v>
      </c>
      <c r="K28" s="8">
        <v>60</v>
      </c>
      <c r="L28" s="8">
        <v>45</v>
      </c>
      <c r="M28" s="8">
        <v>85</v>
      </c>
      <c r="N28" s="8">
        <v>40</v>
      </c>
      <c r="O28" s="1">
        <f t="shared" si="0"/>
        <v>325</v>
      </c>
      <c r="P28" s="14">
        <f t="shared" si="1"/>
        <v>46.428571428571431</v>
      </c>
      <c r="Q28" s="20">
        <f t="shared" si="2"/>
        <v>22</v>
      </c>
    </row>
    <row r="29" spans="1:17" ht="18" customHeight="1">
      <c r="A29" s="19">
        <v>23</v>
      </c>
      <c r="B29" s="2" t="s">
        <v>1875</v>
      </c>
      <c r="C29" s="1" t="s">
        <v>1876</v>
      </c>
      <c r="D29" s="3" t="s">
        <v>1877</v>
      </c>
      <c r="E29" s="1" t="s">
        <v>65</v>
      </c>
      <c r="F29" s="10" t="s">
        <v>1792</v>
      </c>
      <c r="G29" s="2">
        <v>36</v>
      </c>
      <c r="H29" s="8">
        <v>60</v>
      </c>
      <c r="I29" s="8">
        <v>70</v>
      </c>
      <c r="J29" s="8">
        <v>20</v>
      </c>
      <c r="K29" s="8">
        <v>75</v>
      </c>
      <c r="L29" s="8">
        <v>70</v>
      </c>
      <c r="M29" s="8">
        <v>35</v>
      </c>
      <c r="N29" s="8">
        <v>55</v>
      </c>
      <c r="O29" s="1">
        <f t="shared" si="0"/>
        <v>325</v>
      </c>
      <c r="P29" s="14">
        <f t="shared" si="1"/>
        <v>46.428571428571431</v>
      </c>
      <c r="Q29" s="20">
        <f t="shared" si="2"/>
        <v>22</v>
      </c>
    </row>
    <row r="30" spans="1:17" ht="18" customHeight="1">
      <c r="A30" s="19">
        <v>24</v>
      </c>
      <c r="B30" s="2" t="s">
        <v>1878</v>
      </c>
      <c r="C30" s="1" t="s">
        <v>1879</v>
      </c>
      <c r="D30" s="3" t="s">
        <v>1880</v>
      </c>
      <c r="E30" s="1" t="s">
        <v>82</v>
      </c>
      <c r="F30" s="10" t="s">
        <v>1792</v>
      </c>
      <c r="G30" s="2">
        <v>36</v>
      </c>
      <c r="H30" s="8">
        <v>60</v>
      </c>
      <c r="I30" s="8">
        <v>70</v>
      </c>
      <c r="J30" s="8">
        <v>25</v>
      </c>
      <c r="K30" s="8">
        <v>60</v>
      </c>
      <c r="L30" s="8">
        <v>65</v>
      </c>
      <c r="M30" s="8">
        <v>65</v>
      </c>
      <c r="N30" s="8">
        <v>35</v>
      </c>
      <c r="O30" s="1">
        <f t="shared" si="0"/>
        <v>320</v>
      </c>
      <c r="P30" s="14">
        <f t="shared" si="1"/>
        <v>45.714285714285715</v>
      </c>
      <c r="Q30" s="20">
        <f t="shared" si="2"/>
        <v>24</v>
      </c>
    </row>
    <row r="31" spans="1:17" ht="18" customHeight="1">
      <c r="A31" s="19">
        <v>25</v>
      </c>
      <c r="B31" s="2" t="s">
        <v>1860</v>
      </c>
      <c r="C31" s="1" t="s">
        <v>1861</v>
      </c>
      <c r="D31" s="3" t="s">
        <v>1862</v>
      </c>
      <c r="E31" s="1" t="s">
        <v>64</v>
      </c>
      <c r="F31" s="10" t="s">
        <v>1792</v>
      </c>
      <c r="G31" s="2">
        <v>36</v>
      </c>
      <c r="H31" s="8">
        <v>60</v>
      </c>
      <c r="I31" s="8">
        <v>68</v>
      </c>
      <c r="J31" s="8">
        <v>55</v>
      </c>
      <c r="K31" s="8">
        <v>70</v>
      </c>
      <c r="L31" s="8">
        <v>40</v>
      </c>
      <c r="M31" s="8">
        <v>45</v>
      </c>
      <c r="N31" s="8">
        <v>40</v>
      </c>
      <c r="O31" s="1">
        <f t="shared" si="0"/>
        <v>318</v>
      </c>
      <c r="P31" s="14">
        <f t="shared" si="1"/>
        <v>45.428571428571431</v>
      </c>
      <c r="Q31" s="20">
        <f t="shared" si="2"/>
        <v>25</v>
      </c>
    </row>
    <row r="32" spans="1:17" ht="18" customHeight="1">
      <c r="A32" s="19">
        <v>26</v>
      </c>
      <c r="B32" s="2" t="s">
        <v>1908</v>
      </c>
      <c r="C32" s="1">
        <v>311260302</v>
      </c>
      <c r="D32" s="3" t="s">
        <v>1909</v>
      </c>
      <c r="E32" s="1" t="s">
        <v>69</v>
      </c>
      <c r="F32" s="10" t="s">
        <v>1792</v>
      </c>
      <c r="G32" s="2">
        <v>36</v>
      </c>
      <c r="H32" s="8">
        <v>70</v>
      </c>
      <c r="I32" s="8">
        <v>60</v>
      </c>
      <c r="J32" s="8">
        <v>35</v>
      </c>
      <c r="K32" s="8">
        <v>65</v>
      </c>
      <c r="L32" s="8">
        <v>75</v>
      </c>
      <c r="M32" s="8">
        <v>40</v>
      </c>
      <c r="N32" s="8">
        <v>35</v>
      </c>
      <c r="O32" s="1">
        <f t="shared" si="0"/>
        <v>310</v>
      </c>
      <c r="P32" s="14">
        <f t="shared" si="1"/>
        <v>44.285714285714285</v>
      </c>
      <c r="Q32" s="20">
        <f t="shared" si="2"/>
        <v>26</v>
      </c>
    </row>
    <row r="33" spans="1:17" ht="18" customHeight="1">
      <c r="A33" s="19">
        <v>27</v>
      </c>
      <c r="B33" s="2" t="s">
        <v>1946</v>
      </c>
      <c r="C33" s="1">
        <v>311260925</v>
      </c>
      <c r="D33" s="3" t="s">
        <v>1947</v>
      </c>
      <c r="E33" s="1" t="s">
        <v>353</v>
      </c>
      <c r="F33" s="10" t="s">
        <v>1792</v>
      </c>
      <c r="G33" s="2">
        <v>37</v>
      </c>
      <c r="H33" s="8">
        <v>65</v>
      </c>
      <c r="I33" s="8">
        <v>55</v>
      </c>
      <c r="J33" s="8">
        <v>45</v>
      </c>
      <c r="K33" s="8">
        <v>55</v>
      </c>
      <c r="L33" s="8">
        <v>45</v>
      </c>
      <c r="M33" s="8">
        <v>45</v>
      </c>
      <c r="N33" s="8">
        <v>60</v>
      </c>
      <c r="O33" s="1">
        <f t="shared" si="0"/>
        <v>305</v>
      </c>
      <c r="P33" s="14">
        <f t="shared" si="1"/>
        <v>43.571428571428569</v>
      </c>
      <c r="Q33" s="20">
        <f t="shared" si="2"/>
        <v>27</v>
      </c>
    </row>
    <row r="34" spans="1:17" ht="18" customHeight="1">
      <c r="A34" s="19">
        <v>28</v>
      </c>
      <c r="B34" s="2" t="s">
        <v>1799</v>
      </c>
      <c r="C34" s="1" t="s">
        <v>1800</v>
      </c>
      <c r="D34" s="3" t="s">
        <v>1801</v>
      </c>
      <c r="E34" s="1" t="s">
        <v>55</v>
      </c>
      <c r="F34" s="10" t="s">
        <v>1792</v>
      </c>
      <c r="G34" s="2">
        <v>35</v>
      </c>
      <c r="H34" s="8">
        <v>70</v>
      </c>
      <c r="I34" s="8">
        <v>63</v>
      </c>
      <c r="J34" s="8">
        <v>60</v>
      </c>
      <c r="K34" s="8">
        <v>60</v>
      </c>
      <c r="L34" s="8">
        <v>50</v>
      </c>
      <c r="M34" s="8">
        <v>50</v>
      </c>
      <c r="N34" s="8">
        <v>20</v>
      </c>
      <c r="O34" s="1">
        <f t="shared" si="0"/>
        <v>303</v>
      </c>
      <c r="P34" s="14">
        <f t="shared" si="1"/>
        <v>43.285714285714285</v>
      </c>
      <c r="Q34" s="20">
        <f t="shared" si="2"/>
        <v>28</v>
      </c>
    </row>
    <row r="35" spans="1:17" ht="18" customHeight="1">
      <c r="A35" s="19">
        <v>29</v>
      </c>
      <c r="B35" s="2" t="s">
        <v>1884</v>
      </c>
      <c r="C35" s="1" t="s">
        <v>1885</v>
      </c>
      <c r="D35" s="3" t="s">
        <v>1886</v>
      </c>
      <c r="E35" s="1" t="s">
        <v>66</v>
      </c>
      <c r="F35" s="10" t="s">
        <v>1792</v>
      </c>
      <c r="G35" s="2">
        <v>36</v>
      </c>
      <c r="H35" s="8">
        <v>50</v>
      </c>
      <c r="I35" s="8">
        <v>73</v>
      </c>
      <c r="J35" s="8">
        <v>50</v>
      </c>
      <c r="K35" s="8">
        <v>50</v>
      </c>
      <c r="L35" s="8">
        <v>50</v>
      </c>
      <c r="M35" s="8">
        <v>45</v>
      </c>
      <c r="N35" s="8">
        <v>35</v>
      </c>
      <c r="O35" s="1">
        <f t="shared" si="0"/>
        <v>303</v>
      </c>
      <c r="P35" s="14">
        <f t="shared" si="1"/>
        <v>43.285714285714285</v>
      </c>
      <c r="Q35" s="20">
        <f t="shared" si="2"/>
        <v>28</v>
      </c>
    </row>
    <row r="36" spans="1:17" ht="18" customHeight="1">
      <c r="A36" s="19">
        <v>30</v>
      </c>
      <c r="B36" s="2" t="s">
        <v>1830</v>
      </c>
      <c r="C36" s="1" t="s">
        <v>1831</v>
      </c>
      <c r="D36" s="3" t="s">
        <v>1832</v>
      </c>
      <c r="E36" s="1" t="s">
        <v>72</v>
      </c>
      <c r="F36" s="10" t="s">
        <v>1792</v>
      </c>
      <c r="G36" s="2">
        <v>35</v>
      </c>
      <c r="H36" s="8">
        <v>45</v>
      </c>
      <c r="I36" s="8">
        <v>63</v>
      </c>
      <c r="J36" s="8">
        <v>85</v>
      </c>
      <c r="K36" s="8">
        <v>35</v>
      </c>
      <c r="L36" s="8">
        <v>45</v>
      </c>
      <c r="M36" s="8">
        <v>40</v>
      </c>
      <c r="N36" s="8">
        <v>30</v>
      </c>
      <c r="O36" s="1">
        <f t="shared" si="0"/>
        <v>298</v>
      </c>
      <c r="P36" s="14">
        <f t="shared" si="1"/>
        <v>42.571428571428569</v>
      </c>
      <c r="Q36" s="20">
        <f t="shared" si="2"/>
        <v>30</v>
      </c>
    </row>
    <row r="37" spans="1:17" ht="18" customHeight="1">
      <c r="A37" s="19">
        <v>31</v>
      </c>
      <c r="B37" s="2" t="s">
        <v>1912</v>
      </c>
      <c r="C37" s="1">
        <v>311260304</v>
      </c>
      <c r="D37" s="3" t="s">
        <v>1913</v>
      </c>
      <c r="E37" s="1" t="s">
        <v>78</v>
      </c>
      <c r="F37" s="10" t="s">
        <v>1792</v>
      </c>
      <c r="G37" s="2">
        <v>37</v>
      </c>
      <c r="H37" s="8">
        <v>50</v>
      </c>
      <c r="I37" s="8">
        <v>75</v>
      </c>
      <c r="J37" s="8">
        <v>30</v>
      </c>
      <c r="K37" s="8">
        <v>50</v>
      </c>
      <c r="L37" s="8">
        <v>5</v>
      </c>
      <c r="M37" s="8">
        <v>50</v>
      </c>
      <c r="N37" s="8">
        <v>75</v>
      </c>
      <c r="O37" s="1">
        <f t="shared" si="0"/>
        <v>285</v>
      </c>
      <c r="P37" s="14">
        <f t="shared" si="1"/>
        <v>40.714285714285715</v>
      </c>
      <c r="Q37" s="20">
        <f t="shared" si="2"/>
        <v>31</v>
      </c>
    </row>
    <row r="38" spans="1:17" ht="18" customHeight="1">
      <c r="A38" s="19">
        <v>32</v>
      </c>
      <c r="B38" s="2" t="s">
        <v>1902</v>
      </c>
      <c r="C38" s="1" t="s">
        <v>1903</v>
      </c>
      <c r="D38" s="3" t="s">
        <v>1904</v>
      </c>
      <c r="E38" s="1" t="s">
        <v>75</v>
      </c>
      <c r="F38" s="10" t="s">
        <v>1792</v>
      </c>
      <c r="G38" s="2">
        <v>36</v>
      </c>
      <c r="H38" s="8">
        <v>70</v>
      </c>
      <c r="I38" s="8">
        <v>65</v>
      </c>
      <c r="J38" s="8">
        <v>30</v>
      </c>
      <c r="K38" s="8">
        <v>50</v>
      </c>
      <c r="L38" s="8">
        <v>55</v>
      </c>
      <c r="M38" s="8">
        <v>25</v>
      </c>
      <c r="N38" s="8">
        <v>55</v>
      </c>
      <c r="O38" s="1">
        <f t="shared" si="0"/>
        <v>280</v>
      </c>
      <c r="P38" s="14">
        <f t="shared" si="1"/>
        <v>40</v>
      </c>
      <c r="Q38" s="20">
        <f t="shared" si="2"/>
        <v>32</v>
      </c>
    </row>
    <row r="39" spans="1:17" ht="18" customHeight="1">
      <c r="A39" s="19">
        <v>33</v>
      </c>
      <c r="B39" s="2" t="s">
        <v>1940</v>
      </c>
      <c r="C39" s="1">
        <v>311260922</v>
      </c>
      <c r="D39" s="3" t="s">
        <v>1941</v>
      </c>
      <c r="E39" s="1" t="s">
        <v>67</v>
      </c>
      <c r="F39" s="10" t="s">
        <v>1792</v>
      </c>
      <c r="G39" s="2">
        <v>37</v>
      </c>
      <c r="H39" s="8">
        <v>45</v>
      </c>
      <c r="I39" s="8">
        <v>65</v>
      </c>
      <c r="J39" s="8">
        <v>30</v>
      </c>
      <c r="K39" s="8">
        <v>25</v>
      </c>
      <c r="L39" s="8">
        <v>25</v>
      </c>
      <c r="M39" s="8">
        <v>45</v>
      </c>
      <c r="N39" s="8">
        <v>80</v>
      </c>
      <c r="O39" s="1">
        <f t="shared" ref="O39:O66" si="3">SUBTOTAL(9,I39:N39)</f>
        <v>270</v>
      </c>
      <c r="P39" s="14">
        <f t="shared" ref="P39:P66" si="4">O39/7</f>
        <v>38.571428571428569</v>
      </c>
      <c r="Q39" s="20">
        <f t="shared" ref="Q39:Q66" si="5">RANK(P39,P$7:P$311,0)</f>
        <v>33</v>
      </c>
    </row>
    <row r="40" spans="1:17" ht="18" customHeight="1">
      <c r="A40" s="19">
        <v>34</v>
      </c>
      <c r="B40" s="2" t="s">
        <v>1863</v>
      </c>
      <c r="C40" s="1" t="s">
        <v>1864</v>
      </c>
      <c r="D40" s="3" t="s">
        <v>1865</v>
      </c>
      <c r="E40" s="1" t="s">
        <v>64</v>
      </c>
      <c r="F40" s="10" t="s">
        <v>1792</v>
      </c>
      <c r="G40" s="2">
        <v>36</v>
      </c>
      <c r="H40" s="8">
        <v>60</v>
      </c>
      <c r="I40" s="8">
        <v>58</v>
      </c>
      <c r="J40" s="8">
        <v>45</v>
      </c>
      <c r="K40" s="8">
        <v>70</v>
      </c>
      <c r="L40" s="8">
        <v>30</v>
      </c>
      <c r="M40" s="8">
        <v>25</v>
      </c>
      <c r="N40" s="8">
        <v>35</v>
      </c>
      <c r="O40" s="1">
        <f t="shared" si="3"/>
        <v>263</v>
      </c>
      <c r="P40" s="14">
        <f t="shared" si="4"/>
        <v>37.571428571428569</v>
      </c>
      <c r="Q40" s="20">
        <f t="shared" si="5"/>
        <v>34</v>
      </c>
    </row>
    <row r="41" spans="1:17" ht="18" customHeight="1">
      <c r="A41" s="19">
        <v>35</v>
      </c>
      <c r="B41" s="2" t="s">
        <v>1916</v>
      </c>
      <c r="C41" s="1">
        <v>311260306</v>
      </c>
      <c r="D41" s="3" t="s">
        <v>1917</v>
      </c>
      <c r="E41" s="1" t="s">
        <v>78</v>
      </c>
      <c r="F41" s="10" t="s">
        <v>1792</v>
      </c>
      <c r="G41" s="2">
        <v>37</v>
      </c>
      <c r="H41" s="8">
        <v>65</v>
      </c>
      <c r="I41" s="8">
        <v>38</v>
      </c>
      <c r="J41" s="8">
        <v>55</v>
      </c>
      <c r="K41" s="8">
        <v>68</v>
      </c>
      <c r="L41" s="8">
        <v>30</v>
      </c>
      <c r="M41" s="8">
        <v>55</v>
      </c>
      <c r="N41" s="8">
        <v>15</v>
      </c>
      <c r="O41" s="1">
        <f t="shared" si="3"/>
        <v>261</v>
      </c>
      <c r="P41" s="14">
        <f t="shared" si="4"/>
        <v>37.285714285714285</v>
      </c>
      <c r="Q41" s="20">
        <f t="shared" si="5"/>
        <v>35</v>
      </c>
    </row>
    <row r="42" spans="1:17" ht="18" customHeight="1">
      <c r="A42" s="19">
        <v>36</v>
      </c>
      <c r="B42" s="2" t="s">
        <v>1936</v>
      </c>
      <c r="C42" s="1">
        <v>311260920</v>
      </c>
      <c r="D42" s="3" t="s">
        <v>1937</v>
      </c>
      <c r="E42" s="1" t="s">
        <v>82</v>
      </c>
      <c r="F42" s="10" t="s">
        <v>1792</v>
      </c>
      <c r="G42" s="2">
        <v>37</v>
      </c>
      <c r="H42" s="8">
        <v>65</v>
      </c>
      <c r="I42" s="8">
        <v>50</v>
      </c>
      <c r="J42" s="8">
        <v>30</v>
      </c>
      <c r="K42" s="8">
        <v>65</v>
      </c>
      <c r="L42" s="8">
        <v>70</v>
      </c>
      <c r="M42" s="8">
        <v>45</v>
      </c>
      <c r="N42" s="8">
        <v>0</v>
      </c>
      <c r="O42" s="1">
        <f t="shared" si="3"/>
        <v>260</v>
      </c>
      <c r="P42" s="14">
        <f t="shared" si="4"/>
        <v>37.142857142857146</v>
      </c>
      <c r="Q42" s="20">
        <f t="shared" si="5"/>
        <v>36</v>
      </c>
    </row>
    <row r="43" spans="1:17" ht="18" customHeight="1">
      <c r="A43" s="19">
        <v>37</v>
      </c>
      <c r="B43" s="2" t="s">
        <v>1816</v>
      </c>
      <c r="C43" s="1" t="s">
        <v>1817</v>
      </c>
      <c r="D43" s="3" t="s">
        <v>89</v>
      </c>
      <c r="E43" s="1" t="s">
        <v>79</v>
      </c>
      <c r="F43" s="10" t="s">
        <v>1792</v>
      </c>
      <c r="G43" s="2">
        <v>35</v>
      </c>
      <c r="H43" s="8">
        <v>50</v>
      </c>
      <c r="I43" s="8">
        <v>55</v>
      </c>
      <c r="J43" s="8">
        <v>30</v>
      </c>
      <c r="K43" s="8">
        <v>60</v>
      </c>
      <c r="L43" s="8">
        <v>40</v>
      </c>
      <c r="M43" s="8">
        <v>40</v>
      </c>
      <c r="N43" s="8">
        <v>25</v>
      </c>
      <c r="O43" s="1">
        <f t="shared" si="3"/>
        <v>250</v>
      </c>
      <c r="P43" s="14">
        <f t="shared" si="4"/>
        <v>35.714285714285715</v>
      </c>
      <c r="Q43" s="20">
        <f t="shared" si="5"/>
        <v>37</v>
      </c>
    </row>
    <row r="44" spans="1:17" ht="18" customHeight="1">
      <c r="A44" s="19">
        <v>38</v>
      </c>
      <c r="B44" s="2" t="s">
        <v>1899</v>
      </c>
      <c r="C44" s="1" t="s">
        <v>1900</v>
      </c>
      <c r="D44" s="3" t="s">
        <v>1901</v>
      </c>
      <c r="E44" s="1" t="s">
        <v>75</v>
      </c>
      <c r="F44" s="10" t="s">
        <v>1792</v>
      </c>
      <c r="G44" s="2">
        <v>36</v>
      </c>
      <c r="H44" s="8">
        <v>50</v>
      </c>
      <c r="I44" s="8">
        <v>55</v>
      </c>
      <c r="J44" s="8">
        <v>20</v>
      </c>
      <c r="K44" s="8">
        <v>45</v>
      </c>
      <c r="L44" s="8">
        <v>30</v>
      </c>
      <c r="M44" s="8">
        <v>60</v>
      </c>
      <c r="N44" s="8">
        <v>40</v>
      </c>
      <c r="O44" s="1">
        <f t="shared" si="3"/>
        <v>250</v>
      </c>
      <c r="P44" s="14">
        <f t="shared" si="4"/>
        <v>35.714285714285715</v>
      </c>
      <c r="Q44" s="20">
        <f t="shared" si="5"/>
        <v>37</v>
      </c>
    </row>
    <row r="45" spans="1:17" ht="18" customHeight="1">
      <c r="A45" s="19">
        <v>39</v>
      </c>
      <c r="B45" s="2" t="s">
        <v>1918</v>
      </c>
      <c r="C45" s="1">
        <v>311260307</v>
      </c>
      <c r="D45" s="3" t="s">
        <v>1919</v>
      </c>
      <c r="E45" s="1" t="s">
        <v>82</v>
      </c>
      <c r="F45" s="10" t="s">
        <v>1792</v>
      </c>
      <c r="G45" s="2">
        <v>37</v>
      </c>
      <c r="H45" s="8">
        <v>60</v>
      </c>
      <c r="I45" s="8">
        <v>68</v>
      </c>
      <c r="J45" s="8">
        <v>35</v>
      </c>
      <c r="K45" s="8">
        <v>50</v>
      </c>
      <c r="L45" s="8">
        <v>40</v>
      </c>
      <c r="M45" s="8">
        <v>35</v>
      </c>
      <c r="N45" s="8">
        <v>20</v>
      </c>
      <c r="O45" s="1">
        <f t="shared" si="3"/>
        <v>248</v>
      </c>
      <c r="P45" s="14">
        <f t="shared" si="4"/>
        <v>35.428571428571431</v>
      </c>
      <c r="Q45" s="20">
        <f t="shared" si="5"/>
        <v>39</v>
      </c>
    </row>
    <row r="46" spans="1:17" ht="18" customHeight="1">
      <c r="A46" s="19">
        <v>40</v>
      </c>
      <c r="B46" s="2" t="s">
        <v>1926</v>
      </c>
      <c r="C46" s="1">
        <v>311260431</v>
      </c>
      <c r="D46" s="3" t="s">
        <v>1927</v>
      </c>
      <c r="E46" s="1" t="s">
        <v>76</v>
      </c>
      <c r="F46" s="10" t="s">
        <v>1792</v>
      </c>
      <c r="G46" s="2">
        <v>37</v>
      </c>
      <c r="H46" s="8">
        <v>60</v>
      </c>
      <c r="I46" s="8">
        <v>60</v>
      </c>
      <c r="J46" s="8">
        <v>15</v>
      </c>
      <c r="K46" s="8">
        <v>35</v>
      </c>
      <c r="L46" s="8">
        <v>60</v>
      </c>
      <c r="M46" s="8">
        <v>15</v>
      </c>
      <c r="N46" s="8">
        <v>55</v>
      </c>
      <c r="O46" s="1">
        <f t="shared" si="3"/>
        <v>240</v>
      </c>
      <c r="P46" s="14">
        <f t="shared" si="4"/>
        <v>34.285714285714285</v>
      </c>
      <c r="Q46" s="20">
        <f t="shared" si="5"/>
        <v>40</v>
      </c>
    </row>
    <row r="47" spans="1:17" ht="18" customHeight="1">
      <c r="A47" s="19">
        <v>41</v>
      </c>
      <c r="B47" s="2" t="s">
        <v>1905</v>
      </c>
      <c r="C47" s="1" t="s">
        <v>1906</v>
      </c>
      <c r="D47" s="3" t="s">
        <v>1907</v>
      </c>
      <c r="E47" s="1" t="s">
        <v>75</v>
      </c>
      <c r="F47" s="10" t="s">
        <v>1792</v>
      </c>
      <c r="G47" s="2">
        <v>36</v>
      </c>
      <c r="H47" s="8">
        <v>60</v>
      </c>
      <c r="I47" s="8">
        <v>53</v>
      </c>
      <c r="J47" s="8">
        <v>20</v>
      </c>
      <c r="K47" s="8">
        <v>60</v>
      </c>
      <c r="L47" s="8">
        <v>45</v>
      </c>
      <c r="M47" s="8">
        <v>35</v>
      </c>
      <c r="N47" s="8">
        <v>25</v>
      </c>
      <c r="O47" s="1">
        <f t="shared" si="3"/>
        <v>238</v>
      </c>
      <c r="P47" s="14">
        <f t="shared" si="4"/>
        <v>34</v>
      </c>
      <c r="Q47" s="20">
        <f t="shared" si="5"/>
        <v>41</v>
      </c>
    </row>
    <row r="48" spans="1:17" ht="18" customHeight="1">
      <c r="A48" s="19">
        <v>42</v>
      </c>
      <c r="B48" s="2" t="s">
        <v>1896</v>
      </c>
      <c r="C48" s="1" t="s">
        <v>1897</v>
      </c>
      <c r="D48" s="3" t="s">
        <v>1898</v>
      </c>
      <c r="E48" s="1" t="s">
        <v>75</v>
      </c>
      <c r="F48" s="10" t="s">
        <v>1792</v>
      </c>
      <c r="G48" s="2">
        <v>36</v>
      </c>
      <c r="H48" s="8">
        <v>80</v>
      </c>
      <c r="I48" s="8">
        <v>63</v>
      </c>
      <c r="J48" s="8">
        <v>30</v>
      </c>
      <c r="K48" s="8">
        <v>60</v>
      </c>
      <c r="L48" s="8">
        <v>25</v>
      </c>
      <c r="M48" s="8">
        <v>35</v>
      </c>
      <c r="N48" s="8">
        <v>20</v>
      </c>
      <c r="O48" s="1">
        <f t="shared" si="3"/>
        <v>233</v>
      </c>
      <c r="P48" s="14">
        <f t="shared" si="4"/>
        <v>33.285714285714285</v>
      </c>
      <c r="Q48" s="20">
        <f t="shared" si="5"/>
        <v>42</v>
      </c>
    </row>
    <row r="49" spans="1:17" ht="18" customHeight="1">
      <c r="A49" s="19">
        <v>43</v>
      </c>
      <c r="B49" s="2" t="s">
        <v>1848</v>
      </c>
      <c r="C49" s="1" t="s">
        <v>1849</v>
      </c>
      <c r="D49" s="3" t="s">
        <v>1850</v>
      </c>
      <c r="E49" s="1" t="s">
        <v>81</v>
      </c>
      <c r="F49" s="10" t="s">
        <v>1792</v>
      </c>
      <c r="G49" s="2">
        <v>35</v>
      </c>
      <c r="H49" s="8">
        <v>60</v>
      </c>
      <c r="I49" s="8">
        <v>43</v>
      </c>
      <c r="J49" s="8">
        <v>35</v>
      </c>
      <c r="K49" s="8">
        <v>60</v>
      </c>
      <c r="L49" s="8">
        <v>25</v>
      </c>
      <c r="M49" s="8">
        <v>60</v>
      </c>
      <c r="N49" s="8">
        <v>5</v>
      </c>
      <c r="O49" s="1">
        <f t="shared" si="3"/>
        <v>228</v>
      </c>
      <c r="P49" s="14">
        <f t="shared" si="4"/>
        <v>32.571428571428569</v>
      </c>
      <c r="Q49" s="20">
        <f t="shared" si="5"/>
        <v>43</v>
      </c>
    </row>
    <row r="50" spans="1:17" ht="18" customHeight="1">
      <c r="A50" s="19">
        <v>44</v>
      </c>
      <c r="B50" s="2" t="s">
        <v>1922</v>
      </c>
      <c r="C50" s="1">
        <v>311260429</v>
      </c>
      <c r="D50" s="3" t="s">
        <v>1923</v>
      </c>
      <c r="E50" s="1" t="s">
        <v>82</v>
      </c>
      <c r="F50" s="10" t="s">
        <v>1792</v>
      </c>
      <c r="G50" s="2">
        <v>37</v>
      </c>
      <c r="H50" s="8">
        <v>55</v>
      </c>
      <c r="I50" s="8">
        <v>35</v>
      </c>
      <c r="J50" s="8">
        <v>50</v>
      </c>
      <c r="K50" s="8">
        <v>50</v>
      </c>
      <c r="L50" s="8">
        <v>25</v>
      </c>
      <c r="M50" s="8">
        <v>40</v>
      </c>
      <c r="N50" s="8">
        <v>20</v>
      </c>
      <c r="O50" s="1">
        <f t="shared" si="3"/>
        <v>220</v>
      </c>
      <c r="P50" s="14">
        <f t="shared" si="4"/>
        <v>31.428571428571427</v>
      </c>
      <c r="Q50" s="20">
        <f t="shared" si="5"/>
        <v>44</v>
      </c>
    </row>
    <row r="51" spans="1:17" ht="18" customHeight="1">
      <c r="A51" s="19">
        <v>45</v>
      </c>
      <c r="B51" s="2" t="s">
        <v>1887</v>
      </c>
      <c r="C51" s="1" t="s">
        <v>1888</v>
      </c>
      <c r="D51" s="3" t="s">
        <v>1889</v>
      </c>
      <c r="E51" s="1" t="s">
        <v>66</v>
      </c>
      <c r="F51" s="10" t="s">
        <v>1792</v>
      </c>
      <c r="G51" s="2">
        <v>36</v>
      </c>
      <c r="H51" s="8">
        <v>45</v>
      </c>
      <c r="I51" s="8">
        <v>63</v>
      </c>
      <c r="J51" s="8">
        <v>40</v>
      </c>
      <c r="K51" s="8">
        <v>55</v>
      </c>
      <c r="L51" s="8">
        <v>20</v>
      </c>
      <c r="M51" s="8">
        <v>30</v>
      </c>
      <c r="N51" s="8">
        <v>5</v>
      </c>
      <c r="O51" s="1">
        <f t="shared" si="3"/>
        <v>213</v>
      </c>
      <c r="P51" s="14">
        <f t="shared" si="4"/>
        <v>30.428571428571427</v>
      </c>
      <c r="Q51" s="20">
        <f t="shared" si="5"/>
        <v>45</v>
      </c>
    </row>
    <row r="52" spans="1:17" ht="18" customHeight="1">
      <c r="A52" s="19">
        <v>46</v>
      </c>
      <c r="B52" s="2" t="s">
        <v>1789</v>
      </c>
      <c r="C52" s="1" t="s">
        <v>1790</v>
      </c>
      <c r="D52" s="3" t="s">
        <v>1791</v>
      </c>
      <c r="E52" s="1" t="s">
        <v>56</v>
      </c>
      <c r="F52" s="10" t="s">
        <v>1792</v>
      </c>
      <c r="G52" s="2">
        <v>34</v>
      </c>
      <c r="H52" s="8">
        <v>45</v>
      </c>
      <c r="I52" s="8">
        <v>63</v>
      </c>
      <c r="J52" s="8">
        <v>30</v>
      </c>
      <c r="K52" s="8">
        <v>35</v>
      </c>
      <c r="L52" s="8">
        <v>30</v>
      </c>
      <c r="M52" s="8">
        <v>25</v>
      </c>
      <c r="N52" s="8">
        <v>25</v>
      </c>
      <c r="O52" s="1">
        <f t="shared" si="3"/>
        <v>208</v>
      </c>
      <c r="P52" s="14">
        <f t="shared" si="4"/>
        <v>29.714285714285715</v>
      </c>
      <c r="Q52" s="20">
        <f t="shared" si="5"/>
        <v>46</v>
      </c>
    </row>
    <row r="53" spans="1:17" ht="18" customHeight="1">
      <c r="A53" s="19">
        <v>47</v>
      </c>
      <c r="B53" s="2" t="s">
        <v>1854</v>
      </c>
      <c r="C53" s="1" t="s">
        <v>1855</v>
      </c>
      <c r="D53" s="3" t="s">
        <v>1856</v>
      </c>
      <c r="E53" s="1" t="s">
        <v>73</v>
      </c>
      <c r="F53" s="10" t="s">
        <v>1792</v>
      </c>
      <c r="G53" s="2">
        <v>36</v>
      </c>
      <c r="H53" s="8">
        <v>65</v>
      </c>
      <c r="I53" s="8">
        <v>55</v>
      </c>
      <c r="J53" s="8">
        <v>35</v>
      </c>
      <c r="K53" s="8">
        <v>35</v>
      </c>
      <c r="L53" s="8">
        <v>10</v>
      </c>
      <c r="M53" s="8">
        <v>40</v>
      </c>
      <c r="N53" s="8">
        <v>25</v>
      </c>
      <c r="O53" s="1">
        <f t="shared" si="3"/>
        <v>200</v>
      </c>
      <c r="P53" s="14">
        <f t="shared" si="4"/>
        <v>28.571428571428573</v>
      </c>
      <c r="Q53" s="20">
        <f t="shared" si="5"/>
        <v>47</v>
      </c>
    </row>
    <row r="54" spans="1:17" ht="18" customHeight="1">
      <c r="A54" s="19">
        <v>48</v>
      </c>
      <c r="B54" s="2" t="s">
        <v>1807</v>
      </c>
      <c r="C54" s="1" t="s">
        <v>1808</v>
      </c>
      <c r="D54" s="3" t="s">
        <v>1809</v>
      </c>
      <c r="E54" s="1" t="s">
        <v>79</v>
      </c>
      <c r="F54" s="10" t="s">
        <v>1792</v>
      </c>
      <c r="G54" s="2">
        <v>35</v>
      </c>
      <c r="H54" s="8">
        <v>65</v>
      </c>
      <c r="I54" s="8">
        <v>50</v>
      </c>
      <c r="J54" s="8">
        <v>30</v>
      </c>
      <c r="K54" s="8">
        <v>55</v>
      </c>
      <c r="L54" s="8">
        <v>10</v>
      </c>
      <c r="M54" s="8">
        <v>45</v>
      </c>
      <c r="N54" s="8">
        <v>5</v>
      </c>
      <c r="O54" s="1">
        <f t="shared" si="3"/>
        <v>195</v>
      </c>
      <c r="P54" s="14">
        <f t="shared" si="4"/>
        <v>27.857142857142858</v>
      </c>
      <c r="Q54" s="20">
        <f t="shared" si="5"/>
        <v>48</v>
      </c>
    </row>
    <row r="55" spans="1:17" ht="18" customHeight="1">
      <c r="A55" s="19">
        <v>49</v>
      </c>
      <c r="B55" s="2" t="s">
        <v>1942</v>
      </c>
      <c r="C55" s="1">
        <v>311260923</v>
      </c>
      <c r="D55" s="3" t="s">
        <v>1943</v>
      </c>
      <c r="E55" s="1" t="s">
        <v>67</v>
      </c>
      <c r="F55" s="10" t="s">
        <v>1792</v>
      </c>
      <c r="G55" s="2">
        <v>37</v>
      </c>
      <c r="H55" s="8">
        <v>40</v>
      </c>
      <c r="I55" s="8">
        <v>35</v>
      </c>
      <c r="J55" s="8">
        <v>30</v>
      </c>
      <c r="K55" s="8">
        <v>45</v>
      </c>
      <c r="L55" s="8">
        <v>25</v>
      </c>
      <c r="M55" s="8">
        <v>50</v>
      </c>
      <c r="N55" s="8">
        <v>10</v>
      </c>
      <c r="O55" s="1">
        <f t="shared" si="3"/>
        <v>195</v>
      </c>
      <c r="P55" s="14">
        <f t="shared" si="4"/>
        <v>27.857142857142858</v>
      </c>
      <c r="Q55" s="20">
        <f t="shared" si="5"/>
        <v>48</v>
      </c>
    </row>
    <row r="56" spans="1:17" ht="18" customHeight="1">
      <c r="A56" s="19">
        <v>50</v>
      </c>
      <c r="B56" s="2" t="s">
        <v>1920</v>
      </c>
      <c r="C56" s="1">
        <v>311260428</v>
      </c>
      <c r="D56" s="3" t="s">
        <v>1921</v>
      </c>
      <c r="E56" s="1" t="s">
        <v>82</v>
      </c>
      <c r="F56" s="10" t="s">
        <v>1792</v>
      </c>
      <c r="G56" s="2">
        <v>37</v>
      </c>
      <c r="H56" s="8">
        <v>50</v>
      </c>
      <c r="I56" s="8">
        <v>28</v>
      </c>
      <c r="J56" s="8">
        <v>30</v>
      </c>
      <c r="K56" s="8">
        <v>40</v>
      </c>
      <c r="L56" s="8">
        <v>30</v>
      </c>
      <c r="M56" s="8">
        <v>50</v>
      </c>
      <c r="N56" s="8">
        <v>15</v>
      </c>
      <c r="O56" s="1">
        <f t="shared" si="3"/>
        <v>193</v>
      </c>
      <c r="P56" s="14">
        <f t="shared" si="4"/>
        <v>27.571428571428573</v>
      </c>
      <c r="Q56" s="20">
        <f t="shared" si="5"/>
        <v>50</v>
      </c>
    </row>
    <row r="57" spans="1:17" ht="18" customHeight="1">
      <c r="A57" s="19">
        <v>51</v>
      </c>
      <c r="B57" s="2" t="s">
        <v>1881</v>
      </c>
      <c r="C57" s="1" t="s">
        <v>1882</v>
      </c>
      <c r="D57" s="3" t="s">
        <v>1883</v>
      </c>
      <c r="E57" s="1" t="s">
        <v>66</v>
      </c>
      <c r="F57" s="10" t="s">
        <v>1792</v>
      </c>
      <c r="G57" s="2">
        <v>36</v>
      </c>
      <c r="H57" s="8">
        <v>65</v>
      </c>
      <c r="I57" s="8">
        <v>50</v>
      </c>
      <c r="J57" s="8">
        <v>30</v>
      </c>
      <c r="K57" s="8">
        <v>50</v>
      </c>
      <c r="L57" s="8">
        <v>20</v>
      </c>
      <c r="M57" s="8">
        <v>30</v>
      </c>
      <c r="N57" s="8">
        <v>10</v>
      </c>
      <c r="O57" s="1">
        <f t="shared" si="3"/>
        <v>190</v>
      </c>
      <c r="P57" s="14">
        <f t="shared" si="4"/>
        <v>27.142857142857142</v>
      </c>
      <c r="Q57" s="20">
        <f t="shared" si="5"/>
        <v>51</v>
      </c>
    </row>
    <row r="58" spans="1:17" ht="18" customHeight="1">
      <c r="A58" s="19">
        <v>52</v>
      </c>
      <c r="B58" s="2" t="s">
        <v>1872</v>
      </c>
      <c r="C58" s="1" t="s">
        <v>1873</v>
      </c>
      <c r="D58" s="3" t="s">
        <v>1874</v>
      </c>
      <c r="E58" s="1" t="s">
        <v>65</v>
      </c>
      <c r="F58" s="10" t="s">
        <v>1792</v>
      </c>
      <c r="G58" s="2">
        <v>36</v>
      </c>
      <c r="H58" s="8">
        <v>40</v>
      </c>
      <c r="I58" s="8">
        <v>43</v>
      </c>
      <c r="J58" s="8">
        <v>20</v>
      </c>
      <c r="K58" s="8">
        <v>20</v>
      </c>
      <c r="L58" s="8">
        <v>30</v>
      </c>
      <c r="M58" s="8">
        <v>25</v>
      </c>
      <c r="N58" s="8">
        <v>45</v>
      </c>
      <c r="O58" s="1">
        <f t="shared" si="3"/>
        <v>183</v>
      </c>
      <c r="P58" s="14">
        <f t="shared" si="4"/>
        <v>26.142857142857142</v>
      </c>
      <c r="Q58" s="20">
        <f t="shared" si="5"/>
        <v>52</v>
      </c>
    </row>
    <row r="59" spans="1:17" ht="18" customHeight="1">
      <c r="A59" s="19">
        <v>53</v>
      </c>
      <c r="B59" s="2" t="s">
        <v>1930</v>
      </c>
      <c r="C59" s="1">
        <v>311260917</v>
      </c>
      <c r="D59" s="3" t="s">
        <v>1931</v>
      </c>
      <c r="E59" s="1" t="s">
        <v>69</v>
      </c>
      <c r="F59" s="10" t="s">
        <v>1792</v>
      </c>
      <c r="G59" s="2">
        <v>37</v>
      </c>
      <c r="H59" s="8">
        <v>75</v>
      </c>
      <c r="I59" s="8">
        <v>45</v>
      </c>
      <c r="J59" s="8">
        <v>45</v>
      </c>
      <c r="K59" s="8">
        <v>45</v>
      </c>
      <c r="L59" s="8">
        <v>15</v>
      </c>
      <c r="M59" s="8">
        <v>25</v>
      </c>
      <c r="N59" s="8">
        <v>5</v>
      </c>
      <c r="O59" s="1">
        <f t="shared" si="3"/>
        <v>180</v>
      </c>
      <c r="P59" s="14">
        <f t="shared" si="4"/>
        <v>25.714285714285715</v>
      </c>
      <c r="Q59" s="20">
        <f t="shared" si="5"/>
        <v>53</v>
      </c>
    </row>
    <row r="60" spans="1:17" ht="18" customHeight="1">
      <c r="A60" s="19">
        <v>54</v>
      </c>
      <c r="B60" s="2" t="s">
        <v>1857</v>
      </c>
      <c r="C60" s="1" t="s">
        <v>1858</v>
      </c>
      <c r="D60" s="3" t="s">
        <v>1859</v>
      </c>
      <c r="E60" s="1" t="s">
        <v>63</v>
      </c>
      <c r="F60" s="10" t="s">
        <v>1792</v>
      </c>
      <c r="G60" s="2">
        <v>36</v>
      </c>
      <c r="H60" s="8">
        <v>60</v>
      </c>
      <c r="I60" s="8">
        <v>53</v>
      </c>
      <c r="J60" s="8">
        <v>25</v>
      </c>
      <c r="K60" s="8">
        <v>35</v>
      </c>
      <c r="L60" s="8">
        <v>10</v>
      </c>
      <c r="M60" s="8">
        <v>30</v>
      </c>
      <c r="N60" s="8">
        <v>5</v>
      </c>
      <c r="O60" s="1">
        <f t="shared" si="3"/>
        <v>158</v>
      </c>
      <c r="P60" s="14">
        <f t="shared" si="4"/>
        <v>22.571428571428573</v>
      </c>
      <c r="Q60" s="20">
        <f t="shared" si="5"/>
        <v>54</v>
      </c>
    </row>
    <row r="61" spans="1:17" ht="18" customHeight="1">
      <c r="A61" s="19">
        <v>55</v>
      </c>
      <c r="B61" s="2" t="s">
        <v>1932</v>
      </c>
      <c r="C61" s="1">
        <v>311260918</v>
      </c>
      <c r="D61" s="3" t="s">
        <v>1933</v>
      </c>
      <c r="E61" s="1" t="s">
        <v>61</v>
      </c>
      <c r="F61" s="10" t="s">
        <v>1792</v>
      </c>
      <c r="G61" s="2">
        <v>37</v>
      </c>
      <c r="H61" s="8">
        <v>45</v>
      </c>
      <c r="I61" s="8">
        <v>30</v>
      </c>
      <c r="J61" s="8">
        <v>45</v>
      </c>
      <c r="K61" s="8">
        <v>30</v>
      </c>
      <c r="L61" s="8">
        <v>25</v>
      </c>
      <c r="M61" s="8">
        <v>25</v>
      </c>
      <c r="N61" s="8">
        <v>0</v>
      </c>
      <c r="O61" s="1">
        <f t="shared" si="3"/>
        <v>155</v>
      </c>
      <c r="P61" s="14">
        <f t="shared" si="4"/>
        <v>22.142857142857142</v>
      </c>
      <c r="Q61" s="20">
        <f t="shared" si="5"/>
        <v>55</v>
      </c>
    </row>
    <row r="62" spans="1:17" ht="18" customHeight="1">
      <c r="A62" s="19">
        <v>56</v>
      </c>
      <c r="B62" s="2" t="s">
        <v>1827</v>
      </c>
      <c r="C62" s="1" t="s">
        <v>1828</v>
      </c>
      <c r="D62" s="3" t="s">
        <v>1829</v>
      </c>
      <c r="E62" s="1" t="s">
        <v>72</v>
      </c>
      <c r="F62" s="10" t="s">
        <v>1792</v>
      </c>
      <c r="G62" s="2">
        <v>35</v>
      </c>
      <c r="H62" s="8">
        <v>45</v>
      </c>
      <c r="I62" s="8">
        <v>63</v>
      </c>
      <c r="J62" s="8">
        <v>25</v>
      </c>
      <c r="K62" s="8">
        <v>5</v>
      </c>
      <c r="L62" s="8">
        <v>40</v>
      </c>
      <c r="M62" s="8">
        <v>20</v>
      </c>
      <c r="N62" s="8">
        <v>0</v>
      </c>
      <c r="O62" s="1">
        <f t="shared" si="3"/>
        <v>153</v>
      </c>
      <c r="P62" s="14">
        <f t="shared" si="4"/>
        <v>21.857142857142858</v>
      </c>
      <c r="Q62" s="20">
        <f t="shared" si="5"/>
        <v>56</v>
      </c>
    </row>
    <row r="63" spans="1:17" ht="18" customHeight="1">
      <c r="A63" s="19">
        <v>57</v>
      </c>
      <c r="B63" s="2" t="s">
        <v>1869</v>
      </c>
      <c r="C63" s="1" t="s">
        <v>1870</v>
      </c>
      <c r="D63" s="3" t="s">
        <v>1871</v>
      </c>
      <c r="E63" s="1" t="s">
        <v>65</v>
      </c>
      <c r="F63" s="10" t="s">
        <v>1792</v>
      </c>
      <c r="G63" s="2">
        <v>36</v>
      </c>
      <c r="H63" s="8">
        <v>35</v>
      </c>
      <c r="I63" s="8">
        <v>30</v>
      </c>
      <c r="J63" s="8">
        <v>15</v>
      </c>
      <c r="K63" s="8">
        <v>30</v>
      </c>
      <c r="L63" s="8">
        <v>30</v>
      </c>
      <c r="M63" s="8">
        <v>35</v>
      </c>
      <c r="N63" s="8">
        <v>5</v>
      </c>
      <c r="O63" s="1">
        <f t="shared" si="3"/>
        <v>145</v>
      </c>
      <c r="P63" s="14">
        <f t="shared" si="4"/>
        <v>20.714285714285715</v>
      </c>
      <c r="Q63" s="20">
        <f t="shared" si="5"/>
        <v>57</v>
      </c>
    </row>
    <row r="64" spans="1:17" ht="18" customHeight="1">
      <c r="A64" s="19">
        <v>58</v>
      </c>
      <c r="B64" s="2" t="s">
        <v>1944</v>
      </c>
      <c r="C64" s="1">
        <v>311260924</v>
      </c>
      <c r="D64" s="3" t="s">
        <v>1945</v>
      </c>
      <c r="E64" s="1" t="s">
        <v>353</v>
      </c>
      <c r="F64" s="10" t="s">
        <v>1792</v>
      </c>
      <c r="G64" s="2">
        <v>37</v>
      </c>
      <c r="H64" s="8">
        <v>60</v>
      </c>
      <c r="I64" s="8">
        <v>43</v>
      </c>
      <c r="J64" s="8">
        <v>10</v>
      </c>
      <c r="K64" s="8">
        <v>20</v>
      </c>
      <c r="L64" s="8">
        <v>30</v>
      </c>
      <c r="M64" s="8">
        <v>5</v>
      </c>
      <c r="N64" s="8">
        <v>5</v>
      </c>
      <c r="O64" s="1">
        <f t="shared" si="3"/>
        <v>113</v>
      </c>
      <c r="P64" s="14">
        <f t="shared" si="4"/>
        <v>16.142857142857142</v>
      </c>
      <c r="Q64" s="20">
        <f t="shared" si="5"/>
        <v>58</v>
      </c>
    </row>
    <row r="65" spans="1:17" ht="18" customHeight="1">
      <c r="A65" s="19">
        <v>59</v>
      </c>
      <c r="B65" s="2" t="s">
        <v>1813</v>
      </c>
      <c r="C65" s="1" t="s">
        <v>1814</v>
      </c>
      <c r="D65" s="3" t="s">
        <v>1815</v>
      </c>
      <c r="E65" s="1" t="s">
        <v>79</v>
      </c>
      <c r="F65" s="10" t="s">
        <v>1792</v>
      </c>
      <c r="G65" s="2">
        <v>35</v>
      </c>
      <c r="H65" s="8"/>
      <c r="I65" s="8"/>
      <c r="J65" s="8"/>
      <c r="K65" s="8"/>
      <c r="L65" s="8"/>
      <c r="M65" s="8"/>
      <c r="N65" s="8"/>
      <c r="O65" s="1">
        <f t="shared" si="3"/>
        <v>0</v>
      </c>
      <c r="P65" s="14">
        <f t="shared" si="4"/>
        <v>0</v>
      </c>
      <c r="Q65" s="20">
        <f t="shared" si="5"/>
        <v>59</v>
      </c>
    </row>
    <row r="66" spans="1:17" ht="18" customHeight="1">
      <c r="A66" s="19">
        <v>60</v>
      </c>
      <c r="B66" s="28" t="s">
        <v>1818</v>
      </c>
      <c r="C66" s="29" t="s">
        <v>1819</v>
      </c>
      <c r="D66" s="30" t="s">
        <v>1820</v>
      </c>
      <c r="E66" s="29" t="s">
        <v>70</v>
      </c>
      <c r="F66" s="31" t="s">
        <v>1792</v>
      </c>
      <c r="G66" s="28">
        <v>35</v>
      </c>
      <c r="H66" s="40"/>
      <c r="I66" s="40"/>
      <c r="J66" s="40"/>
      <c r="K66" s="40"/>
      <c r="L66" s="40"/>
      <c r="M66" s="40"/>
      <c r="N66" s="40"/>
      <c r="O66" s="29">
        <f t="shared" si="3"/>
        <v>0</v>
      </c>
      <c r="P66" s="41">
        <f t="shared" si="4"/>
        <v>0</v>
      </c>
      <c r="Q66" s="33">
        <f t="shared" si="5"/>
        <v>59</v>
      </c>
    </row>
  </sheetData>
  <mergeCells count="4">
    <mergeCell ref="A1:P1"/>
    <mergeCell ref="A2:P2"/>
    <mergeCell ref="A3:P3"/>
    <mergeCell ref="A5:B5"/>
  </mergeCells>
  <conditionalFormatting sqref="H7:N7">
    <cfRule type="cellIs" dxfId="6977" priority="240" operator="lessThan">
      <formula>5</formula>
    </cfRule>
  </conditionalFormatting>
  <conditionalFormatting sqref="H7:N7">
    <cfRule type="expression" dxfId="6976" priority="239">
      <formula>5</formula>
    </cfRule>
  </conditionalFormatting>
  <conditionalFormatting sqref="H7:N7">
    <cfRule type="cellIs" dxfId="6975" priority="238" operator="lessThan">
      <formula>50</formula>
    </cfRule>
  </conditionalFormatting>
  <conditionalFormatting sqref="P7">
    <cfRule type="cellIs" dxfId="6974" priority="237" operator="lessThan">
      <formula>50</formula>
    </cfRule>
  </conditionalFormatting>
  <conditionalFormatting sqref="H8:N8">
    <cfRule type="cellIs" dxfId="6973" priority="236" operator="lessThan">
      <formula>5</formula>
    </cfRule>
  </conditionalFormatting>
  <conditionalFormatting sqref="H8:N8">
    <cfRule type="expression" dxfId="6972" priority="235">
      <formula>5</formula>
    </cfRule>
  </conditionalFormatting>
  <conditionalFormatting sqref="H8:N8">
    <cfRule type="cellIs" dxfId="6971" priority="234" operator="lessThan">
      <formula>50</formula>
    </cfRule>
  </conditionalFormatting>
  <conditionalFormatting sqref="P8">
    <cfRule type="cellIs" dxfId="6970" priority="233" operator="lessThan">
      <formula>50</formula>
    </cfRule>
  </conditionalFormatting>
  <conditionalFormatting sqref="H9:N9">
    <cfRule type="cellIs" dxfId="6969" priority="232" operator="lessThan">
      <formula>5</formula>
    </cfRule>
  </conditionalFormatting>
  <conditionalFormatting sqref="H9:N9">
    <cfRule type="expression" dxfId="6968" priority="231">
      <formula>5</formula>
    </cfRule>
  </conditionalFormatting>
  <conditionalFormatting sqref="H9:N9">
    <cfRule type="cellIs" dxfId="6967" priority="230" operator="lessThan">
      <formula>50</formula>
    </cfRule>
  </conditionalFormatting>
  <conditionalFormatting sqref="P9">
    <cfRule type="cellIs" dxfId="6966" priority="229" operator="lessThan">
      <formula>50</formula>
    </cfRule>
  </conditionalFormatting>
  <conditionalFormatting sqref="H10:N10">
    <cfRule type="cellIs" dxfId="6965" priority="228" operator="lessThan">
      <formula>5</formula>
    </cfRule>
  </conditionalFormatting>
  <conditionalFormatting sqref="H10:N10">
    <cfRule type="expression" dxfId="6964" priority="227">
      <formula>5</formula>
    </cfRule>
  </conditionalFormatting>
  <conditionalFormatting sqref="H10:N10">
    <cfRule type="cellIs" dxfId="6963" priority="226" operator="lessThan">
      <formula>50</formula>
    </cfRule>
  </conditionalFormatting>
  <conditionalFormatting sqref="P10">
    <cfRule type="cellIs" dxfId="6962" priority="225" operator="lessThan">
      <formula>50</formula>
    </cfRule>
  </conditionalFormatting>
  <conditionalFormatting sqref="H11:N11">
    <cfRule type="cellIs" dxfId="6961" priority="224" operator="lessThan">
      <formula>5</formula>
    </cfRule>
  </conditionalFormatting>
  <conditionalFormatting sqref="H11:N11">
    <cfRule type="expression" dxfId="6960" priority="223">
      <formula>5</formula>
    </cfRule>
  </conditionalFormatting>
  <conditionalFormatting sqref="H11:N11">
    <cfRule type="cellIs" dxfId="6959" priority="222" operator="lessThan">
      <formula>50</formula>
    </cfRule>
  </conditionalFormatting>
  <conditionalFormatting sqref="P11">
    <cfRule type="cellIs" dxfId="6958" priority="221" operator="lessThan">
      <formula>50</formula>
    </cfRule>
  </conditionalFormatting>
  <conditionalFormatting sqref="H12:N12">
    <cfRule type="cellIs" dxfId="6957" priority="220" operator="lessThan">
      <formula>5</formula>
    </cfRule>
  </conditionalFormatting>
  <conditionalFormatting sqref="H12:N12">
    <cfRule type="expression" dxfId="6956" priority="219">
      <formula>5</formula>
    </cfRule>
  </conditionalFormatting>
  <conditionalFormatting sqref="H12:N12">
    <cfRule type="cellIs" dxfId="6955" priority="218" operator="lessThan">
      <formula>50</formula>
    </cfRule>
  </conditionalFormatting>
  <conditionalFormatting sqref="P12">
    <cfRule type="cellIs" dxfId="6954" priority="217" operator="lessThan">
      <formula>50</formula>
    </cfRule>
  </conditionalFormatting>
  <conditionalFormatting sqref="H13:N13">
    <cfRule type="cellIs" dxfId="6953" priority="216" operator="lessThan">
      <formula>5</formula>
    </cfRule>
  </conditionalFormatting>
  <conditionalFormatting sqref="H13:N13">
    <cfRule type="expression" dxfId="6952" priority="215">
      <formula>5</formula>
    </cfRule>
  </conditionalFormatting>
  <conditionalFormatting sqref="H13:N13">
    <cfRule type="cellIs" dxfId="6951" priority="214" operator="lessThan">
      <formula>50</formula>
    </cfRule>
  </conditionalFormatting>
  <conditionalFormatting sqref="P13">
    <cfRule type="cellIs" dxfId="6950" priority="213" operator="lessThan">
      <formula>50</formula>
    </cfRule>
  </conditionalFormatting>
  <conditionalFormatting sqref="H14:N14">
    <cfRule type="cellIs" dxfId="6949" priority="212" operator="lessThan">
      <formula>5</formula>
    </cfRule>
  </conditionalFormatting>
  <conditionalFormatting sqref="H14:N14">
    <cfRule type="expression" dxfId="6948" priority="211">
      <formula>5</formula>
    </cfRule>
  </conditionalFormatting>
  <conditionalFormatting sqref="H14:N14">
    <cfRule type="cellIs" dxfId="6947" priority="210" operator="lessThan">
      <formula>50</formula>
    </cfRule>
  </conditionalFormatting>
  <conditionalFormatting sqref="P14">
    <cfRule type="cellIs" dxfId="6946" priority="209" operator="lessThan">
      <formula>50</formula>
    </cfRule>
  </conditionalFormatting>
  <conditionalFormatting sqref="H15:N15">
    <cfRule type="cellIs" dxfId="6945" priority="208" operator="lessThan">
      <formula>5</formula>
    </cfRule>
  </conditionalFormatting>
  <conditionalFormatting sqref="H15:N15">
    <cfRule type="expression" dxfId="6944" priority="207">
      <formula>5</formula>
    </cfRule>
  </conditionalFormatting>
  <conditionalFormatting sqref="H15:N15">
    <cfRule type="cellIs" dxfId="6943" priority="206" operator="lessThan">
      <formula>50</formula>
    </cfRule>
  </conditionalFormatting>
  <conditionalFormatting sqref="P15">
    <cfRule type="cellIs" dxfId="6942" priority="205" operator="lessThan">
      <formula>50</formula>
    </cfRule>
  </conditionalFormatting>
  <conditionalFormatting sqref="H16:N16">
    <cfRule type="cellIs" dxfId="6941" priority="204" operator="lessThan">
      <formula>5</formula>
    </cfRule>
  </conditionalFormatting>
  <conditionalFormatting sqref="H16:N16">
    <cfRule type="expression" dxfId="6940" priority="203">
      <formula>5</formula>
    </cfRule>
  </conditionalFormatting>
  <conditionalFormatting sqref="H16:N16">
    <cfRule type="cellIs" dxfId="6939" priority="202" operator="lessThan">
      <formula>50</formula>
    </cfRule>
  </conditionalFormatting>
  <conditionalFormatting sqref="P16">
    <cfRule type="cellIs" dxfId="6938" priority="201" operator="lessThan">
      <formula>50</formula>
    </cfRule>
  </conditionalFormatting>
  <conditionalFormatting sqref="H17:N17">
    <cfRule type="cellIs" dxfId="6937" priority="200" operator="lessThan">
      <formula>5</formula>
    </cfRule>
  </conditionalFormatting>
  <conditionalFormatting sqref="H17:N17">
    <cfRule type="expression" dxfId="6936" priority="199">
      <formula>5</formula>
    </cfRule>
  </conditionalFormatting>
  <conditionalFormatting sqref="H17:N17">
    <cfRule type="cellIs" dxfId="6935" priority="198" operator="lessThan">
      <formula>50</formula>
    </cfRule>
  </conditionalFormatting>
  <conditionalFormatting sqref="P17">
    <cfRule type="cellIs" dxfId="6934" priority="197" operator="lessThan">
      <formula>50</formula>
    </cfRule>
  </conditionalFormatting>
  <conditionalFormatting sqref="H18:N18">
    <cfRule type="cellIs" dxfId="6933" priority="196" operator="lessThan">
      <formula>5</formula>
    </cfRule>
  </conditionalFormatting>
  <conditionalFormatting sqref="H18:N18">
    <cfRule type="expression" dxfId="6932" priority="195">
      <formula>5</formula>
    </cfRule>
  </conditionalFormatting>
  <conditionalFormatting sqref="H18:N18">
    <cfRule type="cellIs" dxfId="6931" priority="194" operator="lessThan">
      <formula>50</formula>
    </cfRule>
  </conditionalFormatting>
  <conditionalFormatting sqref="P18">
    <cfRule type="cellIs" dxfId="6930" priority="193" operator="lessThan">
      <formula>50</formula>
    </cfRule>
  </conditionalFormatting>
  <conditionalFormatting sqref="H19:N19">
    <cfRule type="cellIs" dxfId="6929" priority="192" operator="lessThan">
      <formula>5</formula>
    </cfRule>
  </conditionalFormatting>
  <conditionalFormatting sqref="H19:N19">
    <cfRule type="expression" dxfId="6928" priority="191">
      <formula>5</formula>
    </cfRule>
  </conditionalFormatting>
  <conditionalFormatting sqref="H19:N19">
    <cfRule type="cellIs" dxfId="6927" priority="190" operator="lessThan">
      <formula>50</formula>
    </cfRule>
  </conditionalFormatting>
  <conditionalFormatting sqref="P19">
    <cfRule type="cellIs" dxfId="6926" priority="189" operator="lessThan">
      <formula>50</formula>
    </cfRule>
  </conditionalFormatting>
  <conditionalFormatting sqref="H20:N20">
    <cfRule type="cellIs" dxfId="6925" priority="188" operator="lessThan">
      <formula>5</formula>
    </cfRule>
  </conditionalFormatting>
  <conditionalFormatting sqref="H20:N20">
    <cfRule type="expression" dxfId="6924" priority="187">
      <formula>5</formula>
    </cfRule>
  </conditionalFormatting>
  <conditionalFormatting sqref="H20:N20">
    <cfRule type="cellIs" dxfId="6923" priority="186" operator="lessThan">
      <formula>50</formula>
    </cfRule>
  </conditionalFormatting>
  <conditionalFormatting sqref="P20">
    <cfRule type="cellIs" dxfId="6922" priority="185" operator="lessThan">
      <formula>50</formula>
    </cfRule>
  </conditionalFormatting>
  <conditionalFormatting sqref="H21:N21">
    <cfRule type="cellIs" dxfId="6921" priority="184" operator="lessThan">
      <formula>5</formula>
    </cfRule>
  </conditionalFormatting>
  <conditionalFormatting sqref="H21:N21">
    <cfRule type="expression" dxfId="6920" priority="183">
      <formula>5</formula>
    </cfRule>
  </conditionalFormatting>
  <conditionalFormatting sqref="H21:N21">
    <cfRule type="cellIs" dxfId="6919" priority="182" operator="lessThan">
      <formula>50</formula>
    </cfRule>
  </conditionalFormatting>
  <conditionalFormatting sqref="P21">
    <cfRule type="cellIs" dxfId="6918" priority="181" operator="lessThan">
      <formula>50</formula>
    </cfRule>
  </conditionalFormatting>
  <conditionalFormatting sqref="H22:N22">
    <cfRule type="cellIs" dxfId="6917" priority="180" operator="lessThan">
      <formula>5</formula>
    </cfRule>
  </conditionalFormatting>
  <conditionalFormatting sqref="H22:N22">
    <cfRule type="expression" dxfId="6916" priority="179">
      <formula>5</formula>
    </cfRule>
  </conditionalFormatting>
  <conditionalFormatting sqref="H22:N22">
    <cfRule type="cellIs" dxfId="6915" priority="178" operator="lessThan">
      <formula>50</formula>
    </cfRule>
  </conditionalFormatting>
  <conditionalFormatting sqref="P22">
    <cfRule type="cellIs" dxfId="6914" priority="177" operator="lessThan">
      <formula>50</formula>
    </cfRule>
  </conditionalFormatting>
  <conditionalFormatting sqref="H23:N23">
    <cfRule type="cellIs" dxfId="6913" priority="176" operator="lessThan">
      <formula>5</formula>
    </cfRule>
  </conditionalFormatting>
  <conditionalFormatting sqref="H23:N23">
    <cfRule type="expression" dxfId="6912" priority="175">
      <formula>5</formula>
    </cfRule>
  </conditionalFormatting>
  <conditionalFormatting sqref="H23:N23">
    <cfRule type="cellIs" dxfId="6911" priority="174" operator="lessThan">
      <formula>50</formula>
    </cfRule>
  </conditionalFormatting>
  <conditionalFormatting sqref="P23">
    <cfRule type="cellIs" dxfId="6910" priority="173" operator="lessThan">
      <formula>50</formula>
    </cfRule>
  </conditionalFormatting>
  <conditionalFormatting sqref="H24:N24">
    <cfRule type="cellIs" dxfId="6909" priority="172" operator="lessThan">
      <formula>5</formula>
    </cfRule>
  </conditionalFormatting>
  <conditionalFormatting sqref="H24:N24">
    <cfRule type="expression" dxfId="6908" priority="171">
      <formula>5</formula>
    </cfRule>
  </conditionalFormatting>
  <conditionalFormatting sqref="H24:N24">
    <cfRule type="cellIs" dxfId="6907" priority="170" operator="lessThan">
      <formula>50</formula>
    </cfRule>
  </conditionalFormatting>
  <conditionalFormatting sqref="P24">
    <cfRule type="cellIs" dxfId="6906" priority="169" operator="lessThan">
      <formula>50</formula>
    </cfRule>
  </conditionalFormatting>
  <conditionalFormatting sqref="H25:N25">
    <cfRule type="cellIs" dxfId="6905" priority="168" operator="lessThan">
      <formula>5</formula>
    </cfRule>
  </conditionalFormatting>
  <conditionalFormatting sqref="H25:N25">
    <cfRule type="expression" dxfId="6904" priority="167">
      <formula>5</formula>
    </cfRule>
  </conditionalFormatting>
  <conditionalFormatting sqref="H25:N25">
    <cfRule type="cellIs" dxfId="6903" priority="166" operator="lessThan">
      <formula>50</formula>
    </cfRule>
  </conditionalFormatting>
  <conditionalFormatting sqref="P25">
    <cfRule type="cellIs" dxfId="6902" priority="165" operator="lessThan">
      <formula>50</formula>
    </cfRule>
  </conditionalFormatting>
  <conditionalFormatting sqref="H26:N26">
    <cfRule type="cellIs" dxfId="6901" priority="164" operator="lessThan">
      <formula>5</formula>
    </cfRule>
  </conditionalFormatting>
  <conditionalFormatting sqref="H26:N26">
    <cfRule type="expression" dxfId="6900" priority="163">
      <formula>5</formula>
    </cfRule>
  </conditionalFormatting>
  <conditionalFormatting sqref="H26:N26">
    <cfRule type="cellIs" dxfId="6899" priority="162" operator="lessThan">
      <formula>50</formula>
    </cfRule>
  </conditionalFormatting>
  <conditionalFormatting sqref="P26">
    <cfRule type="cellIs" dxfId="6898" priority="161" operator="lessThan">
      <formula>50</formula>
    </cfRule>
  </conditionalFormatting>
  <conditionalFormatting sqref="H27:N27">
    <cfRule type="cellIs" dxfId="6897" priority="160" operator="lessThan">
      <formula>5</formula>
    </cfRule>
  </conditionalFormatting>
  <conditionalFormatting sqref="H27:N27">
    <cfRule type="expression" dxfId="6896" priority="159">
      <formula>5</formula>
    </cfRule>
  </conditionalFormatting>
  <conditionalFormatting sqref="H27:N27">
    <cfRule type="cellIs" dxfId="6895" priority="158" operator="lessThan">
      <formula>50</formula>
    </cfRule>
  </conditionalFormatting>
  <conditionalFormatting sqref="P27">
    <cfRule type="cellIs" dxfId="6894" priority="157" operator="lessThan">
      <formula>50</formula>
    </cfRule>
  </conditionalFormatting>
  <conditionalFormatting sqref="H28:N28">
    <cfRule type="cellIs" dxfId="6893" priority="156" operator="lessThan">
      <formula>5</formula>
    </cfRule>
  </conditionalFormatting>
  <conditionalFormatting sqref="H28:N28">
    <cfRule type="expression" dxfId="6892" priority="155">
      <formula>5</formula>
    </cfRule>
  </conditionalFormatting>
  <conditionalFormatting sqref="H28:N28">
    <cfRule type="cellIs" dxfId="6891" priority="154" operator="lessThan">
      <formula>50</formula>
    </cfRule>
  </conditionalFormatting>
  <conditionalFormatting sqref="P28">
    <cfRule type="cellIs" dxfId="6890" priority="153" operator="lessThan">
      <formula>50</formula>
    </cfRule>
  </conditionalFormatting>
  <conditionalFormatting sqref="H29:N29">
    <cfRule type="cellIs" dxfId="6889" priority="152" operator="lessThan">
      <formula>5</formula>
    </cfRule>
  </conditionalFormatting>
  <conditionalFormatting sqref="H29:N29">
    <cfRule type="expression" dxfId="6888" priority="151">
      <formula>5</formula>
    </cfRule>
  </conditionalFormatting>
  <conditionalFormatting sqref="H29:N29">
    <cfRule type="cellIs" dxfId="6887" priority="150" operator="lessThan">
      <formula>50</formula>
    </cfRule>
  </conditionalFormatting>
  <conditionalFormatting sqref="P29">
    <cfRule type="cellIs" dxfId="6886" priority="149" operator="lessThan">
      <formula>50</formula>
    </cfRule>
  </conditionalFormatting>
  <conditionalFormatting sqref="H30:N30">
    <cfRule type="cellIs" dxfId="6885" priority="148" operator="lessThan">
      <formula>5</formula>
    </cfRule>
  </conditionalFormatting>
  <conditionalFormatting sqref="H30:N30">
    <cfRule type="expression" dxfId="6884" priority="147">
      <formula>5</formula>
    </cfRule>
  </conditionalFormatting>
  <conditionalFormatting sqref="H30:N30">
    <cfRule type="cellIs" dxfId="6883" priority="146" operator="lessThan">
      <formula>50</formula>
    </cfRule>
  </conditionalFormatting>
  <conditionalFormatting sqref="P30">
    <cfRule type="cellIs" dxfId="6882" priority="145" operator="lessThan">
      <formula>50</formula>
    </cfRule>
  </conditionalFormatting>
  <conditionalFormatting sqref="H31:N31">
    <cfRule type="cellIs" dxfId="6881" priority="144" operator="lessThan">
      <formula>5</formula>
    </cfRule>
  </conditionalFormatting>
  <conditionalFormatting sqref="H31:N31">
    <cfRule type="expression" dxfId="6880" priority="143">
      <formula>5</formula>
    </cfRule>
  </conditionalFormatting>
  <conditionalFormatting sqref="H31:N31">
    <cfRule type="cellIs" dxfId="6879" priority="142" operator="lessThan">
      <formula>50</formula>
    </cfRule>
  </conditionalFormatting>
  <conditionalFormatting sqref="P31">
    <cfRule type="cellIs" dxfId="6878" priority="141" operator="lessThan">
      <formula>50</formula>
    </cfRule>
  </conditionalFormatting>
  <conditionalFormatting sqref="H32:N32">
    <cfRule type="cellIs" dxfId="6877" priority="140" operator="lessThan">
      <formula>5</formula>
    </cfRule>
  </conditionalFormatting>
  <conditionalFormatting sqref="H32:N32">
    <cfRule type="expression" dxfId="6876" priority="139">
      <formula>5</formula>
    </cfRule>
  </conditionalFormatting>
  <conditionalFormatting sqref="H32:N32">
    <cfRule type="cellIs" dxfId="6875" priority="138" operator="lessThan">
      <formula>50</formula>
    </cfRule>
  </conditionalFormatting>
  <conditionalFormatting sqref="P32">
    <cfRule type="cellIs" dxfId="6874" priority="137" operator="lessThan">
      <formula>50</formula>
    </cfRule>
  </conditionalFormatting>
  <conditionalFormatting sqref="H33:N33">
    <cfRule type="cellIs" dxfId="6873" priority="136" operator="lessThan">
      <formula>5</formula>
    </cfRule>
  </conditionalFormatting>
  <conditionalFormatting sqref="H33:N33">
    <cfRule type="expression" dxfId="6872" priority="135">
      <formula>5</formula>
    </cfRule>
  </conditionalFormatting>
  <conditionalFormatting sqref="H33:N33">
    <cfRule type="cellIs" dxfId="6871" priority="134" operator="lessThan">
      <formula>50</formula>
    </cfRule>
  </conditionalFormatting>
  <conditionalFormatting sqref="P33">
    <cfRule type="cellIs" dxfId="6870" priority="133" operator="lessThan">
      <formula>50</formula>
    </cfRule>
  </conditionalFormatting>
  <conditionalFormatting sqref="H34:N34">
    <cfRule type="cellIs" dxfId="6869" priority="132" operator="lessThan">
      <formula>5</formula>
    </cfRule>
  </conditionalFormatting>
  <conditionalFormatting sqref="H34:N34">
    <cfRule type="expression" dxfId="6868" priority="131">
      <formula>5</formula>
    </cfRule>
  </conditionalFormatting>
  <conditionalFormatting sqref="H34:N34">
    <cfRule type="cellIs" dxfId="6867" priority="130" operator="lessThan">
      <formula>50</formula>
    </cfRule>
  </conditionalFormatting>
  <conditionalFormatting sqref="P34">
    <cfRule type="cellIs" dxfId="6866" priority="129" operator="lessThan">
      <formula>50</formula>
    </cfRule>
  </conditionalFormatting>
  <conditionalFormatting sqref="H35:N35">
    <cfRule type="cellIs" dxfId="6865" priority="128" operator="lessThan">
      <formula>5</formula>
    </cfRule>
  </conditionalFormatting>
  <conditionalFormatting sqref="H35:N35">
    <cfRule type="expression" dxfId="6864" priority="127">
      <formula>5</formula>
    </cfRule>
  </conditionalFormatting>
  <conditionalFormatting sqref="H35:N35">
    <cfRule type="cellIs" dxfId="6863" priority="126" operator="lessThan">
      <formula>50</formula>
    </cfRule>
  </conditionalFormatting>
  <conditionalFormatting sqref="P35">
    <cfRule type="cellIs" dxfId="6862" priority="125" operator="lessThan">
      <formula>50</formula>
    </cfRule>
  </conditionalFormatting>
  <conditionalFormatting sqref="H36:N36">
    <cfRule type="cellIs" dxfId="6861" priority="124" operator="lessThan">
      <formula>5</formula>
    </cfRule>
  </conditionalFormatting>
  <conditionalFormatting sqref="H36:N36">
    <cfRule type="expression" dxfId="6860" priority="123">
      <formula>5</formula>
    </cfRule>
  </conditionalFormatting>
  <conditionalFormatting sqref="H36:N36">
    <cfRule type="cellIs" dxfId="6859" priority="122" operator="lessThan">
      <formula>50</formula>
    </cfRule>
  </conditionalFormatting>
  <conditionalFormatting sqref="P36">
    <cfRule type="cellIs" dxfId="6858" priority="121" operator="lessThan">
      <formula>50</formula>
    </cfRule>
  </conditionalFormatting>
  <conditionalFormatting sqref="H37:N37">
    <cfRule type="cellIs" dxfId="6857" priority="120" operator="lessThan">
      <formula>5</formula>
    </cfRule>
  </conditionalFormatting>
  <conditionalFormatting sqref="H37:N37">
    <cfRule type="expression" dxfId="6856" priority="119">
      <formula>5</formula>
    </cfRule>
  </conditionalFormatting>
  <conditionalFormatting sqref="H37:N37">
    <cfRule type="cellIs" dxfId="6855" priority="118" operator="lessThan">
      <formula>50</formula>
    </cfRule>
  </conditionalFormatting>
  <conditionalFormatting sqref="P37">
    <cfRule type="cellIs" dxfId="6854" priority="117" operator="lessThan">
      <formula>50</formula>
    </cfRule>
  </conditionalFormatting>
  <conditionalFormatting sqref="H38:N38">
    <cfRule type="cellIs" dxfId="6853" priority="116" operator="lessThan">
      <formula>5</formula>
    </cfRule>
  </conditionalFormatting>
  <conditionalFormatting sqref="H38:N38">
    <cfRule type="expression" dxfId="6852" priority="115">
      <formula>5</formula>
    </cfRule>
  </conditionalFormatting>
  <conditionalFormatting sqref="H38:N38">
    <cfRule type="cellIs" dxfId="6851" priority="114" operator="lessThan">
      <formula>50</formula>
    </cfRule>
  </conditionalFormatting>
  <conditionalFormatting sqref="P38">
    <cfRule type="cellIs" dxfId="6850" priority="113" operator="lessThan">
      <formula>50</formula>
    </cfRule>
  </conditionalFormatting>
  <conditionalFormatting sqref="H39:N39">
    <cfRule type="cellIs" dxfId="6849" priority="112" operator="lessThan">
      <formula>5</formula>
    </cfRule>
  </conditionalFormatting>
  <conditionalFormatting sqref="H39:N39">
    <cfRule type="expression" dxfId="6848" priority="111">
      <formula>5</formula>
    </cfRule>
  </conditionalFormatting>
  <conditionalFormatting sqref="H39:N39">
    <cfRule type="cellIs" dxfId="6847" priority="110" operator="lessThan">
      <formula>50</formula>
    </cfRule>
  </conditionalFormatting>
  <conditionalFormatting sqref="P39">
    <cfRule type="cellIs" dxfId="6846" priority="109" operator="lessThan">
      <formula>50</formula>
    </cfRule>
  </conditionalFormatting>
  <conditionalFormatting sqref="H40:N40">
    <cfRule type="cellIs" dxfId="6845" priority="108" operator="lessThan">
      <formula>5</formula>
    </cfRule>
  </conditionalFormatting>
  <conditionalFormatting sqref="H40:N40">
    <cfRule type="expression" dxfId="6844" priority="107">
      <formula>5</formula>
    </cfRule>
  </conditionalFormatting>
  <conditionalFormatting sqref="H40:N40">
    <cfRule type="cellIs" dxfId="6843" priority="106" operator="lessThan">
      <formula>50</formula>
    </cfRule>
  </conditionalFormatting>
  <conditionalFormatting sqref="P40">
    <cfRule type="cellIs" dxfId="6842" priority="105" operator="lessThan">
      <formula>50</formula>
    </cfRule>
  </conditionalFormatting>
  <conditionalFormatting sqref="H41:N41">
    <cfRule type="cellIs" dxfId="6841" priority="104" operator="lessThan">
      <formula>5</formula>
    </cfRule>
  </conditionalFormatting>
  <conditionalFormatting sqref="H41:N41">
    <cfRule type="expression" dxfId="6840" priority="103">
      <formula>5</formula>
    </cfRule>
  </conditionalFormatting>
  <conditionalFormatting sqref="H41:N41">
    <cfRule type="cellIs" dxfId="6839" priority="102" operator="lessThan">
      <formula>50</formula>
    </cfRule>
  </conditionalFormatting>
  <conditionalFormatting sqref="P41">
    <cfRule type="cellIs" dxfId="6838" priority="101" operator="lessThan">
      <formula>50</formula>
    </cfRule>
  </conditionalFormatting>
  <conditionalFormatting sqref="H42:N42">
    <cfRule type="cellIs" dxfId="6837" priority="100" operator="lessThan">
      <formula>5</formula>
    </cfRule>
  </conditionalFormatting>
  <conditionalFormatting sqref="H42:N42">
    <cfRule type="expression" dxfId="6836" priority="99">
      <formula>5</formula>
    </cfRule>
  </conditionalFormatting>
  <conditionalFormatting sqref="H42:N42">
    <cfRule type="cellIs" dxfId="6835" priority="98" operator="lessThan">
      <formula>50</formula>
    </cfRule>
  </conditionalFormatting>
  <conditionalFormatting sqref="P42">
    <cfRule type="cellIs" dxfId="6834" priority="97" operator="lessThan">
      <formula>50</formula>
    </cfRule>
  </conditionalFormatting>
  <conditionalFormatting sqref="H43:N43">
    <cfRule type="cellIs" dxfId="6833" priority="96" operator="lessThan">
      <formula>5</formula>
    </cfRule>
  </conditionalFormatting>
  <conditionalFormatting sqref="H43:N43">
    <cfRule type="expression" dxfId="6832" priority="95">
      <formula>5</formula>
    </cfRule>
  </conditionalFormatting>
  <conditionalFormatting sqref="H43:N43">
    <cfRule type="cellIs" dxfId="6831" priority="94" operator="lessThan">
      <formula>50</formula>
    </cfRule>
  </conditionalFormatting>
  <conditionalFormatting sqref="P43">
    <cfRule type="cellIs" dxfId="6830" priority="93" operator="lessThan">
      <formula>50</formula>
    </cfRule>
  </conditionalFormatting>
  <conditionalFormatting sqref="H44:N44">
    <cfRule type="cellIs" dxfId="6829" priority="92" operator="lessThan">
      <formula>5</formula>
    </cfRule>
  </conditionalFormatting>
  <conditionalFormatting sqref="H44:N44">
    <cfRule type="expression" dxfId="6828" priority="91">
      <formula>5</formula>
    </cfRule>
  </conditionalFormatting>
  <conditionalFormatting sqref="H44:N44">
    <cfRule type="cellIs" dxfId="6827" priority="90" operator="lessThan">
      <formula>50</formula>
    </cfRule>
  </conditionalFormatting>
  <conditionalFormatting sqref="P44">
    <cfRule type="cellIs" dxfId="6826" priority="89" operator="lessThan">
      <formula>50</formula>
    </cfRule>
  </conditionalFormatting>
  <conditionalFormatting sqref="H45:N45">
    <cfRule type="cellIs" dxfId="6825" priority="88" operator="lessThan">
      <formula>5</formula>
    </cfRule>
  </conditionalFormatting>
  <conditionalFormatting sqref="H45:N45">
    <cfRule type="expression" dxfId="6824" priority="87">
      <formula>5</formula>
    </cfRule>
  </conditionalFormatting>
  <conditionalFormatting sqref="H45:N45">
    <cfRule type="cellIs" dxfId="6823" priority="86" operator="lessThan">
      <formula>50</formula>
    </cfRule>
  </conditionalFormatting>
  <conditionalFormatting sqref="P45">
    <cfRule type="cellIs" dxfId="6822" priority="85" operator="lessThan">
      <formula>50</formula>
    </cfRule>
  </conditionalFormatting>
  <conditionalFormatting sqref="H46:N46">
    <cfRule type="cellIs" dxfId="6821" priority="84" operator="lessThan">
      <formula>5</formula>
    </cfRule>
  </conditionalFormatting>
  <conditionalFormatting sqref="H46:N46">
    <cfRule type="expression" dxfId="6820" priority="83">
      <formula>5</formula>
    </cfRule>
  </conditionalFormatting>
  <conditionalFormatting sqref="H46:N46">
    <cfRule type="cellIs" dxfId="6819" priority="82" operator="lessThan">
      <formula>50</formula>
    </cfRule>
  </conditionalFormatting>
  <conditionalFormatting sqref="P46">
    <cfRule type="cellIs" dxfId="6818" priority="81" operator="lessThan">
      <formula>50</formula>
    </cfRule>
  </conditionalFormatting>
  <conditionalFormatting sqref="H47:N47">
    <cfRule type="cellIs" dxfId="6817" priority="80" operator="lessThan">
      <formula>5</formula>
    </cfRule>
  </conditionalFormatting>
  <conditionalFormatting sqref="H47:N47">
    <cfRule type="expression" dxfId="6816" priority="79">
      <formula>5</formula>
    </cfRule>
  </conditionalFormatting>
  <conditionalFormatting sqref="H47:N47">
    <cfRule type="cellIs" dxfId="6815" priority="78" operator="lessThan">
      <formula>50</formula>
    </cfRule>
  </conditionalFormatting>
  <conditionalFormatting sqref="P47">
    <cfRule type="cellIs" dxfId="6814" priority="77" operator="lessThan">
      <formula>50</formula>
    </cfRule>
  </conditionalFormatting>
  <conditionalFormatting sqref="H48:N48">
    <cfRule type="cellIs" dxfId="6813" priority="76" operator="lessThan">
      <formula>5</formula>
    </cfRule>
  </conditionalFormatting>
  <conditionalFormatting sqref="H48:N48">
    <cfRule type="expression" dxfId="6812" priority="75">
      <formula>5</formula>
    </cfRule>
  </conditionalFormatting>
  <conditionalFormatting sqref="H48:N48">
    <cfRule type="cellIs" dxfId="6811" priority="74" operator="lessThan">
      <formula>50</formula>
    </cfRule>
  </conditionalFormatting>
  <conditionalFormatting sqref="P48">
    <cfRule type="cellIs" dxfId="6810" priority="73" operator="lessThan">
      <formula>50</formula>
    </cfRule>
  </conditionalFormatting>
  <conditionalFormatting sqref="H49:N49">
    <cfRule type="cellIs" dxfId="6809" priority="72" operator="lessThan">
      <formula>5</formula>
    </cfRule>
  </conditionalFormatting>
  <conditionalFormatting sqref="H49:N49">
    <cfRule type="expression" dxfId="6808" priority="71">
      <formula>5</formula>
    </cfRule>
  </conditionalFormatting>
  <conditionalFormatting sqref="H49:N49">
    <cfRule type="cellIs" dxfId="6807" priority="70" operator="lessThan">
      <formula>50</formula>
    </cfRule>
  </conditionalFormatting>
  <conditionalFormatting sqref="P49">
    <cfRule type="cellIs" dxfId="6806" priority="69" operator="lessThan">
      <formula>50</formula>
    </cfRule>
  </conditionalFormatting>
  <conditionalFormatting sqref="H50:N50">
    <cfRule type="cellIs" dxfId="6805" priority="68" operator="lessThan">
      <formula>5</formula>
    </cfRule>
  </conditionalFormatting>
  <conditionalFormatting sqref="H50:N50">
    <cfRule type="expression" dxfId="6804" priority="67">
      <formula>5</formula>
    </cfRule>
  </conditionalFormatting>
  <conditionalFormatting sqref="H50:N50">
    <cfRule type="cellIs" dxfId="6803" priority="66" operator="lessThan">
      <formula>50</formula>
    </cfRule>
  </conditionalFormatting>
  <conditionalFormatting sqref="P50">
    <cfRule type="cellIs" dxfId="6802" priority="65" operator="lessThan">
      <formula>50</formula>
    </cfRule>
  </conditionalFormatting>
  <conditionalFormatting sqref="H51:N51">
    <cfRule type="cellIs" dxfId="6801" priority="64" operator="lessThan">
      <formula>5</formula>
    </cfRule>
  </conditionalFormatting>
  <conditionalFormatting sqref="H51:N51">
    <cfRule type="expression" dxfId="6800" priority="63">
      <formula>5</formula>
    </cfRule>
  </conditionalFormatting>
  <conditionalFormatting sqref="H51:N51">
    <cfRule type="cellIs" dxfId="6799" priority="62" operator="lessThan">
      <formula>50</formula>
    </cfRule>
  </conditionalFormatting>
  <conditionalFormatting sqref="P51">
    <cfRule type="cellIs" dxfId="6798" priority="61" operator="lessThan">
      <formula>50</formula>
    </cfRule>
  </conditionalFormatting>
  <conditionalFormatting sqref="H52:N52">
    <cfRule type="cellIs" dxfId="6797" priority="60" operator="lessThan">
      <formula>5</formula>
    </cfRule>
  </conditionalFormatting>
  <conditionalFormatting sqref="H52:N52">
    <cfRule type="expression" dxfId="6796" priority="59">
      <formula>5</formula>
    </cfRule>
  </conditionalFormatting>
  <conditionalFormatting sqref="H52:N52">
    <cfRule type="cellIs" dxfId="6795" priority="58" operator="lessThan">
      <formula>50</formula>
    </cfRule>
  </conditionalFormatting>
  <conditionalFormatting sqref="P52">
    <cfRule type="cellIs" dxfId="6794" priority="57" operator="lessThan">
      <formula>50</formula>
    </cfRule>
  </conditionalFormatting>
  <conditionalFormatting sqref="H53:N53">
    <cfRule type="cellIs" dxfId="6793" priority="56" operator="lessThan">
      <formula>5</formula>
    </cfRule>
  </conditionalFormatting>
  <conditionalFormatting sqref="H53:N53">
    <cfRule type="expression" dxfId="6792" priority="55">
      <formula>5</formula>
    </cfRule>
  </conditionalFormatting>
  <conditionalFormatting sqref="H53:N53">
    <cfRule type="cellIs" dxfId="6791" priority="54" operator="lessThan">
      <formula>50</formula>
    </cfRule>
  </conditionalFormatting>
  <conditionalFormatting sqref="P53">
    <cfRule type="cellIs" dxfId="6790" priority="53" operator="lessThan">
      <formula>50</formula>
    </cfRule>
  </conditionalFormatting>
  <conditionalFormatting sqref="H54:N54">
    <cfRule type="cellIs" dxfId="6789" priority="52" operator="lessThan">
      <formula>5</formula>
    </cfRule>
  </conditionalFormatting>
  <conditionalFormatting sqref="H54:N54">
    <cfRule type="expression" dxfId="6788" priority="51">
      <formula>5</formula>
    </cfRule>
  </conditionalFormatting>
  <conditionalFormatting sqref="H54:N54">
    <cfRule type="cellIs" dxfId="6787" priority="50" operator="lessThan">
      <formula>50</formula>
    </cfRule>
  </conditionalFormatting>
  <conditionalFormatting sqref="P54">
    <cfRule type="cellIs" dxfId="6786" priority="49" operator="lessThan">
      <formula>50</formula>
    </cfRule>
  </conditionalFormatting>
  <conditionalFormatting sqref="H55:N55">
    <cfRule type="cellIs" dxfId="6785" priority="48" operator="lessThan">
      <formula>5</formula>
    </cfRule>
  </conditionalFormatting>
  <conditionalFormatting sqref="H55:N55">
    <cfRule type="expression" dxfId="6784" priority="47">
      <formula>5</formula>
    </cfRule>
  </conditionalFormatting>
  <conditionalFormatting sqref="H55:N55">
    <cfRule type="cellIs" dxfId="6783" priority="46" operator="lessThan">
      <formula>50</formula>
    </cfRule>
  </conditionalFormatting>
  <conditionalFormatting sqref="P55">
    <cfRule type="cellIs" dxfId="6782" priority="45" operator="lessThan">
      <formula>50</formula>
    </cfRule>
  </conditionalFormatting>
  <conditionalFormatting sqref="H56:N56">
    <cfRule type="cellIs" dxfId="6781" priority="44" operator="lessThan">
      <formula>5</formula>
    </cfRule>
  </conditionalFormatting>
  <conditionalFormatting sqref="H56:N56">
    <cfRule type="expression" dxfId="6780" priority="43">
      <formula>5</formula>
    </cfRule>
  </conditionalFormatting>
  <conditionalFormatting sqref="H56:N56">
    <cfRule type="cellIs" dxfId="6779" priority="42" operator="lessThan">
      <formula>50</formula>
    </cfRule>
  </conditionalFormatting>
  <conditionalFormatting sqref="P56">
    <cfRule type="cellIs" dxfId="6778" priority="41" operator="lessThan">
      <formula>50</formula>
    </cfRule>
  </conditionalFormatting>
  <conditionalFormatting sqref="H57:N57">
    <cfRule type="cellIs" dxfId="6777" priority="40" operator="lessThan">
      <formula>5</formula>
    </cfRule>
  </conditionalFormatting>
  <conditionalFormatting sqref="H57:N57">
    <cfRule type="expression" dxfId="6776" priority="39">
      <formula>5</formula>
    </cfRule>
  </conditionalFormatting>
  <conditionalFormatting sqref="H57:N57">
    <cfRule type="cellIs" dxfId="6775" priority="38" operator="lessThan">
      <formula>50</formula>
    </cfRule>
  </conditionalFormatting>
  <conditionalFormatting sqref="P57">
    <cfRule type="cellIs" dxfId="6774" priority="37" operator="lessThan">
      <formula>50</formula>
    </cfRule>
  </conditionalFormatting>
  <conditionalFormatting sqref="H58:N58">
    <cfRule type="cellIs" dxfId="6773" priority="36" operator="lessThan">
      <formula>5</formula>
    </cfRule>
  </conditionalFormatting>
  <conditionalFormatting sqref="H58:N58">
    <cfRule type="expression" dxfId="6772" priority="35">
      <formula>5</formula>
    </cfRule>
  </conditionalFormatting>
  <conditionalFormatting sqref="H58:N58">
    <cfRule type="cellIs" dxfId="6771" priority="34" operator="lessThan">
      <formula>50</formula>
    </cfRule>
  </conditionalFormatting>
  <conditionalFormatting sqref="P58">
    <cfRule type="cellIs" dxfId="6770" priority="33" operator="lessThan">
      <formula>50</formula>
    </cfRule>
  </conditionalFormatting>
  <conditionalFormatting sqref="H59:N59">
    <cfRule type="cellIs" dxfId="6769" priority="32" operator="lessThan">
      <formula>5</formula>
    </cfRule>
  </conditionalFormatting>
  <conditionalFormatting sqref="H59:N59">
    <cfRule type="expression" dxfId="6768" priority="31">
      <formula>5</formula>
    </cfRule>
  </conditionalFormatting>
  <conditionalFormatting sqref="H59:N59">
    <cfRule type="cellIs" dxfId="6767" priority="30" operator="lessThan">
      <formula>50</formula>
    </cfRule>
  </conditionalFormatting>
  <conditionalFormatting sqref="P59">
    <cfRule type="cellIs" dxfId="6766" priority="29" operator="lessThan">
      <formula>50</formula>
    </cfRule>
  </conditionalFormatting>
  <conditionalFormatting sqref="H60:N60">
    <cfRule type="cellIs" dxfId="6765" priority="28" operator="lessThan">
      <formula>5</formula>
    </cfRule>
  </conditionalFormatting>
  <conditionalFormatting sqref="H60:N60">
    <cfRule type="expression" dxfId="6764" priority="27">
      <formula>5</formula>
    </cfRule>
  </conditionalFormatting>
  <conditionalFormatting sqref="H60:N60">
    <cfRule type="cellIs" dxfId="6763" priority="26" operator="lessThan">
      <formula>50</formula>
    </cfRule>
  </conditionalFormatting>
  <conditionalFormatting sqref="P60">
    <cfRule type="cellIs" dxfId="6762" priority="25" operator="lessThan">
      <formula>50</formula>
    </cfRule>
  </conditionalFormatting>
  <conditionalFormatting sqref="H61:N61">
    <cfRule type="cellIs" dxfId="6761" priority="24" operator="lessThan">
      <formula>5</formula>
    </cfRule>
  </conditionalFormatting>
  <conditionalFormatting sqref="H61:N61">
    <cfRule type="expression" dxfId="6760" priority="23">
      <formula>5</formula>
    </cfRule>
  </conditionalFormatting>
  <conditionalFormatting sqref="H61:N61">
    <cfRule type="cellIs" dxfId="6759" priority="22" operator="lessThan">
      <formula>50</formula>
    </cfRule>
  </conditionalFormatting>
  <conditionalFormatting sqref="P61">
    <cfRule type="cellIs" dxfId="6758" priority="21" operator="lessThan">
      <formula>50</formula>
    </cfRule>
  </conditionalFormatting>
  <conditionalFormatting sqref="H62:N62">
    <cfRule type="cellIs" dxfId="6757" priority="20" operator="lessThan">
      <formula>5</formula>
    </cfRule>
  </conditionalFormatting>
  <conditionalFormatting sqref="H62:N62">
    <cfRule type="expression" dxfId="6756" priority="19">
      <formula>5</formula>
    </cfRule>
  </conditionalFormatting>
  <conditionalFormatting sqref="H62:N62">
    <cfRule type="cellIs" dxfId="6755" priority="18" operator="lessThan">
      <formula>50</formula>
    </cfRule>
  </conditionalFormatting>
  <conditionalFormatting sqref="P62">
    <cfRule type="cellIs" dxfId="6754" priority="17" operator="lessThan">
      <formula>50</formula>
    </cfRule>
  </conditionalFormatting>
  <conditionalFormatting sqref="H63:N63">
    <cfRule type="cellIs" dxfId="6753" priority="16" operator="lessThan">
      <formula>5</formula>
    </cfRule>
  </conditionalFormatting>
  <conditionalFormatting sqref="H63:N63">
    <cfRule type="expression" dxfId="6752" priority="15">
      <formula>5</formula>
    </cfRule>
  </conditionalFormatting>
  <conditionalFormatting sqref="H63:N63">
    <cfRule type="cellIs" dxfId="6751" priority="14" operator="lessThan">
      <formula>50</formula>
    </cfRule>
  </conditionalFormatting>
  <conditionalFormatting sqref="P63">
    <cfRule type="cellIs" dxfId="6750" priority="13" operator="lessThan">
      <formula>50</formula>
    </cfRule>
  </conditionalFormatting>
  <conditionalFormatting sqref="H64:N64">
    <cfRule type="cellIs" dxfId="6749" priority="12" operator="lessThan">
      <formula>5</formula>
    </cfRule>
  </conditionalFormatting>
  <conditionalFormatting sqref="H64:N64">
    <cfRule type="expression" dxfId="6748" priority="11">
      <formula>5</formula>
    </cfRule>
  </conditionalFormatting>
  <conditionalFormatting sqref="H64:N64">
    <cfRule type="cellIs" dxfId="6747" priority="10" operator="lessThan">
      <formula>50</formula>
    </cfRule>
  </conditionalFormatting>
  <conditionalFormatting sqref="P64">
    <cfRule type="cellIs" dxfId="6746" priority="9" operator="lessThan">
      <formula>50</formula>
    </cfRule>
  </conditionalFormatting>
  <conditionalFormatting sqref="H65:N65">
    <cfRule type="cellIs" dxfId="6745" priority="8" operator="lessThan">
      <formula>5</formula>
    </cfRule>
  </conditionalFormatting>
  <conditionalFormatting sqref="H65:N65">
    <cfRule type="expression" dxfId="6744" priority="7">
      <formula>5</formula>
    </cfRule>
  </conditionalFormatting>
  <conditionalFormatting sqref="H65:N65">
    <cfRule type="cellIs" dxfId="6743" priority="6" operator="lessThan">
      <formula>50</formula>
    </cfRule>
  </conditionalFormatting>
  <conditionalFormatting sqref="P65">
    <cfRule type="cellIs" dxfId="6742" priority="5" operator="lessThan">
      <formula>50</formula>
    </cfRule>
  </conditionalFormatting>
  <conditionalFormatting sqref="H66:N66">
    <cfRule type="cellIs" dxfId="6741" priority="4" operator="lessThan">
      <formula>5</formula>
    </cfRule>
  </conditionalFormatting>
  <conditionalFormatting sqref="H66:N66">
    <cfRule type="expression" dxfId="6740" priority="3">
      <formula>5</formula>
    </cfRule>
  </conditionalFormatting>
  <conditionalFormatting sqref="H66:N66">
    <cfRule type="cellIs" dxfId="6739" priority="2" operator="lessThan">
      <formula>50</formula>
    </cfRule>
  </conditionalFormatting>
  <conditionalFormatting sqref="P66">
    <cfRule type="cellIs" dxfId="6738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8:E9 D11:E11 D14:E15 D17:E18 D31:E31 D33:E33" xr:uid="{9D5AF680-3A64-48C3-AC7F-5DD9AD5394BE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01BA-1D8C-40A6-97B1-CA1D2D5E0D8F}">
  <sheetPr codeName="Sheet95"/>
  <dimension ref="A1:Q62"/>
  <sheetViews>
    <sheetView showGridLines="0" topLeftCell="A37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6" width="4.7109375" style="44" customWidth="1"/>
    <col min="17" max="17" width="4.7109375" customWidth="1"/>
  </cols>
  <sheetData>
    <row r="1" spans="1:17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42"/>
      <c r="Q4" s="11"/>
    </row>
    <row r="5" spans="1:17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42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48" t="s">
        <v>7</v>
      </c>
      <c r="I6" s="48" t="s">
        <v>11</v>
      </c>
      <c r="J6" s="48" t="s">
        <v>12</v>
      </c>
      <c r="K6" s="48" t="s">
        <v>2</v>
      </c>
      <c r="L6" s="48" t="s">
        <v>5319</v>
      </c>
      <c r="M6" s="48" t="s">
        <v>10</v>
      </c>
      <c r="N6" s="48" t="s">
        <v>3</v>
      </c>
      <c r="O6" s="48" t="s">
        <v>5320</v>
      </c>
      <c r="P6" s="56" t="s">
        <v>5321</v>
      </c>
      <c r="Q6" s="48" t="s">
        <v>5324</v>
      </c>
    </row>
    <row r="7" spans="1:17" ht="18" customHeight="1" thickTop="1">
      <c r="A7" s="19">
        <v>1</v>
      </c>
      <c r="B7" s="2" t="s">
        <v>2604</v>
      </c>
      <c r="C7" s="1" t="s">
        <v>2605</v>
      </c>
      <c r="D7" s="3" t="s">
        <v>2606</v>
      </c>
      <c r="E7" s="1" t="s">
        <v>70</v>
      </c>
      <c r="F7" s="10" t="s">
        <v>2566</v>
      </c>
      <c r="G7" s="2">
        <v>35</v>
      </c>
      <c r="H7" s="6">
        <v>96</v>
      </c>
      <c r="I7" s="6">
        <v>68</v>
      </c>
      <c r="J7" s="6">
        <v>92</v>
      </c>
      <c r="K7" s="6">
        <v>90</v>
      </c>
      <c r="L7" s="6">
        <v>96</v>
      </c>
      <c r="M7" s="6">
        <v>100</v>
      </c>
      <c r="N7" s="6">
        <v>85</v>
      </c>
      <c r="O7" s="1">
        <f t="shared" ref="O7:O38" si="0">SUBTOTAL(9,H7:N7)</f>
        <v>627</v>
      </c>
      <c r="P7" s="14">
        <f t="shared" ref="P7:P38" si="1">O7/7</f>
        <v>89.571428571428569</v>
      </c>
      <c r="Q7" s="20">
        <f t="shared" ref="Q7:Q38" si="2">RANK(P7,P$7:P$286,0)</f>
        <v>1</v>
      </c>
    </row>
    <row r="8" spans="1:17" ht="18" customHeight="1">
      <c r="A8" s="19">
        <v>2</v>
      </c>
      <c r="B8" s="2" t="s">
        <v>2601</v>
      </c>
      <c r="C8" s="1" t="s">
        <v>2602</v>
      </c>
      <c r="D8" s="3" t="s">
        <v>2603</v>
      </c>
      <c r="E8" s="1" t="s">
        <v>79</v>
      </c>
      <c r="F8" s="10" t="s">
        <v>2566</v>
      </c>
      <c r="G8" s="2">
        <v>35</v>
      </c>
      <c r="H8" s="6">
        <v>100</v>
      </c>
      <c r="I8" s="6">
        <v>67</v>
      </c>
      <c r="J8" s="6">
        <v>96</v>
      </c>
      <c r="K8" s="6">
        <v>82</v>
      </c>
      <c r="L8" s="6">
        <v>92</v>
      </c>
      <c r="M8" s="6">
        <v>100</v>
      </c>
      <c r="N8" s="6">
        <v>73</v>
      </c>
      <c r="O8" s="1">
        <f t="shared" si="0"/>
        <v>610</v>
      </c>
      <c r="P8" s="14">
        <f t="shared" si="1"/>
        <v>87.142857142857139</v>
      </c>
      <c r="Q8" s="20">
        <f t="shared" si="2"/>
        <v>2</v>
      </c>
    </row>
    <row r="9" spans="1:17" ht="18" customHeight="1">
      <c r="A9" s="19">
        <v>3</v>
      </c>
      <c r="B9" s="2" t="s">
        <v>2675</v>
      </c>
      <c r="C9" s="1" t="s">
        <v>2676</v>
      </c>
      <c r="D9" s="3" t="s">
        <v>2677</v>
      </c>
      <c r="E9" s="1" t="s">
        <v>74</v>
      </c>
      <c r="F9" s="10" t="s">
        <v>2566</v>
      </c>
      <c r="G9" s="2">
        <v>36</v>
      </c>
      <c r="H9" s="6">
        <v>100</v>
      </c>
      <c r="I9" s="6">
        <v>51</v>
      </c>
      <c r="J9" s="6">
        <v>96</v>
      </c>
      <c r="K9" s="6">
        <v>70</v>
      </c>
      <c r="L9" s="6">
        <v>70</v>
      </c>
      <c r="M9" s="6">
        <v>73</v>
      </c>
      <c r="N9" s="6">
        <v>85</v>
      </c>
      <c r="O9" s="1">
        <f t="shared" si="0"/>
        <v>545</v>
      </c>
      <c r="P9" s="14">
        <f t="shared" si="1"/>
        <v>77.857142857142861</v>
      </c>
      <c r="Q9" s="20">
        <f t="shared" si="2"/>
        <v>3</v>
      </c>
    </row>
    <row r="10" spans="1:17" ht="18" customHeight="1">
      <c r="A10" s="19">
        <v>4</v>
      </c>
      <c r="B10" s="2" t="s">
        <v>2613</v>
      </c>
      <c r="C10" s="1" t="s">
        <v>2614</v>
      </c>
      <c r="D10" s="3" t="s">
        <v>2615</v>
      </c>
      <c r="E10" s="1" t="s">
        <v>56</v>
      </c>
      <c r="F10" s="10" t="s">
        <v>2566</v>
      </c>
      <c r="G10" s="2">
        <v>35</v>
      </c>
      <c r="H10" s="6">
        <v>82</v>
      </c>
      <c r="I10" s="6">
        <v>40</v>
      </c>
      <c r="J10" s="6">
        <v>96</v>
      </c>
      <c r="K10" s="6">
        <v>80</v>
      </c>
      <c r="L10" s="6">
        <v>100</v>
      </c>
      <c r="M10" s="6">
        <v>92</v>
      </c>
      <c r="N10" s="6">
        <v>54</v>
      </c>
      <c r="O10" s="1">
        <f t="shared" si="0"/>
        <v>544</v>
      </c>
      <c r="P10" s="14">
        <f t="shared" si="1"/>
        <v>77.714285714285708</v>
      </c>
      <c r="Q10" s="20">
        <f t="shared" si="2"/>
        <v>4</v>
      </c>
    </row>
    <row r="11" spans="1:17" ht="18" customHeight="1">
      <c r="A11" s="19">
        <v>5</v>
      </c>
      <c r="B11" s="2" t="s">
        <v>2652</v>
      </c>
      <c r="C11" s="1" t="s">
        <v>2653</v>
      </c>
      <c r="D11" s="3" t="s">
        <v>2654</v>
      </c>
      <c r="E11" s="1" t="s">
        <v>60</v>
      </c>
      <c r="F11" s="10" t="s">
        <v>2566</v>
      </c>
      <c r="G11" s="2">
        <v>36</v>
      </c>
      <c r="H11" s="6">
        <v>88</v>
      </c>
      <c r="I11" s="6">
        <v>32</v>
      </c>
      <c r="J11" s="6">
        <v>68</v>
      </c>
      <c r="K11" s="6">
        <v>92</v>
      </c>
      <c r="L11" s="6">
        <v>84</v>
      </c>
      <c r="M11" s="6">
        <v>82</v>
      </c>
      <c r="N11" s="6">
        <v>96</v>
      </c>
      <c r="O11" s="1">
        <f t="shared" si="0"/>
        <v>542</v>
      </c>
      <c r="P11" s="14">
        <f t="shared" si="1"/>
        <v>77.428571428571431</v>
      </c>
      <c r="Q11" s="20">
        <f t="shared" si="2"/>
        <v>5</v>
      </c>
    </row>
    <row r="12" spans="1:17" ht="18" customHeight="1">
      <c r="A12" s="19">
        <v>6</v>
      </c>
      <c r="B12" s="2" t="s">
        <v>2719</v>
      </c>
      <c r="C12" s="1">
        <v>311260317</v>
      </c>
      <c r="D12" s="3" t="s">
        <v>2720</v>
      </c>
      <c r="E12" s="1" t="s">
        <v>78</v>
      </c>
      <c r="F12" s="10" t="s">
        <v>2566</v>
      </c>
      <c r="G12" s="2">
        <v>37</v>
      </c>
      <c r="H12" s="6">
        <v>88</v>
      </c>
      <c r="I12" s="6">
        <v>52</v>
      </c>
      <c r="J12" s="6">
        <v>64</v>
      </c>
      <c r="K12" s="6">
        <v>56</v>
      </c>
      <c r="L12" s="6">
        <v>100</v>
      </c>
      <c r="M12" s="6">
        <v>76</v>
      </c>
      <c r="N12" s="6">
        <v>58</v>
      </c>
      <c r="O12" s="1">
        <f t="shared" si="0"/>
        <v>494</v>
      </c>
      <c r="P12" s="14">
        <f t="shared" si="1"/>
        <v>70.571428571428569</v>
      </c>
      <c r="Q12" s="20">
        <f t="shared" si="2"/>
        <v>6</v>
      </c>
    </row>
    <row r="13" spans="1:17" ht="18" customHeight="1">
      <c r="A13" s="19">
        <v>7</v>
      </c>
      <c r="B13" s="2" t="s">
        <v>2721</v>
      </c>
      <c r="C13" s="1">
        <v>311260318</v>
      </c>
      <c r="D13" s="3" t="s">
        <v>2722</v>
      </c>
      <c r="E13" s="1" t="s">
        <v>88</v>
      </c>
      <c r="F13" s="10" t="s">
        <v>2566</v>
      </c>
      <c r="G13" s="2">
        <v>37</v>
      </c>
      <c r="H13" s="6">
        <v>74</v>
      </c>
      <c r="I13" s="6">
        <v>53</v>
      </c>
      <c r="J13" s="6">
        <v>70</v>
      </c>
      <c r="K13" s="6">
        <v>74</v>
      </c>
      <c r="L13" s="6">
        <v>72</v>
      </c>
      <c r="M13" s="6">
        <v>72</v>
      </c>
      <c r="N13" s="6">
        <v>70</v>
      </c>
      <c r="O13" s="1">
        <f t="shared" si="0"/>
        <v>485</v>
      </c>
      <c r="P13" s="14">
        <f t="shared" si="1"/>
        <v>69.285714285714292</v>
      </c>
      <c r="Q13" s="20">
        <f t="shared" si="2"/>
        <v>7</v>
      </c>
    </row>
    <row r="14" spans="1:17" ht="18" customHeight="1">
      <c r="A14" s="19">
        <v>8</v>
      </c>
      <c r="B14" s="2" t="s">
        <v>2696</v>
      </c>
      <c r="C14" s="1" t="s">
        <v>2697</v>
      </c>
      <c r="D14" s="3" t="s">
        <v>2698</v>
      </c>
      <c r="E14" s="1" t="s">
        <v>88</v>
      </c>
      <c r="F14" s="10" t="s">
        <v>2566</v>
      </c>
      <c r="G14" s="2">
        <v>37</v>
      </c>
      <c r="H14" s="6">
        <v>80</v>
      </c>
      <c r="I14" s="6">
        <v>52</v>
      </c>
      <c r="J14" s="6">
        <v>62</v>
      </c>
      <c r="K14" s="6">
        <v>60</v>
      </c>
      <c r="L14" s="6">
        <v>100</v>
      </c>
      <c r="M14" s="6">
        <v>70</v>
      </c>
      <c r="N14" s="6">
        <v>51</v>
      </c>
      <c r="O14" s="1">
        <f t="shared" si="0"/>
        <v>475</v>
      </c>
      <c r="P14" s="14">
        <f t="shared" si="1"/>
        <v>67.857142857142861</v>
      </c>
      <c r="Q14" s="20">
        <f t="shared" si="2"/>
        <v>8</v>
      </c>
    </row>
    <row r="15" spans="1:17" ht="18" customHeight="1">
      <c r="A15" s="19">
        <v>9</v>
      </c>
      <c r="B15" s="2" t="s">
        <v>2584</v>
      </c>
      <c r="C15" s="1" t="s">
        <v>2585</v>
      </c>
      <c r="D15" s="3" t="s">
        <v>2586</v>
      </c>
      <c r="E15" s="1" t="s">
        <v>69</v>
      </c>
      <c r="F15" s="10" t="s">
        <v>2566</v>
      </c>
      <c r="G15" s="2">
        <v>35</v>
      </c>
      <c r="H15" s="6">
        <v>76</v>
      </c>
      <c r="I15" s="6">
        <v>51</v>
      </c>
      <c r="J15" s="6">
        <v>92</v>
      </c>
      <c r="K15" s="6">
        <v>68</v>
      </c>
      <c r="L15" s="6">
        <v>96</v>
      </c>
      <c r="M15" s="6">
        <v>60</v>
      </c>
      <c r="N15" s="6">
        <v>24</v>
      </c>
      <c r="O15" s="1">
        <f t="shared" si="0"/>
        <v>467</v>
      </c>
      <c r="P15" s="14">
        <f t="shared" si="1"/>
        <v>66.714285714285708</v>
      </c>
      <c r="Q15" s="20">
        <f t="shared" si="2"/>
        <v>9</v>
      </c>
    </row>
    <row r="16" spans="1:17" ht="18" customHeight="1">
      <c r="A16" s="19">
        <v>10</v>
      </c>
      <c r="B16" s="2" t="s">
        <v>2631</v>
      </c>
      <c r="C16" s="1" t="s">
        <v>2632</v>
      </c>
      <c r="D16" s="3" t="s">
        <v>2633</v>
      </c>
      <c r="E16" s="1" t="s">
        <v>71</v>
      </c>
      <c r="F16" s="10" t="s">
        <v>2566</v>
      </c>
      <c r="G16" s="2">
        <v>36</v>
      </c>
      <c r="H16" s="6">
        <v>80</v>
      </c>
      <c r="I16" s="6">
        <v>56</v>
      </c>
      <c r="J16" s="6">
        <v>42</v>
      </c>
      <c r="K16" s="6">
        <v>62</v>
      </c>
      <c r="L16" s="6">
        <v>88</v>
      </c>
      <c r="M16" s="6">
        <v>78</v>
      </c>
      <c r="N16" s="6">
        <v>58</v>
      </c>
      <c r="O16" s="1">
        <f t="shared" si="0"/>
        <v>464</v>
      </c>
      <c r="P16" s="14">
        <f t="shared" si="1"/>
        <v>66.285714285714292</v>
      </c>
      <c r="Q16" s="20">
        <f t="shared" si="2"/>
        <v>10</v>
      </c>
    </row>
    <row r="17" spans="1:17" ht="18" customHeight="1">
      <c r="A17" s="19">
        <v>11</v>
      </c>
      <c r="B17" s="2" t="s">
        <v>2625</v>
      </c>
      <c r="C17" s="1" t="s">
        <v>2626</v>
      </c>
      <c r="D17" s="3" t="s">
        <v>2627</v>
      </c>
      <c r="E17" s="1" t="s">
        <v>57</v>
      </c>
      <c r="F17" s="10" t="s">
        <v>2566</v>
      </c>
      <c r="G17" s="2">
        <v>35</v>
      </c>
      <c r="H17" s="6">
        <v>66</v>
      </c>
      <c r="I17" s="6">
        <v>56</v>
      </c>
      <c r="J17" s="6">
        <v>70</v>
      </c>
      <c r="K17" s="6">
        <v>58</v>
      </c>
      <c r="L17" s="6">
        <v>82</v>
      </c>
      <c r="M17" s="6">
        <v>72</v>
      </c>
      <c r="N17" s="6">
        <v>58</v>
      </c>
      <c r="O17" s="1">
        <f t="shared" si="0"/>
        <v>462</v>
      </c>
      <c r="P17" s="14">
        <f t="shared" si="1"/>
        <v>66</v>
      </c>
      <c r="Q17" s="20">
        <f t="shared" si="2"/>
        <v>11</v>
      </c>
    </row>
    <row r="18" spans="1:17" ht="18" customHeight="1">
      <c r="A18" s="19">
        <v>12</v>
      </c>
      <c r="B18" s="2" t="s">
        <v>2711</v>
      </c>
      <c r="C18" s="1" t="s">
        <v>2712</v>
      </c>
      <c r="D18" s="3" t="s">
        <v>2713</v>
      </c>
      <c r="E18" s="1" t="s">
        <v>76</v>
      </c>
      <c r="F18" s="10" t="s">
        <v>2566</v>
      </c>
      <c r="G18" s="2">
        <v>37</v>
      </c>
      <c r="H18" s="6">
        <v>88</v>
      </c>
      <c r="I18" s="6">
        <v>64</v>
      </c>
      <c r="J18" s="6">
        <v>55</v>
      </c>
      <c r="K18" s="6">
        <v>50</v>
      </c>
      <c r="L18" s="6">
        <v>81</v>
      </c>
      <c r="M18" s="6">
        <v>84</v>
      </c>
      <c r="N18" s="6">
        <v>39</v>
      </c>
      <c r="O18" s="1">
        <f t="shared" si="0"/>
        <v>461</v>
      </c>
      <c r="P18" s="14">
        <f t="shared" si="1"/>
        <v>65.857142857142861</v>
      </c>
      <c r="Q18" s="20">
        <f t="shared" si="2"/>
        <v>12</v>
      </c>
    </row>
    <row r="19" spans="1:17" ht="18" customHeight="1">
      <c r="A19" s="19">
        <v>13</v>
      </c>
      <c r="B19" s="2" t="s">
        <v>2687</v>
      </c>
      <c r="C19" s="1" t="s">
        <v>2688</v>
      </c>
      <c r="D19" s="3" t="s">
        <v>2689</v>
      </c>
      <c r="E19" s="1" t="s">
        <v>78</v>
      </c>
      <c r="F19" s="10" t="s">
        <v>2566</v>
      </c>
      <c r="G19" s="2">
        <v>37</v>
      </c>
      <c r="H19" s="6">
        <v>92</v>
      </c>
      <c r="I19" s="6">
        <v>31</v>
      </c>
      <c r="J19" s="6">
        <v>70</v>
      </c>
      <c r="K19" s="6">
        <v>40</v>
      </c>
      <c r="L19" s="6">
        <v>92</v>
      </c>
      <c r="M19" s="6">
        <v>65</v>
      </c>
      <c r="N19" s="6">
        <v>70</v>
      </c>
      <c r="O19" s="1">
        <f t="shared" si="0"/>
        <v>460</v>
      </c>
      <c r="P19" s="14">
        <f t="shared" si="1"/>
        <v>65.714285714285708</v>
      </c>
      <c r="Q19" s="20">
        <f t="shared" si="2"/>
        <v>13</v>
      </c>
    </row>
    <row r="20" spans="1:17" ht="18" customHeight="1">
      <c r="A20" s="19">
        <v>14</v>
      </c>
      <c r="B20" s="2" t="s">
        <v>2717</v>
      </c>
      <c r="C20" s="1">
        <v>311260316</v>
      </c>
      <c r="D20" s="3" t="s">
        <v>2718</v>
      </c>
      <c r="E20" s="1" t="s">
        <v>60</v>
      </c>
      <c r="F20" s="10" t="s">
        <v>2566</v>
      </c>
      <c r="G20" s="2">
        <v>37</v>
      </c>
      <c r="H20" s="6">
        <v>76</v>
      </c>
      <c r="I20" s="6">
        <v>72</v>
      </c>
      <c r="J20" s="6">
        <v>43</v>
      </c>
      <c r="K20" s="6">
        <v>58</v>
      </c>
      <c r="L20" s="6">
        <v>72</v>
      </c>
      <c r="M20" s="6">
        <v>88</v>
      </c>
      <c r="N20" s="6">
        <v>47</v>
      </c>
      <c r="O20" s="1">
        <f t="shared" si="0"/>
        <v>456</v>
      </c>
      <c r="P20" s="14">
        <f t="shared" si="1"/>
        <v>65.142857142857139</v>
      </c>
      <c r="Q20" s="20">
        <f t="shared" si="2"/>
        <v>14</v>
      </c>
    </row>
    <row r="21" spans="1:17" ht="18" customHeight="1">
      <c r="A21" s="19">
        <v>15</v>
      </c>
      <c r="B21" s="2" t="s">
        <v>2708</v>
      </c>
      <c r="C21" s="1" t="s">
        <v>2709</v>
      </c>
      <c r="D21" s="3" t="s">
        <v>2710</v>
      </c>
      <c r="E21" s="1" t="s">
        <v>76</v>
      </c>
      <c r="F21" s="10" t="s">
        <v>2566</v>
      </c>
      <c r="G21" s="2">
        <v>37</v>
      </c>
      <c r="H21" s="6">
        <v>72</v>
      </c>
      <c r="I21" s="6">
        <v>42</v>
      </c>
      <c r="J21" s="6">
        <v>56</v>
      </c>
      <c r="K21" s="6">
        <v>61</v>
      </c>
      <c r="L21" s="6">
        <v>84</v>
      </c>
      <c r="M21" s="6">
        <v>62</v>
      </c>
      <c r="N21" s="6">
        <v>58</v>
      </c>
      <c r="O21" s="1">
        <f t="shared" si="0"/>
        <v>435</v>
      </c>
      <c r="P21" s="14">
        <f t="shared" si="1"/>
        <v>62.142857142857146</v>
      </c>
      <c r="Q21" s="20">
        <f t="shared" si="2"/>
        <v>15</v>
      </c>
    </row>
    <row r="22" spans="1:17" ht="18" customHeight="1">
      <c r="A22" s="19">
        <v>16</v>
      </c>
      <c r="B22" s="2" t="s">
        <v>2616</v>
      </c>
      <c r="C22" s="1" t="s">
        <v>2617</v>
      </c>
      <c r="D22" s="3" t="s">
        <v>2618</v>
      </c>
      <c r="E22" s="1" t="s">
        <v>57</v>
      </c>
      <c r="F22" s="10" t="s">
        <v>2566</v>
      </c>
      <c r="G22" s="2">
        <v>35</v>
      </c>
      <c r="H22" s="6">
        <v>62</v>
      </c>
      <c r="I22" s="6">
        <v>40</v>
      </c>
      <c r="J22" s="6">
        <v>66</v>
      </c>
      <c r="K22" s="6">
        <v>64</v>
      </c>
      <c r="L22" s="6">
        <v>53</v>
      </c>
      <c r="M22" s="6">
        <v>56</v>
      </c>
      <c r="N22" s="6">
        <v>85</v>
      </c>
      <c r="O22" s="1">
        <f t="shared" si="0"/>
        <v>426</v>
      </c>
      <c r="P22" s="14">
        <f t="shared" si="1"/>
        <v>60.857142857142854</v>
      </c>
      <c r="Q22" s="20">
        <f t="shared" si="2"/>
        <v>16</v>
      </c>
    </row>
    <row r="23" spans="1:17" ht="18" customHeight="1">
      <c r="A23" s="19">
        <v>17</v>
      </c>
      <c r="B23" s="2" t="s">
        <v>2661</v>
      </c>
      <c r="C23" s="1" t="s">
        <v>2662</v>
      </c>
      <c r="D23" s="3" t="s">
        <v>2663</v>
      </c>
      <c r="E23" s="1" t="s">
        <v>73</v>
      </c>
      <c r="F23" s="10" t="s">
        <v>2566</v>
      </c>
      <c r="G23" s="2">
        <v>36</v>
      </c>
      <c r="H23" s="6">
        <v>96</v>
      </c>
      <c r="I23" s="6">
        <v>43</v>
      </c>
      <c r="J23" s="6">
        <v>34</v>
      </c>
      <c r="K23" s="6">
        <v>32</v>
      </c>
      <c r="L23" s="6">
        <v>88</v>
      </c>
      <c r="M23" s="6">
        <v>78</v>
      </c>
      <c r="N23" s="6">
        <v>51</v>
      </c>
      <c r="O23" s="1">
        <f t="shared" si="0"/>
        <v>422</v>
      </c>
      <c r="P23" s="14">
        <f t="shared" si="1"/>
        <v>60.285714285714285</v>
      </c>
      <c r="Q23" s="20">
        <f t="shared" si="2"/>
        <v>17</v>
      </c>
    </row>
    <row r="24" spans="1:17" ht="18" customHeight="1">
      <c r="A24" s="19">
        <v>18</v>
      </c>
      <c r="B24" s="2" t="s">
        <v>2581</v>
      </c>
      <c r="C24" s="1" t="s">
        <v>2582</v>
      </c>
      <c r="D24" s="3" t="s">
        <v>2583</v>
      </c>
      <c r="E24" s="1" t="s">
        <v>69</v>
      </c>
      <c r="F24" s="10" t="s">
        <v>2566</v>
      </c>
      <c r="G24" s="2">
        <v>35</v>
      </c>
      <c r="H24" s="6">
        <v>78</v>
      </c>
      <c r="I24" s="6">
        <v>31</v>
      </c>
      <c r="J24" s="6">
        <v>80</v>
      </c>
      <c r="K24" s="6">
        <v>50</v>
      </c>
      <c r="L24" s="6">
        <v>60</v>
      </c>
      <c r="M24" s="6">
        <v>86</v>
      </c>
      <c r="N24" s="6">
        <v>32</v>
      </c>
      <c r="O24" s="1">
        <f t="shared" si="0"/>
        <v>417</v>
      </c>
      <c r="P24" s="14">
        <f t="shared" si="1"/>
        <v>59.571428571428569</v>
      </c>
      <c r="Q24" s="20">
        <f t="shared" si="2"/>
        <v>18</v>
      </c>
    </row>
    <row r="25" spans="1:17" ht="18" customHeight="1">
      <c r="A25" s="19">
        <v>19</v>
      </c>
      <c r="B25" s="2" t="s">
        <v>2619</v>
      </c>
      <c r="C25" s="1" t="s">
        <v>2620</v>
      </c>
      <c r="D25" s="3" t="s">
        <v>2621</v>
      </c>
      <c r="E25" s="1" t="s">
        <v>57</v>
      </c>
      <c r="F25" s="10" t="s">
        <v>2566</v>
      </c>
      <c r="G25" s="2">
        <v>35</v>
      </c>
      <c r="H25" s="6">
        <v>80</v>
      </c>
      <c r="I25" s="6">
        <v>40</v>
      </c>
      <c r="J25" s="6">
        <v>50</v>
      </c>
      <c r="K25" s="6">
        <v>51</v>
      </c>
      <c r="L25" s="6">
        <v>92</v>
      </c>
      <c r="M25" s="6">
        <v>68</v>
      </c>
      <c r="N25" s="6">
        <v>32</v>
      </c>
      <c r="O25" s="1">
        <f t="shared" si="0"/>
        <v>413</v>
      </c>
      <c r="P25" s="14">
        <f t="shared" si="1"/>
        <v>59</v>
      </c>
      <c r="Q25" s="20">
        <f t="shared" si="2"/>
        <v>19</v>
      </c>
    </row>
    <row r="26" spans="1:17" ht="18" customHeight="1">
      <c r="A26" s="19">
        <v>20</v>
      </c>
      <c r="B26" s="2" t="s">
        <v>2637</v>
      </c>
      <c r="C26" s="1" t="s">
        <v>2638</v>
      </c>
      <c r="D26" s="3" t="s">
        <v>2639</v>
      </c>
      <c r="E26" s="1" t="s">
        <v>58</v>
      </c>
      <c r="F26" s="10" t="s">
        <v>2566</v>
      </c>
      <c r="G26" s="2">
        <v>36</v>
      </c>
      <c r="H26" s="6">
        <v>64</v>
      </c>
      <c r="I26" s="6">
        <v>35</v>
      </c>
      <c r="J26" s="6">
        <v>74</v>
      </c>
      <c r="K26" s="6">
        <v>28</v>
      </c>
      <c r="L26" s="6">
        <v>90</v>
      </c>
      <c r="M26" s="6">
        <v>68</v>
      </c>
      <c r="N26" s="6">
        <v>51</v>
      </c>
      <c r="O26" s="1">
        <f t="shared" si="0"/>
        <v>410</v>
      </c>
      <c r="P26" s="14">
        <f t="shared" si="1"/>
        <v>58.571428571428569</v>
      </c>
      <c r="Q26" s="20">
        <f t="shared" si="2"/>
        <v>20</v>
      </c>
    </row>
    <row r="27" spans="1:17" ht="18" customHeight="1">
      <c r="A27" s="19">
        <v>21</v>
      </c>
      <c r="B27" s="2" t="s">
        <v>2643</v>
      </c>
      <c r="C27" s="1" t="s">
        <v>2644</v>
      </c>
      <c r="D27" s="3" t="s">
        <v>2645</v>
      </c>
      <c r="E27" s="1" t="s">
        <v>59</v>
      </c>
      <c r="F27" s="10" t="s">
        <v>2566</v>
      </c>
      <c r="G27" s="2">
        <v>36</v>
      </c>
      <c r="H27" s="6">
        <v>74</v>
      </c>
      <c r="I27" s="6">
        <v>40</v>
      </c>
      <c r="J27" s="6">
        <v>66</v>
      </c>
      <c r="K27" s="6">
        <v>58</v>
      </c>
      <c r="L27" s="6">
        <v>55</v>
      </c>
      <c r="M27" s="6">
        <v>54</v>
      </c>
      <c r="N27" s="6">
        <v>54</v>
      </c>
      <c r="O27" s="1">
        <f t="shared" si="0"/>
        <v>401</v>
      </c>
      <c r="P27" s="14">
        <f t="shared" si="1"/>
        <v>57.285714285714285</v>
      </c>
      <c r="Q27" s="20">
        <f t="shared" si="2"/>
        <v>21</v>
      </c>
    </row>
    <row r="28" spans="1:17" ht="18" customHeight="1">
      <c r="A28" s="19">
        <v>22</v>
      </c>
      <c r="B28" s="2" t="s">
        <v>2646</v>
      </c>
      <c r="C28" s="1" t="s">
        <v>2647</v>
      </c>
      <c r="D28" s="3" t="s">
        <v>2648</v>
      </c>
      <c r="E28" s="1" t="s">
        <v>59</v>
      </c>
      <c r="F28" s="10" t="s">
        <v>2566</v>
      </c>
      <c r="G28" s="2">
        <v>36</v>
      </c>
      <c r="H28" s="6">
        <v>72</v>
      </c>
      <c r="I28" s="6">
        <v>29</v>
      </c>
      <c r="J28" s="6">
        <v>70</v>
      </c>
      <c r="K28" s="6">
        <v>38</v>
      </c>
      <c r="L28" s="6">
        <v>64</v>
      </c>
      <c r="M28" s="6">
        <v>61</v>
      </c>
      <c r="N28" s="6">
        <v>66</v>
      </c>
      <c r="O28" s="1">
        <f t="shared" si="0"/>
        <v>400</v>
      </c>
      <c r="P28" s="14">
        <f t="shared" si="1"/>
        <v>57.142857142857146</v>
      </c>
      <c r="Q28" s="20">
        <f t="shared" si="2"/>
        <v>22</v>
      </c>
    </row>
    <row r="29" spans="1:17" ht="18" customHeight="1">
      <c r="A29" s="19">
        <v>23</v>
      </c>
      <c r="B29" s="2" t="s">
        <v>2592</v>
      </c>
      <c r="C29" s="1" t="s">
        <v>2593</v>
      </c>
      <c r="D29" s="3" t="s">
        <v>2594</v>
      </c>
      <c r="E29" s="1" t="s">
        <v>69</v>
      </c>
      <c r="F29" s="10" t="s">
        <v>2566</v>
      </c>
      <c r="G29" s="2">
        <v>35</v>
      </c>
      <c r="H29" s="6">
        <v>80</v>
      </c>
      <c r="I29" s="6">
        <v>8</v>
      </c>
      <c r="J29" s="6">
        <v>66</v>
      </c>
      <c r="K29" s="6">
        <v>44</v>
      </c>
      <c r="L29" s="6">
        <v>82</v>
      </c>
      <c r="M29" s="6">
        <v>84</v>
      </c>
      <c r="N29" s="6">
        <v>35</v>
      </c>
      <c r="O29" s="1">
        <f t="shared" si="0"/>
        <v>399</v>
      </c>
      <c r="P29" s="14">
        <f t="shared" si="1"/>
        <v>57</v>
      </c>
      <c r="Q29" s="20">
        <f t="shared" si="2"/>
        <v>23</v>
      </c>
    </row>
    <row r="30" spans="1:17" ht="18" customHeight="1">
      <c r="A30" s="19">
        <v>24</v>
      </c>
      <c r="B30" s="2" t="s">
        <v>2567</v>
      </c>
      <c r="C30" s="1" t="s">
        <v>2568</v>
      </c>
      <c r="D30" s="3" t="s">
        <v>2569</v>
      </c>
      <c r="E30" s="1" t="s">
        <v>59</v>
      </c>
      <c r="F30" s="10" t="s">
        <v>2566</v>
      </c>
      <c r="G30" s="2">
        <v>34</v>
      </c>
      <c r="H30" s="6">
        <v>80</v>
      </c>
      <c r="I30" s="6">
        <v>41</v>
      </c>
      <c r="J30" s="6">
        <v>57</v>
      </c>
      <c r="K30" s="6">
        <v>39</v>
      </c>
      <c r="L30" s="6">
        <v>90</v>
      </c>
      <c r="M30" s="6">
        <v>28</v>
      </c>
      <c r="N30" s="6">
        <v>62</v>
      </c>
      <c r="O30" s="1">
        <f t="shared" si="0"/>
        <v>397</v>
      </c>
      <c r="P30" s="14">
        <f t="shared" si="1"/>
        <v>56.714285714285715</v>
      </c>
      <c r="Q30" s="20">
        <f t="shared" si="2"/>
        <v>24</v>
      </c>
    </row>
    <row r="31" spans="1:17" ht="18" customHeight="1">
      <c r="A31" s="19">
        <v>25</v>
      </c>
      <c r="B31" s="2" t="s">
        <v>2595</v>
      </c>
      <c r="C31" s="1" t="s">
        <v>2596</v>
      </c>
      <c r="D31" s="3" t="s">
        <v>2597</v>
      </c>
      <c r="E31" s="1" t="s">
        <v>55</v>
      </c>
      <c r="F31" s="10" t="s">
        <v>2566</v>
      </c>
      <c r="G31" s="2">
        <v>35</v>
      </c>
      <c r="H31" s="6">
        <v>76</v>
      </c>
      <c r="I31" s="6">
        <v>22</v>
      </c>
      <c r="J31" s="6">
        <v>54</v>
      </c>
      <c r="K31" s="6">
        <v>56</v>
      </c>
      <c r="L31" s="6">
        <v>66</v>
      </c>
      <c r="M31" s="6">
        <v>80</v>
      </c>
      <c r="N31" s="6">
        <v>39</v>
      </c>
      <c r="O31" s="1">
        <f t="shared" si="0"/>
        <v>393</v>
      </c>
      <c r="P31" s="14">
        <f t="shared" si="1"/>
        <v>56.142857142857146</v>
      </c>
      <c r="Q31" s="20">
        <f t="shared" si="2"/>
        <v>25</v>
      </c>
    </row>
    <row r="32" spans="1:17" ht="18" customHeight="1">
      <c r="A32" s="19">
        <v>26</v>
      </c>
      <c r="B32" s="2" t="s">
        <v>2678</v>
      </c>
      <c r="C32" s="1" t="s">
        <v>2679</v>
      </c>
      <c r="D32" s="3" t="s">
        <v>2680</v>
      </c>
      <c r="E32" s="1" t="s">
        <v>74</v>
      </c>
      <c r="F32" s="10" t="s">
        <v>2566</v>
      </c>
      <c r="G32" s="2">
        <v>37</v>
      </c>
      <c r="H32" s="6">
        <v>68</v>
      </c>
      <c r="I32" s="6">
        <v>24</v>
      </c>
      <c r="J32" s="6">
        <v>74</v>
      </c>
      <c r="K32" s="6">
        <v>60</v>
      </c>
      <c r="L32" s="6">
        <v>66</v>
      </c>
      <c r="M32" s="6">
        <v>54</v>
      </c>
      <c r="N32" s="6">
        <v>47</v>
      </c>
      <c r="O32" s="1">
        <f t="shared" si="0"/>
        <v>393</v>
      </c>
      <c r="P32" s="14">
        <f t="shared" si="1"/>
        <v>56.142857142857146</v>
      </c>
      <c r="Q32" s="20">
        <f t="shared" si="2"/>
        <v>25</v>
      </c>
    </row>
    <row r="33" spans="1:17" ht="18" customHeight="1">
      <c r="A33" s="19">
        <v>27</v>
      </c>
      <c r="B33" s="2" t="s">
        <v>2598</v>
      </c>
      <c r="C33" s="1" t="s">
        <v>2599</v>
      </c>
      <c r="D33" s="3" t="s">
        <v>2600</v>
      </c>
      <c r="E33" s="1" t="s">
        <v>79</v>
      </c>
      <c r="F33" s="10" t="s">
        <v>2566</v>
      </c>
      <c r="G33" s="2">
        <v>35</v>
      </c>
      <c r="H33" s="6">
        <v>96</v>
      </c>
      <c r="I33" s="6">
        <v>30</v>
      </c>
      <c r="J33" s="6">
        <v>56</v>
      </c>
      <c r="K33" s="6">
        <v>61</v>
      </c>
      <c r="L33" s="6">
        <v>64</v>
      </c>
      <c r="M33" s="6">
        <v>46</v>
      </c>
      <c r="N33" s="6">
        <v>39</v>
      </c>
      <c r="O33" s="1">
        <f t="shared" si="0"/>
        <v>392</v>
      </c>
      <c r="P33" s="14">
        <f t="shared" si="1"/>
        <v>56</v>
      </c>
      <c r="Q33" s="20">
        <f t="shared" si="2"/>
        <v>27</v>
      </c>
    </row>
    <row r="34" spans="1:17" ht="18" customHeight="1">
      <c r="A34" s="19">
        <v>28</v>
      </c>
      <c r="B34" s="2" t="s">
        <v>2690</v>
      </c>
      <c r="C34" s="1" t="s">
        <v>2691</v>
      </c>
      <c r="D34" s="3" t="s">
        <v>2692</v>
      </c>
      <c r="E34" s="1" t="s">
        <v>88</v>
      </c>
      <c r="F34" s="10" t="s">
        <v>2566</v>
      </c>
      <c r="G34" s="2">
        <v>37</v>
      </c>
      <c r="H34" s="6">
        <v>96</v>
      </c>
      <c r="I34" s="6">
        <v>40</v>
      </c>
      <c r="J34" s="6">
        <v>88</v>
      </c>
      <c r="K34" s="6">
        <v>25</v>
      </c>
      <c r="L34" s="6">
        <v>51</v>
      </c>
      <c r="M34" s="6">
        <v>57</v>
      </c>
      <c r="N34" s="6">
        <v>35</v>
      </c>
      <c r="O34" s="1">
        <f t="shared" si="0"/>
        <v>392</v>
      </c>
      <c r="P34" s="14">
        <f t="shared" si="1"/>
        <v>56</v>
      </c>
      <c r="Q34" s="20">
        <f t="shared" si="2"/>
        <v>27</v>
      </c>
    </row>
    <row r="35" spans="1:17" ht="18" customHeight="1">
      <c r="A35" s="19">
        <v>29</v>
      </c>
      <c r="B35" s="2" t="s">
        <v>2723</v>
      </c>
      <c r="C35" s="1">
        <v>311260938</v>
      </c>
      <c r="D35" s="3" t="s">
        <v>2724</v>
      </c>
      <c r="E35" s="1" t="s">
        <v>55</v>
      </c>
      <c r="F35" s="10" t="s">
        <v>2566</v>
      </c>
      <c r="G35" s="2">
        <v>37</v>
      </c>
      <c r="H35" s="6">
        <v>88</v>
      </c>
      <c r="I35" s="6">
        <v>18</v>
      </c>
      <c r="J35" s="6">
        <v>66</v>
      </c>
      <c r="K35" s="6">
        <v>62</v>
      </c>
      <c r="L35" s="6">
        <v>68</v>
      </c>
      <c r="M35" s="6">
        <v>30</v>
      </c>
      <c r="N35" s="6">
        <v>58</v>
      </c>
      <c r="O35" s="1">
        <f t="shared" si="0"/>
        <v>390</v>
      </c>
      <c r="P35" s="14">
        <f t="shared" si="1"/>
        <v>55.714285714285715</v>
      </c>
      <c r="Q35" s="20">
        <f t="shared" si="2"/>
        <v>29</v>
      </c>
    </row>
    <row r="36" spans="1:17" ht="18" customHeight="1">
      <c r="A36" s="19">
        <v>30</v>
      </c>
      <c r="B36" s="2" t="s">
        <v>2705</v>
      </c>
      <c r="C36" s="1" t="s">
        <v>2706</v>
      </c>
      <c r="D36" s="3" t="s">
        <v>2707</v>
      </c>
      <c r="E36" s="1" t="s">
        <v>66</v>
      </c>
      <c r="F36" s="10" t="s">
        <v>2566</v>
      </c>
      <c r="G36" s="2">
        <v>37</v>
      </c>
      <c r="H36" s="6">
        <v>82</v>
      </c>
      <c r="I36" s="6">
        <v>35</v>
      </c>
      <c r="J36" s="6">
        <v>56</v>
      </c>
      <c r="K36" s="6">
        <v>50</v>
      </c>
      <c r="L36" s="6">
        <v>20</v>
      </c>
      <c r="M36" s="6">
        <v>53</v>
      </c>
      <c r="N36" s="6">
        <v>89</v>
      </c>
      <c r="O36" s="1">
        <f t="shared" si="0"/>
        <v>385</v>
      </c>
      <c r="P36" s="14">
        <f t="shared" si="1"/>
        <v>55</v>
      </c>
      <c r="Q36" s="20">
        <f t="shared" si="2"/>
        <v>30</v>
      </c>
    </row>
    <row r="37" spans="1:17" ht="18" customHeight="1">
      <c r="A37" s="19">
        <v>31</v>
      </c>
      <c r="B37" s="2" t="s">
        <v>2681</v>
      </c>
      <c r="C37" s="1" t="s">
        <v>2682</v>
      </c>
      <c r="D37" s="3" t="s">
        <v>2683</v>
      </c>
      <c r="E37" s="1" t="s">
        <v>64</v>
      </c>
      <c r="F37" s="10" t="s">
        <v>2566</v>
      </c>
      <c r="G37" s="2">
        <v>37</v>
      </c>
      <c r="H37" s="6">
        <v>88</v>
      </c>
      <c r="I37" s="6">
        <v>33</v>
      </c>
      <c r="J37" s="6">
        <v>72</v>
      </c>
      <c r="K37" s="6">
        <v>66</v>
      </c>
      <c r="L37" s="6">
        <v>45</v>
      </c>
      <c r="M37" s="6">
        <v>32</v>
      </c>
      <c r="N37" s="6">
        <v>43</v>
      </c>
      <c r="O37" s="1">
        <f t="shared" si="0"/>
        <v>379</v>
      </c>
      <c r="P37" s="14">
        <f t="shared" si="1"/>
        <v>54.142857142857146</v>
      </c>
      <c r="Q37" s="20">
        <f t="shared" si="2"/>
        <v>31</v>
      </c>
    </row>
    <row r="38" spans="1:17" ht="18" customHeight="1">
      <c r="A38" s="19">
        <v>32</v>
      </c>
      <c r="B38" s="2" t="s">
        <v>2658</v>
      </c>
      <c r="C38" s="1" t="s">
        <v>2659</v>
      </c>
      <c r="D38" s="3" t="s">
        <v>2660</v>
      </c>
      <c r="E38" s="1" t="s">
        <v>81</v>
      </c>
      <c r="F38" s="10" t="s">
        <v>2566</v>
      </c>
      <c r="G38" s="2">
        <v>36</v>
      </c>
      <c r="H38" s="6">
        <v>45</v>
      </c>
      <c r="I38" s="6">
        <v>21</v>
      </c>
      <c r="J38" s="6">
        <v>66</v>
      </c>
      <c r="K38" s="6">
        <v>50</v>
      </c>
      <c r="L38" s="6">
        <v>68</v>
      </c>
      <c r="M38" s="6">
        <v>48</v>
      </c>
      <c r="N38" s="6">
        <v>77</v>
      </c>
      <c r="O38" s="1">
        <f t="shared" si="0"/>
        <v>375</v>
      </c>
      <c r="P38" s="14">
        <f t="shared" si="1"/>
        <v>53.571428571428569</v>
      </c>
      <c r="Q38" s="20">
        <f t="shared" si="2"/>
        <v>32</v>
      </c>
    </row>
    <row r="39" spans="1:17" ht="18" customHeight="1">
      <c r="A39" s="19">
        <v>33</v>
      </c>
      <c r="B39" s="2" t="s">
        <v>2664</v>
      </c>
      <c r="C39" s="1" t="s">
        <v>2665</v>
      </c>
      <c r="D39" s="3" t="s">
        <v>2666</v>
      </c>
      <c r="E39" s="1" t="s">
        <v>77</v>
      </c>
      <c r="F39" s="10" t="s">
        <v>2566</v>
      </c>
      <c r="G39" s="2">
        <v>36</v>
      </c>
      <c r="H39" s="6">
        <v>38</v>
      </c>
      <c r="I39" s="6">
        <v>31</v>
      </c>
      <c r="J39" s="6">
        <v>55</v>
      </c>
      <c r="K39" s="6">
        <v>31</v>
      </c>
      <c r="L39" s="6">
        <v>76</v>
      </c>
      <c r="M39" s="6">
        <v>52</v>
      </c>
      <c r="N39" s="6">
        <v>89</v>
      </c>
      <c r="O39" s="1">
        <f t="shared" ref="O39:O62" si="3">SUBTOTAL(9,H39:N39)</f>
        <v>372</v>
      </c>
      <c r="P39" s="14">
        <f t="shared" ref="P39:P62" si="4">O39/7</f>
        <v>53.142857142857146</v>
      </c>
      <c r="Q39" s="20">
        <f t="shared" ref="Q39:Q62" si="5">RANK(P39,P$7:P$286,0)</f>
        <v>33</v>
      </c>
    </row>
    <row r="40" spans="1:17" ht="18" customHeight="1">
      <c r="A40" s="19">
        <v>34</v>
      </c>
      <c r="B40" s="2" t="s">
        <v>2587</v>
      </c>
      <c r="C40" s="1" t="s">
        <v>2588</v>
      </c>
      <c r="D40" s="3" t="s">
        <v>2589</v>
      </c>
      <c r="E40" s="1" t="s">
        <v>69</v>
      </c>
      <c r="F40" s="10" t="s">
        <v>2566</v>
      </c>
      <c r="G40" s="2">
        <v>35</v>
      </c>
      <c r="H40" s="6">
        <v>78</v>
      </c>
      <c r="I40" s="6">
        <v>13</v>
      </c>
      <c r="J40" s="6">
        <v>48</v>
      </c>
      <c r="K40" s="6">
        <v>49</v>
      </c>
      <c r="L40" s="6">
        <v>28</v>
      </c>
      <c r="M40" s="6">
        <v>56</v>
      </c>
      <c r="N40" s="6">
        <v>39</v>
      </c>
      <c r="O40" s="1">
        <f t="shared" si="3"/>
        <v>311</v>
      </c>
      <c r="P40" s="14">
        <f t="shared" si="4"/>
        <v>44.428571428571431</v>
      </c>
      <c r="Q40" s="20">
        <f t="shared" si="5"/>
        <v>34</v>
      </c>
    </row>
    <row r="41" spans="1:17" ht="18" customHeight="1">
      <c r="A41" s="19">
        <v>35</v>
      </c>
      <c r="B41" s="2" t="s">
        <v>2655</v>
      </c>
      <c r="C41" s="1" t="s">
        <v>2656</v>
      </c>
      <c r="D41" s="3" t="s">
        <v>2657</v>
      </c>
      <c r="E41" s="1" t="s">
        <v>80</v>
      </c>
      <c r="F41" s="10" t="s">
        <v>2566</v>
      </c>
      <c r="G41" s="2">
        <v>36</v>
      </c>
      <c r="H41" s="6">
        <v>49</v>
      </c>
      <c r="I41" s="6">
        <v>19</v>
      </c>
      <c r="J41" s="6">
        <v>56</v>
      </c>
      <c r="K41" s="6">
        <v>28</v>
      </c>
      <c r="L41" s="6">
        <v>55</v>
      </c>
      <c r="M41" s="6">
        <v>53</v>
      </c>
      <c r="N41" s="6">
        <v>51</v>
      </c>
      <c r="O41" s="1">
        <f t="shared" si="3"/>
        <v>311</v>
      </c>
      <c r="P41" s="14">
        <f t="shared" si="4"/>
        <v>44.428571428571431</v>
      </c>
      <c r="Q41" s="20">
        <f t="shared" si="5"/>
        <v>34</v>
      </c>
    </row>
    <row r="42" spans="1:17" ht="18" customHeight="1">
      <c r="A42" s="19">
        <v>36</v>
      </c>
      <c r="B42" s="2" t="s">
        <v>2640</v>
      </c>
      <c r="C42" s="1" t="s">
        <v>2641</v>
      </c>
      <c r="D42" s="3" t="s">
        <v>2642</v>
      </c>
      <c r="E42" s="1" t="s">
        <v>59</v>
      </c>
      <c r="F42" s="10" t="s">
        <v>2566</v>
      </c>
      <c r="G42" s="2">
        <v>36</v>
      </c>
      <c r="H42" s="6">
        <v>59</v>
      </c>
      <c r="I42" s="6">
        <v>13</v>
      </c>
      <c r="J42" s="6">
        <v>30</v>
      </c>
      <c r="K42" s="6">
        <v>64</v>
      </c>
      <c r="L42" s="6">
        <v>30</v>
      </c>
      <c r="M42" s="6">
        <v>40</v>
      </c>
      <c r="N42" s="6">
        <v>54</v>
      </c>
      <c r="O42" s="1">
        <f t="shared" si="3"/>
        <v>290</v>
      </c>
      <c r="P42" s="14">
        <f t="shared" si="4"/>
        <v>41.428571428571431</v>
      </c>
      <c r="Q42" s="20">
        <f t="shared" si="5"/>
        <v>36</v>
      </c>
    </row>
    <row r="43" spans="1:17" ht="18" customHeight="1">
      <c r="A43" s="19">
        <v>37</v>
      </c>
      <c r="B43" s="2" t="s">
        <v>2702</v>
      </c>
      <c r="C43" s="1" t="s">
        <v>2703</v>
      </c>
      <c r="D43" s="3" t="s">
        <v>2704</v>
      </c>
      <c r="E43" s="1" t="s">
        <v>65</v>
      </c>
      <c r="F43" s="10" t="s">
        <v>2566</v>
      </c>
      <c r="G43" s="2">
        <v>37</v>
      </c>
      <c r="H43" s="6">
        <v>44</v>
      </c>
      <c r="I43" s="6">
        <v>17</v>
      </c>
      <c r="J43" s="6">
        <v>53</v>
      </c>
      <c r="K43" s="6">
        <v>16</v>
      </c>
      <c r="L43" s="6">
        <v>52</v>
      </c>
      <c r="M43" s="6">
        <v>23</v>
      </c>
      <c r="N43" s="6">
        <v>77</v>
      </c>
      <c r="O43" s="1">
        <f t="shared" si="3"/>
        <v>282</v>
      </c>
      <c r="P43" s="14">
        <f t="shared" si="4"/>
        <v>40.285714285714285</v>
      </c>
      <c r="Q43" s="20">
        <f t="shared" si="5"/>
        <v>37</v>
      </c>
    </row>
    <row r="44" spans="1:17" ht="18" customHeight="1">
      <c r="A44" s="19">
        <v>38</v>
      </c>
      <c r="B44" s="2" t="s">
        <v>2607</v>
      </c>
      <c r="C44" s="1" t="s">
        <v>2608</v>
      </c>
      <c r="D44" s="3" t="s">
        <v>2609</v>
      </c>
      <c r="E44" s="1" t="s">
        <v>56</v>
      </c>
      <c r="F44" s="10" t="s">
        <v>2566</v>
      </c>
      <c r="G44" s="2">
        <v>35</v>
      </c>
      <c r="H44" s="6">
        <v>86</v>
      </c>
      <c r="I44" s="6">
        <v>4</v>
      </c>
      <c r="J44" s="6">
        <v>23</v>
      </c>
      <c r="K44" s="6">
        <v>38</v>
      </c>
      <c r="L44" s="6">
        <v>37</v>
      </c>
      <c r="M44" s="6">
        <v>64</v>
      </c>
      <c r="N44" s="6">
        <v>24</v>
      </c>
      <c r="O44" s="1">
        <f t="shared" si="3"/>
        <v>276</v>
      </c>
      <c r="P44" s="14">
        <f t="shared" si="4"/>
        <v>39.428571428571431</v>
      </c>
      <c r="Q44" s="20">
        <f t="shared" si="5"/>
        <v>38</v>
      </c>
    </row>
    <row r="45" spans="1:17" ht="18" customHeight="1">
      <c r="A45" s="19">
        <v>39</v>
      </c>
      <c r="B45" s="2" t="s">
        <v>2649</v>
      </c>
      <c r="C45" s="1" t="s">
        <v>2650</v>
      </c>
      <c r="D45" s="3" t="s">
        <v>2651</v>
      </c>
      <c r="E45" s="1" t="s">
        <v>59</v>
      </c>
      <c r="F45" s="10" t="s">
        <v>2566</v>
      </c>
      <c r="G45" s="2">
        <v>36</v>
      </c>
      <c r="H45" s="6">
        <v>90</v>
      </c>
      <c r="I45" s="6">
        <v>26</v>
      </c>
      <c r="J45" s="6">
        <v>47</v>
      </c>
      <c r="K45" s="6">
        <v>35</v>
      </c>
      <c r="L45" s="6">
        <v>22</v>
      </c>
      <c r="M45" s="6">
        <v>18</v>
      </c>
      <c r="N45" s="6">
        <v>35</v>
      </c>
      <c r="O45" s="1">
        <f t="shared" si="3"/>
        <v>273</v>
      </c>
      <c r="P45" s="14">
        <f t="shared" si="4"/>
        <v>39</v>
      </c>
      <c r="Q45" s="20">
        <f t="shared" si="5"/>
        <v>39</v>
      </c>
    </row>
    <row r="46" spans="1:17" ht="18" customHeight="1">
      <c r="A46" s="19">
        <v>40</v>
      </c>
      <c r="B46" s="2" t="s">
        <v>2570</v>
      </c>
      <c r="C46" s="1" t="s">
        <v>2571</v>
      </c>
      <c r="D46" s="3" t="s">
        <v>2572</v>
      </c>
      <c r="E46" s="1" t="s">
        <v>78</v>
      </c>
      <c r="F46" s="10" t="s">
        <v>2566</v>
      </c>
      <c r="G46" s="2">
        <v>34</v>
      </c>
      <c r="H46" s="6">
        <v>72</v>
      </c>
      <c r="I46" s="6">
        <v>27</v>
      </c>
      <c r="J46" s="6">
        <v>62</v>
      </c>
      <c r="K46" s="6">
        <v>38</v>
      </c>
      <c r="L46" s="6">
        <v>26</v>
      </c>
      <c r="M46" s="6">
        <v>13</v>
      </c>
      <c r="N46" s="6">
        <v>32</v>
      </c>
      <c r="O46" s="1">
        <f t="shared" si="3"/>
        <v>270</v>
      </c>
      <c r="P46" s="14">
        <f t="shared" si="4"/>
        <v>38.571428571428569</v>
      </c>
      <c r="Q46" s="20">
        <f t="shared" si="5"/>
        <v>40</v>
      </c>
    </row>
    <row r="47" spans="1:17" ht="18" customHeight="1">
      <c r="A47" s="19">
        <v>41</v>
      </c>
      <c r="B47" s="2" t="s">
        <v>2564</v>
      </c>
      <c r="C47" s="1">
        <v>311220545</v>
      </c>
      <c r="D47" s="3" t="s">
        <v>2565</v>
      </c>
      <c r="E47" s="1" t="s">
        <v>56</v>
      </c>
      <c r="F47" s="10" t="s">
        <v>2566</v>
      </c>
      <c r="G47" s="2">
        <v>34</v>
      </c>
      <c r="H47" s="6">
        <v>62</v>
      </c>
      <c r="I47" s="6">
        <v>15</v>
      </c>
      <c r="J47" s="6">
        <v>55</v>
      </c>
      <c r="K47" s="6">
        <v>37</v>
      </c>
      <c r="L47" s="6">
        <v>32</v>
      </c>
      <c r="M47" s="6">
        <v>35</v>
      </c>
      <c r="N47" s="6">
        <v>28</v>
      </c>
      <c r="O47" s="1">
        <f t="shared" si="3"/>
        <v>264</v>
      </c>
      <c r="P47" s="14">
        <f t="shared" si="4"/>
        <v>37.714285714285715</v>
      </c>
      <c r="Q47" s="20">
        <f t="shared" si="5"/>
        <v>41</v>
      </c>
    </row>
    <row r="48" spans="1:17" ht="18" customHeight="1">
      <c r="A48" s="19">
        <v>42</v>
      </c>
      <c r="B48" s="2" t="s">
        <v>2578</v>
      </c>
      <c r="C48" s="1">
        <v>311240388</v>
      </c>
      <c r="D48" s="3" t="s">
        <v>2579</v>
      </c>
      <c r="E48" s="1" t="s">
        <v>2580</v>
      </c>
      <c r="F48" s="10" t="s">
        <v>2566</v>
      </c>
      <c r="G48" s="2">
        <v>35</v>
      </c>
      <c r="H48" s="6">
        <v>80</v>
      </c>
      <c r="I48" s="6">
        <v>13</v>
      </c>
      <c r="J48" s="6">
        <v>39</v>
      </c>
      <c r="K48" s="6">
        <v>36</v>
      </c>
      <c r="L48" s="6">
        <v>24</v>
      </c>
      <c r="M48" s="6">
        <v>39</v>
      </c>
      <c r="N48" s="6">
        <v>24</v>
      </c>
      <c r="O48" s="1">
        <f t="shared" si="3"/>
        <v>255</v>
      </c>
      <c r="P48" s="14">
        <f t="shared" si="4"/>
        <v>36.428571428571431</v>
      </c>
      <c r="Q48" s="20">
        <f t="shared" si="5"/>
        <v>42</v>
      </c>
    </row>
    <row r="49" spans="1:17" ht="18" customHeight="1">
      <c r="A49" s="19">
        <v>43</v>
      </c>
      <c r="B49" s="2" t="s">
        <v>2634</v>
      </c>
      <c r="C49" s="1" t="s">
        <v>2635</v>
      </c>
      <c r="D49" s="3" t="s">
        <v>2636</v>
      </c>
      <c r="E49" s="1" t="s">
        <v>72</v>
      </c>
      <c r="F49" s="10" t="s">
        <v>2566</v>
      </c>
      <c r="G49" s="2">
        <v>36</v>
      </c>
      <c r="H49" s="6">
        <v>50</v>
      </c>
      <c r="I49" s="6">
        <v>12</v>
      </c>
      <c r="J49" s="6">
        <v>24</v>
      </c>
      <c r="K49" s="6">
        <v>32</v>
      </c>
      <c r="L49" s="6">
        <v>43</v>
      </c>
      <c r="M49" s="6">
        <v>74</v>
      </c>
      <c r="N49" s="6">
        <v>20</v>
      </c>
      <c r="O49" s="1">
        <f t="shared" si="3"/>
        <v>255</v>
      </c>
      <c r="P49" s="14">
        <f t="shared" si="4"/>
        <v>36.428571428571431</v>
      </c>
      <c r="Q49" s="20">
        <f t="shared" si="5"/>
        <v>42</v>
      </c>
    </row>
    <row r="50" spans="1:17" ht="18" customHeight="1">
      <c r="A50" s="19">
        <v>44</v>
      </c>
      <c r="B50" s="2" t="s">
        <v>2667</v>
      </c>
      <c r="C50" s="1" t="s">
        <v>2668</v>
      </c>
      <c r="D50" s="3" t="s">
        <v>2669</v>
      </c>
      <c r="E50" s="1" t="s">
        <v>84</v>
      </c>
      <c r="F50" s="10" t="s">
        <v>2566</v>
      </c>
      <c r="G50" s="2">
        <v>36</v>
      </c>
      <c r="H50" s="6">
        <v>68</v>
      </c>
      <c r="I50" s="6">
        <v>24</v>
      </c>
      <c r="J50" s="6">
        <v>20</v>
      </c>
      <c r="K50" s="6">
        <v>31</v>
      </c>
      <c r="L50" s="6">
        <v>36</v>
      </c>
      <c r="M50" s="6">
        <v>20</v>
      </c>
      <c r="N50" s="6">
        <v>54</v>
      </c>
      <c r="O50" s="1">
        <f t="shared" si="3"/>
        <v>253</v>
      </c>
      <c r="P50" s="14">
        <f t="shared" si="4"/>
        <v>36.142857142857146</v>
      </c>
      <c r="Q50" s="20">
        <f t="shared" si="5"/>
        <v>44</v>
      </c>
    </row>
    <row r="51" spans="1:17" ht="18" customHeight="1">
      <c r="A51" s="19">
        <v>45</v>
      </c>
      <c r="B51" s="2" t="s">
        <v>2610</v>
      </c>
      <c r="C51" s="1" t="s">
        <v>2611</v>
      </c>
      <c r="D51" s="3" t="s">
        <v>2612</v>
      </c>
      <c r="E51" s="1" t="s">
        <v>56</v>
      </c>
      <c r="F51" s="10" t="s">
        <v>2566</v>
      </c>
      <c r="G51" s="2">
        <v>35</v>
      </c>
      <c r="H51" s="6">
        <v>61</v>
      </c>
      <c r="I51" s="6">
        <v>5</v>
      </c>
      <c r="J51" s="6">
        <v>37</v>
      </c>
      <c r="K51" s="6">
        <v>34</v>
      </c>
      <c r="L51" s="6">
        <v>38</v>
      </c>
      <c r="M51" s="6">
        <v>42</v>
      </c>
      <c r="N51" s="6">
        <v>35</v>
      </c>
      <c r="O51" s="1">
        <f t="shared" si="3"/>
        <v>252</v>
      </c>
      <c r="P51" s="14">
        <f t="shared" si="4"/>
        <v>36</v>
      </c>
      <c r="Q51" s="20">
        <f t="shared" si="5"/>
        <v>45</v>
      </c>
    </row>
    <row r="52" spans="1:17" ht="18" customHeight="1">
      <c r="A52" s="19">
        <v>46</v>
      </c>
      <c r="B52" s="2" t="s">
        <v>2693</v>
      </c>
      <c r="C52" s="1" t="s">
        <v>2694</v>
      </c>
      <c r="D52" s="3" t="s">
        <v>2695</v>
      </c>
      <c r="E52" s="1" t="s">
        <v>88</v>
      </c>
      <c r="F52" s="10" t="s">
        <v>2566</v>
      </c>
      <c r="G52" s="2">
        <v>37</v>
      </c>
      <c r="H52" s="6">
        <v>39</v>
      </c>
      <c r="I52" s="6">
        <v>5</v>
      </c>
      <c r="J52" s="6">
        <v>30</v>
      </c>
      <c r="K52" s="6">
        <v>36</v>
      </c>
      <c r="L52" s="6">
        <v>50</v>
      </c>
      <c r="M52" s="6">
        <v>35</v>
      </c>
      <c r="N52" s="6">
        <v>51</v>
      </c>
      <c r="O52" s="1">
        <f t="shared" si="3"/>
        <v>246</v>
      </c>
      <c r="P52" s="14">
        <f t="shared" si="4"/>
        <v>35.142857142857146</v>
      </c>
      <c r="Q52" s="20">
        <f t="shared" si="5"/>
        <v>46</v>
      </c>
    </row>
    <row r="53" spans="1:17" ht="18" customHeight="1">
      <c r="A53" s="19">
        <v>47</v>
      </c>
      <c r="B53" s="2" t="s">
        <v>2673</v>
      </c>
      <c r="C53" s="1" t="s">
        <v>1825</v>
      </c>
      <c r="D53" s="3" t="s">
        <v>2674</v>
      </c>
      <c r="E53" s="1" t="s">
        <v>63</v>
      </c>
      <c r="F53" s="10" t="s">
        <v>2566</v>
      </c>
      <c r="G53" s="2">
        <v>36</v>
      </c>
      <c r="H53" s="6">
        <v>46</v>
      </c>
      <c r="I53" s="6">
        <v>25</v>
      </c>
      <c r="J53" s="6">
        <v>22</v>
      </c>
      <c r="K53" s="6">
        <v>24</v>
      </c>
      <c r="L53" s="6">
        <v>29</v>
      </c>
      <c r="M53" s="6">
        <v>28</v>
      </c>
      <c r="N53" s="6">
        <v>70</v>
      </c>
      <c r="O53" s="1">
        <f t="shared" si="3"/>
        <v>244</v>
      </c>
      <c r="P53" s="14">
        <f t="shared" si="4"/>
        <v>34.857142857142854</v>
      </c>
      <c r="Q53" s="20">
        <f t="shared" si="5"/>
        <v>47</v>
      </c>
    </row>
    <row r="54" spans="1:17" ht="18" customHeight="1">
      <c r="A54" s="19">
        <v>48</v>
      </c>
      <c r="B54" s="2" t="s">
        <v>2622</v>
      </c>
      <c r="C54" s="1" t="s">
        <v>2623</v>
      </c>
      <c r="D54" s="3" t="s">
        <v>2624</v>
      </c>
      <c r="E54" s="1" t="s">
        <v>57</v>
      </c>
      <c r="F54" s="10" t="s">
        <v>2566</v>
      </c>
      <c r="G54" s="2">
        <v>35</v>
      </c>
      <c r="H54" s="6">
        <v>80</v>
      </c>
      <c r="I54" s="6">
        <v>24</v>
      </c>
      <c r="J54" s="6">
        <v>43</v>
      </c>
      <c r="K54" s="6">
        <v>40</v>
      </c>
      <c r="L54" s="6">
        <v>13</v>
      </c>
      <c r="M54" s="6">
        <v>17</v>
      </c>
      <c r="N54" s="6">
        <v>24</v>
      </c>
      <c r="O54" s="1">
        <f t="shared" si="3"/>
        <v>241</v>
      </c>
      <c r="P54" s="14">
        <f t="shared" si="4"/>
        <v>34.428571428571431</v>
      </c>
      <c r="Q54" s="20">
        <f t="shared" si="5"/>
        <v>48</v>
      </c>
    </row>
    <row r="55" spans="1:17" ht="18" customHeight="1">
      <c r="A55" s="19">
        <v>49</v>
      </c>
      <c r="B55" s="2" t="s">
        <v>2573</v>
      </c>
      <c r="C55" s="1">
        <v>311240397</v>
      </c>
      <c r="D55" s="3" t="s">
        <v>2574</v>
      </c>
      <c r="E55" s="1" t="s">
        <v>2575</v>
      </c>
      <c r="F55" s="10" t="s">
        <v>2566</v>
      </c>
      <c r="G55" s="2">
        <v>34</v>
      </c>
      <c r="H55" s="6">
        <v>27</v>
      </c>
      <c r="I55" s="6">
        <v>13</v>
      </c>
      <c r="J55" s="6">
        <v>60</v>
      </c>
      <c r="K55" s="6">
        <v>16</v>
      </c>
      <c r="L55" s="6">
        <v>28</v>
      </c>
      <c r="M55" s="6">
        <v>50</v>
      </c>
      <c r="N55" s="6">
        <v>35</v>
      </c>
      <c r="O55" s="1">
        <f t="shared" si="3"/>
        <v>229</v>
      </c>
      <c r="P55" s="14">
        <f t="shared" si="4"/>
        <v>32.714285714285715</v>
      </c>
      <c r="Q55" s="20">
        <f t="shared" si="5"/>
        <v>49</v>
      </c>
    </row>
    <row r="56" spans="1:17" ht="18" customHeight="1">
      <c r="A56" s="19">
        <v>50</v>
      </c>
      <c r="B56" s="2" t="s">
        <v>2576</v>
      </c>
      <c r="C56" s="1">
        <v>311240383</v>
      </c>
      <c r="D56" s="3" t="s">
        <v>2577</v>
      </c>
      <c r="E56" s="1" t="s">
        <v>2575</v>
      </c>
      <c r="F56" s="10" t="s">
        <v>2566</v>
      </c>
      <c r="G56" s="2">
        <v>34</v>
      </c>
      <c r="H56" s="6">
        <v>42</v>
      </c>
      <c r="I56" s="6">
        <v>5</v>
      </c>
      <c r="J56" s="6">
        <v>38</v>
      </c>
      <c r="K56" s="6">
        <v>36</v>
      </c>
      <c r="L56" s="6">
        <v>43</v>
      </c>
      <c r="M56" s="6">
        <v>38</v>
      </c>
      <c r="N56" s="6">
        <v>24</v>
      </c>
      <c r="O56" s="1">
        <f t="shared" si="3"/>
        <v>226</v>
      </c>
      <c r="P56" s="14">
        <f t="shared" si="4"/>
        <v>32.285714285714285</v>
      </c>
      <c r="Q56" s="20">
        <f t="shared" si="5"/>
        <v>50</v>
      </c>
    </row>
    <row r="57" spans="1:17" ht="18" customHeight="1">
      <c r="A57" s="19">
        <v>51</v>
      </c>
      <c r="B57" s="2" t="s">
        <v>2590</v>
      </c>
      <c r="C57" s="1" t="s">
        <v>2591</v>
      </c>
      <c r="D57" s="3" t="s">
        <v>91</v>
      </c>
      <c r="E57" s="1" t="s">
        <v>69</v>
      </c>
      <c r="F57" s="10" t="s">
        <v>2566</v>
      </c>
      <c r="G57" s="2">
        <v>35</v>
      </c>
      <c r="H57" s="6">
        <v>30</v>
      </c>
      <c r="I57" s="6">
        <v>39</v>
      </c>
      <c r="J57" s="6">
        <v>32</v>
      </c>
      <c r="K57" s="6">
        <v>36</v>
      </c>
      <c r="L57" s="6">
        <v>35</v>
      </c>
      <c r="M57" s="6">
        <v>39</v>
      </c>
      <c r="N57" s="6">
        <v>5</v>
      </c>
      <c r="O57" s="1">
        <f t="shared" si="3"/>
        <v>216</v>
      </c>
      <c r="P57" s="14">
        <f t="shared" si="4"/>
        <v>30.857142857142858</v>
      </c>
      <c r="Q57" s="20">
        <f t="shared" si="5"/>
        <v>51</v>
      </c>
    </row>
    <row r="58" spans="1:17" ht="18" customHeight="1">
      <c r="A58" s="19">
        <v>52</v>
      </c>
      <c r="B58" s="2" t="s">
        <v>2628</v>
      </c>
      <c r="C58" s="1" t="s">
        <v>2629</v>
      </c>
      <c r="D58" s="3" t="s">
        <v>2630</v>
      </c>
      <c r="E58" s="1" t="s">
        <v>71</v>
      </c>
      <c r="F58" s="10" t="s">
        <v>2566</v>
      </c>
      <c r="G58" s="2">
        <v>36</v>
      </c>
      <c r="H58" s="6">
        <v>65</v>
      </c>
      <c r="I58" s="6">
        <v>20</v>
      </c>
      <c r="J58" s="6">
        <v>12</v>
      </c>
      <c r="K58" s="6">
        <v>27</v>
      </c>
      <c r="L58" s="6">
        <v>12</v>
      </c>
      <c r="M58" s="6">
        <v>14</v>
      </c>
      <c r="N58" s="6">
        <v>51</v>
      </c>
      <c r="O58" s="1">
        <f t="shared" si="3"/>
        <v>201</v>
      </c>
      <c r="P58" s="14">
        <f t="shared" si="4"/>
        <v>28.714285714285715</v>
      </c>
      <c r="Q58" s="20">
        <f t="shared" si="5"/>
        <v>52</v>
      </c>
    </row>
    <row r="59" spans="1:17" ht="18" customHeight="1">
      <c r="A59" s="19">
        <v>53</v>
      </c>
      <c r="B59" s="2" t="s">
        <v>2699</v>
      </c>
      <c r="C59" s="1" t="s">
        <v>2700</v>
      </c>
      <c r="D59" s="3" t="s">
        <v>2701</v>
      </c>
      <c r="E59" s="1" t="s">
        <v>65</v>
      </c>
      <c r="F59" s="10" t="s">
        <v>2566</v>
      </c>
      <c r="G59" s="2">
        <v>37</v>
      </c>
      <c r="H59" s="6">
        <v>36</v>
      </c>
      <c r="I59" s="6">
        <v>15</v>
      </c>
      <c r="J59" s="6">
        <v>26</v>
      </c>
      <c r="K59" s="6">
        <v>10</v>
      </c>
      <c r="L59" s="6">
        <v>52</v>
      </c>
      <c r="M59" s="6">
        <v>25</v>
      </c>
      <c r="N59" s="6">
        <v>35</v>
      </c>
      <c r="O59" s="1">
        <f t="shared" si="3"/>
        <v>199</v>
      </c>
      <c r="P59" s="14">
        <f t="shared" si="4"/>
        <v>28.428571428571427</v>
      </c>
      <c r="Q59" s="20">
        <f t="shared" si="5"/>
        <v>53</v>
      </c>
    </row>
    <row r="60" spans="1:17" ht="18" customHeight="1">
      <c r="A60" s="19">
        <v>54</v>
      </c>
      <c r="B60" s="2" t="s">
        <v>2714</v>
      </c>
      <c r="C60" s="1" t="s">
        <v>2715</v>
      </c>
      <c r="D60" s="3" t="s">
        <v>2716</v>
      </c>
      <c r="E60" s="1" t="s">
        <v>85</v>
      </c>
      <c r="F60" s="10" t="s">
        <v>2566</v>
      </c>
      <c r="G60" s="2">
        <v>37</v>
      </c>
      <c r="H60" s="6">
        <v>42</v>
      </c>
      <c r="I60" s="6">
        <v>37</v>
      </c>
      <c r="J60" s="6">
        <v>22</v>
      </c>
      <c r="K60" s="6">
        <v>0</v>
      </c>
      <c r="L60" s="6">
        <v>43</v>
      </c>
      <c r="M60" s="6">
        <v>15</v>
      </c>
      <c r="N60" s="6">
        <v>35</v>
      </c>
      <c r="O60" s="1">
        <f t="shared" si="3"/>
        <v>194</v>
      </c>
      <c r="P60" s="14">
        <f t="shared" si="4"/>
        <v>27.714285714285715</v>
      </c>
      <c r="Q60" s="20">
        <f t="shared" si="5"/>
        <v>54</v>
      </c>
    </row>
    <row r="61" spans="1:17" ht="18" customHeight="1">
      <c r="A61" s="19">
        <v>55</v>
      </c>
      <c r="B61" s="2" t="s">
        <v>2684</v>
      </c>
      <c r="C61" s="1" t="s">
        <v>2685</v>
      </c>
      <c r="D61" s="3" t="s">
        <v>2686</v>
      </c>
      <c r="E61" s="1" t="s">
        <v>78</v>
      </c>
      <c r="F61" s="10" t="s">
        <v>2566</v>
      </c>
      <c r="G61" s="2">
        <v>37</v>
      </c>
      <c r="H61" s="6">
        <v>56</v>
      </c>
      <c r="I61" s="6">
        <v>14</v>
      </c>
      <c r="J61" s="6">
        <v>13</v>
      </c>
      <c r="K61" s="6">
        <v>39</v>
      </c>
      <c r="L61" s="6">
        <v>21</v>
      </c>
      <c r="M61" s="6">
        <v>30</v>
      </c>
      <c r="N61" s="6">
        <v>20</v>
      </c>
      <c r="O61" s="1">
        <f t="shared" si="3"/>
        <v>193</v>
      </c>
      <c r="P61" s="14">
        <f t="shared" si="4"/>
        <v>27.571428571428573</v>
      </c>
      <c r="Q61" s="20">
        <f t="shared" si="5"/>
        <v>55</v>
      </c>
    </row>
    <row r="62" spans="1:17" ht="18" customHeight="1">
      <c r="A62" s="19">
        <v>56</v>
      </c>
      <c r="B62" s="28" t="s">
        <v>2670</v>
      </c>
      <c r="C62" s="29" t="s">
        <v>2671</v>
      </c>
      <c r="D62" s="30" t="s">
        <v>2672</v>
      </c>
      <c r="E62" s="29" t="s">
        <v>63</v>
      </c>
      <c r="F62" s="31" t="s">
        <v>2566</v>
      </c>
      <c r="G62" s="28">
        <v>36</v>
      </c>
      <c r="H62" s="46"/>
      <c r="I62" s="46"/>
      <c r="J62" s="46"/>
      <c r="K62" s="46"/>
      <c r="L62" s="46"/>
      <c r="M62" s="46"/>
      <c r="N62" s="46"/>
      <c r="O62" s="29">
        <f t="shared" si="3"/>
        <v>0</v>
      </c>
      <c r="P62" s="41">
        <f t="shared" si="4"/>
        <v>0</v>
      </c>
      <c r="Q62" s="33">
        <f t="shared" si="5"/>
        <v>56</v>
      </c>
    </row>
  </sheetData>
  <mergeCells count="4">
    <mergeCell ref="A1:P1"/>
    <mergeCell ref="A2:P2"/>
    <mergeCell ref="A3:P3"/>
    <mergeCell ref="A5:B5"/>
  </mergeCells>
  <conditionalFormatting sqref="H7:N7">
    <cfRule type="expression" dxfId="6717" priority="223">
      <formula>5</formula>
    </cfRule>
    <cfRule type="cellIs" dxfId="6716" priority="224" operator="lessThan">
      <formula>5</formula>
    </cfRule>
  </conditionalFormatting>
  <conditionalFormatting sqref="H7:N7">
    <cfRule type="cellIs" dxfId="6715" priority="222" operator="lessThan">
      <formula>50</formula>
    </cfRule>
  </conditionalFormatting>
  <conditionalFormatting sqref="P7">
    <cfRule type="cellIs" dxfId="6714" priority="221" operator="lessThan">
      <formula>50</formula>
    </cfRule>
  </conditionalFormatting>
  <conditionalFormatting sqref="H8:N8">
    <cfRule type="expression" dxfId="6713" priority="219">
      <formula>5</formula>
    </cfRule>
    <cfRule type="cellIs" dxfId="6712" priority="220" operator="lessThan">
      <formula>5</formula>
    </cfRule>
  </conditionalFormatting>
  <conditionalFormatting sqref="H8:N8">
    <cfRule type="cellIs" dxfId="6711" priority="218" operator="lessThan">
      <formula>50</formula>
    </cfRule>
  </conditionalFormatting>
  <conditionalFormatting sqref="P8">
    <cfRule type="cellIs" dxfId="6710" priority="217" operator="lessThan">
      <formula>50</formula>
    </cfRule>
  </conditionalFormatting>
  <conditionalFormatting sqref="H9:N9">
    <cfRule type="expression" dxfId="6709" priority="215">
      <formula>5</formula>
    </cfRule>
    <cfRule type="cellIs" dxfId="6708" priority="216" operator="lessThan">
      <formula>5</formula>
    </cfRule>
  </conditionalFormatting>
  <conditionalFormatting sqref="H9:N9">
    <cfRule type="cellIs" dxfId="6707" priority="214" operator="lessThan">
      <formula>50</formula>
    </cfRule>
  </conditionalFormatting>
  <conditionalFormatting sqref="P9">
    <cfRule type="cellIs" dxfId="6706" priority="213" operator="lessThan">
      <formula>50</formula>
    </cfRule>
  </conditionalFormatting>
  <conditionalFormatting sqref="H10:N10">
    <cfRule type="expression" dxfId="6705" priority="211">
      <formula>5</formula>
    </cfRule>
    <cfRule type="cellIs" dxfId="6704" priority="212" operator="lessThan">
      <formula>5</formula>
    </cfRule>
  </conditionalFormatting>
  <conditionalFormatting sqref="H10:N10">
    <cfRule type="cellIs" dxfId="6703" priority="210" operator="lessThan">
      <formula>50</formula>
    </cfRule>
  </conditionalFormatting>
  <conditionalFormatting sqref="P10">
    <cfRule type="cellIs" dxfId="6702" priority="209" operator="lessThan">
      <formula>50</formula>
    </cfRule>
  </conditionalFormatting>
  <conditionalFormatting sqref="H11:N11">
    <cfRule type="expression" dxfId="6701" priority="207">
      <formula>5</formula>
    </cfRule>
    <cfRule type="cellIs" dxfId="6700" priority="208" operator="lessThan">
      <formula>5</formula>
    </cfRule>
  </conditionalFormatting>
  <conditionalFormatting sqref="H11:N11">
    <cfRule type="cellIs" dxfId="6699" priority="206" operator="lessThan">
      <formula>50</formula>
    </cfRule>
  </conditionalFormatting>
  <conditionalFormatting sqref="P11">
    <cfRule type="cellIs" dxfId="6698" priority="205" operator="lessThan">
      <formula>50</formula>
    </cfRule>
  </conditionalFormatting>
  <conditionalFormatting sqref="H12:N12">
    <cfRule type="expression" dxfId="6697" priority="203">
      <formula>5</formula>
    </cfRule>
    <cfRule type="cellIs" dxfId="6696" priority="204" operator="lessThan">
      <formula>5</formula>
    </cfRule>
  </conditionalFormatting>
  <conditionalFormatting sqref="H12:N12">
    <cfRule type="cellIs" dxfId="6695" priority="202" operator="lessThan">
      <formula>50</formula>
    </cfRule>
  </conditionalFormatting>
  <conditionalFormatting sqref="P12">
    <cfRule type="cellIs" dxfId="6694" priority="201" operator="lessThan">
      <formula>50</formula>
    </cfRule>
  </conditionalFormatting>
  <conditionalFormatting sqref="H13:N13">
    <cfRule type="expression" dxfId="6693" priority="199">
      <formula>5</formula>
    </cfRule>
    <cfRule type="cellIs" dxfId="6692" priority="200" operator="lessThan">
      <formula>5</formula>
    </cfRule>
  </conditionalFormatting>
  <conditionalFormatting sqref="H13:N13">
    <cfRule type="cellIs" dxfId="6691" priority="198" operator="lessThan">
      <formula>50</formula>
    </cfRule>
  </conditionalFormatting>
  <conditionalFormatting sqref="P13">
    <cfRule type="cellIs" dxfId="6690" priority="197" operator="lessThan">
      <formula>50</formula>
    </cfRule>
  </conditionalFormatting>
  <conditionalFormatting sqref="H14:N14">
    <cfRule type="expression" dxfId="6689" priority="195">
      <formula>5</formula>
    </cfRule>
    <cfRule type="cellIs" dxfId="6688" priority="196" operator="lessThan">
      <formula>5</formula>
    </cfRule>
  </conditionalFormatting>
  <conditionalFormatting sqref="H14:N14">
    <cfRule type="cellIs" dxfId="6687" priority="194" operator="lessThan">
      <formula>50</formula>
    </cfRule>
  </conditionalFormatting>
  <conditionalFormatting sqref="P14">
    <cfRule type="cellIs" dxfId="6686" priority="193" operator="lessThan">
      <formula>50</formula>
    </cfRule>
  </conditionalFormatting>
  <conditionalFormatting sqref="H15:N15">
    <cfRule type="expression" dxfId="6685" priority="191">
      <formula>5</formula>
    </cfRule>
    <cfRule type="cellIs" dxfId="6684" priority="192" operator="lessThan">
      <formula>5</formula>
    </cfRule>
  </conditionalFormatting>
  <conditionalFormatting sqref="H15:N15">
    <cfRule type="cellIs" dxfId="6683" priority="190" operator="lessThan">
      <formula>50</formula>
    </cfRule>
  </conditionalFormatting>
  <conditionalFormatting sqref="P15">
    <cfRule type="cellIs" dxfId="6682" priority="189" operator="lessThan">
      <formula>50</formula>
    </cfRule>
  </conditionalFormatting>
  <conditionalFormatting sqref="H16:N16">
    <cfRule type="expression" dxfId="6681" priority="187">
      <formula>5</formula>
    </cfRule>
    <cfRule type="cellIs" dxfId="6680" priority="188" operator="lessThan">
      <formula>5</formula>
    </cfRule>
  </conditionalFormatting>
  <conditionalFormatting sqref="H16:N16">
    <cfRule type="cellIs" dxfId="6679" priority="186" operator="lessThan">
      <formula>50</formula>
    </cfRule>
  </conditionalFormatting>
  <conditionalFormatting sqref="P16">
    <cfRule type="cellIs" dxfId="6678" priority="185" operator="lessThan">
      <formula>50</formula>
    </cfRule>
  </conditionalFormatting>
  <conditionalFormatting sqref="H17:N17">
    <cfRule type="expression" dxfId="6677" priority="183">
      <formula>5</formula>
    </cfRule>
    <cfRule type="cellIs" dxfId="6676" priority="184" operator="lessThan">
      <formula>5</formula>
    </cfRule>
  </conditionalFormatting>
  <conditionalFormatting sqref="H17:N17">
    <cfRule type="cellIs" dxfId="6675" priority="182" operator="lessThan">
      <formula>50</formula>
    </cfRule>
  </conditionalFormatting>
  <conditionalFormatting sqref="P17">
    <cfRule type="cellIs" dxfId="6674" priority="181" operator="lessThan">
      <formula>50</formula>
    </cfRule>
  </conditionalFormatting>
  <conditionalFormatting sqref="H18:N18">
    <cfRule type="expression" dxfId="6673" priority="179">
      <formula>5</formula>
    </cfRule>
    <cfRule type="cellIs" dxfId="6672" priority="180" operator="lessThan">
      <formula>5</formula>
    </cfRule>
  </conditionalFormatting>
  <conditionalFormatting sqref="H18:N18">
    <cfRule type="cellIs" dxfId="6671" priority="178" operator="lessThan">
      <formula>50</formula>
    </cfRule>
  </conditionalFormatting>
  <conditionalFormatting sqref="P18">
    <cfRule type="cellIs" dxfId="6670" priority="177" operator="lessThan">
      <formula>50</formula>
    </cfRule>
  </conditionalFormatting>
  <conditionalFormatting sqref="H19:N19">
    <cfRule type="expression" dxfId="6669" priority="175">
      <formula>5</formula>
    </cfRule>
    <cfRule type="cellIs" dxfId="6668" priority="176" operator="lessThan">
      <formula>5</formula>
    </cfRule>
  </conditionalFormatting>
  <conditionalFormatting sqref="H19:N19">
    <cfRule type="cellIs" dxfId="6667" priority="174" operator="lessThan">
      <formula>50</formula>
    </cfRule>
  </conditionalFormatting>
  <conditionalFormatting sqref="P19">
    <cfRule type="cellIs" dxfId="6666" priority="173" operator="lessThan">
      <formula>50</formula>
    </cfRule>
  </conditionalFormatting>
  <conditionalFormatting sqref="H20:N20">
    <cfRule type="expression" dxfId="6665" priority="171">
      <formula>5</formula>
    </cfRule>
    <cfRule type="cellIs" dxfId="6664" priority="172" operator="lessThan">
      <formula>5</formula>
    </cfRule>
  </conditionalFormatting>
  <conditionalFormatting sqref="H20:N20">
    <cfRule type="cellIs" dxfId="6663" priority="170" operator="lessThan">
      <formula>50</formula>
    </cfRule>
  </conditionalFormatting>
  <conditionalFormatting sqref="P20">
    <cfRule type="cellIs" dxfId="6662" priority="169" operator="lessThan">
      <formula>50</formula>
    </cfRule>
  </conditionalFormatting>
  <conditionalFormatting sqref="H21:N21">
    <cfRule type="expression" dxfId="6661" priority="167">
      <formula>5</formula>
    </cfRule>
    <cfRule type="cellIs" dxfId="6660" priority="168" operator="lessThan">
      <formula>5</formula>
    </cfRule>
  </conditionalFormatting>
  <conditionalFormatting sqref="H21:N21">
    <cfRule type="cellIs" dxfId="6659" priority="166" operator="lessThan">
      <formula>50</formula>
    </cfRule>
  </conditionalFormatting>
  <conditionalFormatting sqref="P21">
    <cfRule type="cellIs" dxfId="6658" priority="165" operator="lessThan">
      <formula>50</formula>
    </cfRule>
  </conditionalFormatting>
  <conditionalFormatting sqref="H22:N22">
    <cfRule type="expression" dxfId="6657" priority="163">
      <formula>5</formula>
    </cfRule>
    <cfRule type="cellIs" dxfId="6656" priority="164" operator="lessThan">
      <formula>5</formula>
    </cfRule>
  </conditionalFormatting>
  <conditionalFormatting sqref="H22:N22">
    <cfRule type="cellIs" dxfId="6655" priority="162" operator="lessThan">
      <formula>50</formula>
    </cfRule>
  </conditionalFormatting>
  <conditionalFormatting sqref="P22">
    <cfRule type="cellIs" dxfId="6654" priority="161" operator="lessThan">
      <formula>50</formula>
    </cfRule>
  </conditionalFormatting>
  <conditionalFormatting sqref="H23:N23">
    <cfRule type="expression" dxfId="6653" priority="159">
      <formula>5</formula>
    </cfRule>
    <cfRule type="cellIs" dxfId="6652" priority="160" operator="lessThan">
      <formula>5</formula>
    </cfRule>
  </conditionalFormatting>
  <conditionalFormatting sqref="H23:N23">
    <cfRule type="cellIs" dxfId="6651" priority="158" operator="lessThan">
      <formula>50</formula>
    </cfRule>
  </conditionalFormatting>
  <conditionalFormatting sqref="P23">
    <cfRule type="cellIs" dxfId="6650" priority="157" operator="lessThan">
      <formula>50</formula>
    </cfRule>
  </conditionalFormatting>
  <conditionalFormatting sqref="H24:N24">
    <cfRule type="expression" dxfId="6649" priority="155">
      <formula>5</formula>
    </cfRule>
    <cfRule type="cellIs" dxfId="6648" priority="156" operator="lessThan">
      <formula>5</formula>
    </cfRule>
  </conditionalFormatting>
  <conditionalFormatting sqref="H24:N24">
    <cfRule type="cellIs" dxfId="6647" priority="154" operator="lessThan">
      <formula>50</formula>
    </cfRule>
  </conditionalFormatting>
  <conditionalFormatting sqref="P24">
    <cfRule type="cellIs" dxfId="6646" priority="153" operator="lessThan">
      <formula>50</formula>
    </cfRule>
  </conditionalFormatting>
  <conditionalFormatting sqref="H25:N25">
    <cfRule type="expression" dxfId="6645" priority="151">
      <formula>5</formula>
    </cfRule>
    <cfRule type="cellIs" dxfId="6644" priority="152" operator="lessThan">
      <formula>5</formula>
    </cfRule>
  </conditionalFormatting>
  <conditionalFormatting sqref="H25:N25">
    <cfRule type="cellIs" dxfId="6643" priority="150" operator="lessThan">
      <formula>50</formula>
    </cfRule>
  </conditionalFormatting>
  <conditionalFormatting sqref="P25">
    <cfRule type="cellIs" dxfId="6642" priority="149" operator="lessThan">
      <formula>50</formula>
    </cfRule>
  </conditionalFormatting>
  <conditionalFormatting sqref="H26:N26">
    <cfRule type="expression" dxfId="6641" priority="147">
      <formula>5</formula>
    </cfRule>
    <cfRule type="cellIs" dxfId="6640" priority="148" operator="lessThan">
      <formula>5</formula>
    </cfRule>
  </conditionalFormatting>
  <conditionalFormatting sqref="H26:N26">
    <cfRule type="cellIs" dxfId="6639" priority="146" operator="lessThan">
      <formula>50</formula>
    </cfRule>
  </conditionalFormatting>
  <conditionalFormatting sqref="P26">
    <cfRule type="cellIs" dxfId="6638" priority="145" operator="lessThan">
      <formula>50</formula>
    </cfRule>
  </conditionalFormatting>
  <conditionalFormatting sqref="H27:N27">
    <cfRule type="expression" dxfId="6637" priority="143">
      <formula>5</formula>
    </cfRule>
    <cfRule type="cellIs" dxfId="6636" priority="144" operator="lessThan">
      <formula>5</formula>
    </cfRule>
  </conditionalFormatting>
  <conditionalFormatting sqref="H27:N27">
    <cfRule type="cellIs" dxfId="6635" priority="142" operator="lessThan">
      <formula>50</formula>
    </cfRule>
  </conditionalFormatting>
  <conditionalFormatting sqref="P27">
    <cfRule type="cellIs" dxfId="6634" priority="141" operator="lessThan">
      <formula>50</formula>
    </cfRule>
  </conditionalFormatting>
  <conditionalFormatting sqref="H28:N28">
    <cfRule type="expression" dxfId="6633" priority="139">
      <formula>5</formula>
    </cfRule>
    <cfRule type="cellIs" dxfId="6632" priority="140" operator="lessThan">
      <formula>5</formula>
    </cfRule>
  </conditionalFormatting>
  <conditionalFormatting sqref="H28:N28">
    <cfRule type="cellIs" dxfId="6631" priority="138" operator="lessThan">
      <formula>50</formula>
    </cfRule>
  </conditionalFormatting>
  <conditionalFormatting sqref="P28">
    <cfRule type="cellIs" dxfId="6630" priority="137" operator="lessThan">
      <formula>50</formula>
    </cfRule>
  </conditionalFormatting>
  <conditionalFormatting sqref="H29:N29">
    <cfRule type="expression" dxfId="6629" priority="135">
      <formula>5</formula>
    </cfRule>
    <cfRule type="cellIs" dxfId="6628" priority="136" operator="lessThan">
      <formula>5</formula>
    </cfRule>
  </conditionalFormatting>
  <conditionalFormatting sqref="H29:N29">
    <cfRule type="cellIs" dxfId="6627" priority="134" operator="lessThan">
      <formula>50</formula>
    </cfRule>
  </conditionalFormatting>
  <conditionalFormatting sqref="P29">
    <cfRule type="cellIs" dxfId="6626" priority="133" operator="lessThan">
      <formula>50</formula>
    </cfRule>
  </conditionalFormatting>
  <conditionalFormatting sqref="H30:N30">
    <cfRule type="expression" dxfId="6625" priority="131">
      <formula>5</formula>
    </cfRule>
    <cfRule type="cellIs" dxfId="6624" priority="132" operator="lessThan">
      <formula>5</formula>
    </cfRule>
  </conditionalFormatting>
  <conditionalFormatting sqref="H30:N30">
    <cfRule type="cellIs" dxfId="6623" priority="130" operator="lessThan">
      <formula>50</formula>
    </cfRule>
  </conditionalFormatting>
  <conditionalFormatting sqref="P30">
    <cfRule type="cellIs" dxfId="6622" priority="129" operator="lessThan">
      <formula>50</formula>
    </cfRule>
  </conditionalFormatting>
  <conditionalFormatting sqref="H31:N31">
    <cfRule type="expression" dxfId="6621" priority="127">
      <formula>5</formula>
    </cfRule>
    <cfRule type="cellIs" dxfId="6620" priority="128" operator="lessThan">
      <formula>5</formula>
    </cfRule>
  </conditionalFormatting>
  <conditionalFormatting sqref="H31:N31">
    <cfRule type="cellIs" dxfId="6619" priority="126" operator="lessThan">
      <formula>50</formula>
    </cfRule>
  </conditionalFormatting>
  <conditionalFormatting sqref="P31">
    <cfRule type="cellIs" dxfId="6618" priority="125" operator="lessThan">
      <formula>50</formula>
    </cfRule>
  </conditionalFormatting>
  <conditionalFormatting sqref="H32:N32">
    <cfRule type="expression" dxfId="6617" priority="123">
      <formula>5</formula>
    </cfRule>
    <cfRule type="cellIs" dxfId="6616" priority="124" operator="lessThan">
      <formula>5</formula>
    </cfRule>
  </conditionalFormatting>
  <conditionalFormatting sqref="H32:N32">
    <cfRule type="cellIs" dxfId="6615" priority="122" operator="lessThan">
      <formula>50</formula>
    </cfRule>
  </conditionalFormatting>
  <conditionalFormatting sqref="P32">
    <cfRule type="cellIs" dxfId="6614" priority="121" operator="lessThan">
      <formula>50</formula>
    </cfRule>
  </conditionalFormatting>
  <conditionalFormatting sqref="H33:N33">
    <cfRule type="expression" dxfId="6613" priority="119">
      <formula>5</formula>
    </cfRule>
    <cfRule type="cellIs" dxfId="6612" priority="120" operator="lessThan">
      <formula>5</formula>
    </cfRule>
  </conditionalFormatting>
  <conditionalFormatting sqref="H33:N33">
    <cfRule type="cellIs" dxfId="6611" priority="118" operator="lessThan">
      <formula>50</formula>
    </cfRule>
  </conditionalFormatting>
  <conditionalFormatting sqref="P33">
    <cfRule type="cellIs" dxfId="6610" priority="117" operator="lessThan">
      <formula>50</formula>
    </cfRule>
  </conditionalFormatting>
  <conditionalFormatting sqref="H34:N34">
    <cfRule type="expression" dxfId="6609" priority="115">
      <formula>5</formula>
    </cfRule>
    <cfRule type="cellIs" dxfId="6608" priority="116" operator="lessThan">
      <formula>5</formula>
    </cfRule>
  </conditionalFormatting>
  <conditionalFormatting sqref="H34:N34">
    <cfRule type="cellIs" dxfId="6607" priority="114" operator="lessThan">
      <formula>50</formula>
    </cfRule>
  </conditionalFormatting>
  <conditionalFormatting sqref="P34">
    <cfRule type="cellIs" dxfId="6606" priority="113" operator="lessThan">
      <formula>50</formula>
    </cfRule>
  </conditionalFormatting>
  <conditionalFormatting sqref="H35:N35">
    <cfRule type="expression" dxfId="6605" priority="111">
      <formula>5</formula>
    </cfRule>
    <cfRule type="cellIs" dxfId="6604" priority="112" operator="lessThan">
      <formula>5</formula>
    </cfRule>
  </conditionalFormatting>
  <conditionalFormatting sqref="H35:N35">
    <cfRule type="cellIs" dxfId="6603" priority="110" operator="lessThan">
      <formula>50</formula>
    </cfRule>
  </conditionalFormatting>
  <conditionalFormatting sqref="P35">
    <cfRule type="cellIs" dxfId="6602" priority="109" operator="lessThan">
      <formula>50</formula>
    </cfRule>
  </conditionalFormatting>
  <conditionalFormatting sqref="H36:N36">
    <cfRule type="expression" dxfId="6601" priority="107">
      <formula>5</formula>
    </cfRule>
    <cfRule type="cellIs" dxfId="6600" priority="108" operator="lessThan">
      <formula>5</formula>
    </cfRule>
  </conditionalFormatting>
  <conditionalFormatting sqref="H36:N36">
    <cfRule type="cellIs" dxfId="6599" priority="106" operator="lessThan">
      <formula>50</formula>
    </cfRule>
  </conditionalFormatting>
  <conditionalFormatting sqref="P36">
    <cfRule type="cellIs" dxfId="6598" priority="105" operator="lessThan">
      <formula>50</formula>
    </cfRule>
  </conditionalFormatting>
  <conditionalFormatting sqref="H37:N37">
    <cfRule type="expression" dxfId="6597" priority="103">
      <formula>5</formula>
    </cfRule>
    <cfRule type="cellIs" dxfId="6596" priority="104" operator="lessThan">
      <formula>5</formula>
    </cfRule>
  </conditionalFormatting>
  <conditionalFormatting sqref="H37:N37">
    <cfRule type="cellIs" dxfId="6595" priority="102" operator="lessThan">
      <formula>50</formula>
    </cfRule>
  </conditionalFormatting>
  <conditionalFormatting sqref="P37">
    <cfRule type="cellIs" dxfId="6594" priority="101" operator="lessThan">
      <formula>50</formula>
    </cfRule>
  </conditionalFormatting>
  <conditionalFormatting sqref="H38:N38">
    <cfRule type="expression" dxfId="6593" priority="99">
      <formula>5</formula>
    </cfRule>
    <cfRule type="cellIs" dxfId="6592" priority="100" operator="lessThan">
      <formula>5</formula>
    </cfRule>
  </conditionalFormatting>
  <conditionalFormatting sqref="H38:N38">
    <cfRule type="cellIs" dxfId="6591" priority="98" operator="lessThan">
      <formula>50</formula>
    </cfRule>
  </conditionalFormatting>
  <conditionalFormatting sqref="P38">
    <cfRule type="cellIs" dxfId="6590" priority="97" operator="lessThan">
      <formula>50</formula>
    </cfRule>
  </conditionalFormatting>
  <conditionalFormatting sqref="H39:N39">
    <cfRule type="expression" dxfId="6589" priority="95">
      <formula>5</formula>
    </cfRule>
    <cfRule type="cellIs" dxfId="6588" priority="96" operator="lessThan">
      <formula>5</formula>
    </cfRule>
  </conditionalFormatting>
  <conditionalFormatting sqref="H39:N39">
    <cfRule type="cellIs" dxfId="6587" priority="94" operator="lessThan">
      <formula>50</formula>
    </cfRule>
  </conditionalFormatting>
  <conditionalFormatting sqref="P39">
    <cfRule type="cellIs" dxfId="6586" priority="93" operator="lessThan">
      <formula>50</formula>
    </cfRule>
  </conditionalFormatting>
  <conditionalFormatting sqref="H40:N40">
    <cfRule type="expression" dxfId="6585" priority="91">
      <formula>5</formula>
    </cfRule>
    <cfRule type="cellIs" dxfId="6584" priority="92" operator="lessThan">
      <formula>5</formula>
    </cfRule>
  </conditionalFormatting>
  <conditionalFormatting sqref="H40:N40">
    <cfRule type="cellIs" dxfId="6583" priority="90" operator="lessThan">
      <formula>50</formula>
    </cfRule>
  </conditionalFormatting>
  <conditionalFormatting sqref="P40">
    <cfRule type="cellIs" dxfId="6582" priority="89" operator="lessThan">
      <formula>50</formula>
    </cfRule>
  </conditionalFormatting>
  <conditionalFormatting sqref="H41:N41">
    <cfRule type="expression" dxfId="6581" priority="87">
      <formula>5</formula>
    </cfRule>
    <cfRule type="cellIs" dxfId="6580" priority="88" operator="lessThan">
      <formula>5</formula>
    </cfRule>
  </conditionalFormatting>
  <conditionalFormatting sqref="H41:N41">
    <cfRule type="cellIs" dxfId="6579" priority="86" operator="lessThan">
      <formula>50</formula>
    </cfRule>
  </conditionalFormatting>
  <conditionalFormatting sqref="P41">
    <cfRule type="cellIs" dxfId="6578" priority="85" operator="lessThan">
      <formula>50</formula>
    </cfRule>
  </conditionalFormatting>
  <conditionalFormatting sqref="H42:N42">
    <cfRule type="expression" dxfId="6577" priority="83">
      <formula>5</formula>
    </cfRule>
    <cfRule type="cellIs" dxfId="6576" priority="84" operator="lessThan">
      <formula>5</formula>
    </cfRule>
  </conditionalFormatting>
  <conditionalFormatting sqref="H42:N42">
    <cfRule type="cellIs" dxfId="6575" priority="82" operator="lessThan">
      <formula>50</formula>
    </cfRule>
  </conditionalFormatting>
  <conditionalFormatting sqref="P42">
    <cfRule type="cellIs" dxfId="6574" priority="81" operator="lessThan">
      <formula>50</formula>
    </cfRule>
  </conditionalFormatting>
  <conditionalFormatting sqref="H43:N43">
    <cfRule type="expression" dxfId="6573" priority="79">
      <formula>5</formula>
    </cfRule>
    <cfRule type="cellIs" dxfId="6572" priority="80" operator="lessThan">
      <formula>5</formula>
    </cfRule>
  </conditionalFormatting>
  <conditionalFormatting sqref="H43:N43">
    <cfRule type="cellIs" dxfId="6571" priority="78" operator="lessThan">
      <formula>50</formula>
    </cfRule>
  </conditionalFormatting>
  <conditionalFormatting sqref="P43">
    <cfRule type="cellIs" dxfId="6570" priority="77" operator="lessThan">
      <formula>50</formula>
    </cfRule>
  </conditionalFormatting>
  <conditionalFormatting sqref="H44:N44">
    <cfRule type="expression" dxfId="6569" priority="75">
      <formula>5</formula>
    </cfRule>
    <cfRule type="cellIs" dxfId="6568" priority="76" operator="lessThan">
      <formula>5</formula>
    </cfRule>
  </conditionalFormatting>
  <conditionalFormatting sqref="H44:N44">
    <cfRule type="cellIs" dxfId="6567" priority="74" operator="lessThan">
      <formula>50</formula>
    </cfRule>
  </conditionalFormatting>
  <conditionalFormatting sqref="P44">
    <cfRule type="cellIs" dxfId="6566" priority="73" operator="lessThan">
      <formula>50</formula>
    </cfRule>
  </conditionalFormatting>
  <conditionalFormatting sqref="H45:N45">
    <cfRule type="expression" dxfId="6565" priority="71">
      <formula>5</formula>
    </cfRule>
    <cfRule type="cellIs" dxfId="6564" priority="72" operator="lessThan">
      <formula>5</formula>
    </cfRule>
  </conditionalFormatting>
  <conditionalFormatting sqref="H45:N45">
    <cfRule type="cellIs" dxfId="6563" priority="70" operator="lessThan">
      <formula>50</formula>
    </cfRule>
  </conditionalFormatting>
  <conditionalFormatting sqref="P45">
    <cfRule type="cellIs" dxfId="6562" priority="69" operator="lessThan">
      <formula>50</formula>
    </cfRule>
  </conditionalFormatting>
  <conditionalFormatting sqref="H46:N46">
    <cfRule type="expression" dxfId="6561" priority="67">
      <formula>5</formula>
    </cfRule>
    <cfRule type="cellIs" dxfId="6560" priority="68" operator="lessThan">
      <formula>5</formula>
    </cfRule>
  </conditionalFormatting>
  <conditionalFormatting sqref="H46:N46">
    <cfRule type="cellIs" dxfId="6559" priority="66" operator="lessThan">
      <formula>50</formula>
    </cfRule>
  </conditionalFormatting>
  <conditionalFormatting sqref="P46">
    <cfRule type="cellIs" dxfId="6558" priority="65" operator="lessThan">
      <formula>50</formula>
    </cfRule>
  </conditionalFormatting>
  <conditionalFormatting sqref="H47:N47">
    <cfRule type="expression" dxfId="6557" priority="63">
      <formula>5</formula>
    </cfRule>
    <cfRule type="cellIs" dxfId="6556" priority="64" operator="lessThan">
      <formula>5</formula>
    </cfRule>
  </conditionalFormatting>
  <conditionalFormatting sqref="H47:N47">
    <cfRule type="cellIs" dxfId="6555" priority="62" operator="lessThan">
      <formula>50</formula>
    </cfRule>
  </conditionalFormatting>
  <conditionalFormatting sqref="P47">
    <cfRule type="cellIs" dxfId="6554" priority="61" operator="lessThan">
      <formula>50</formula>
    </cfRule>
  </conditionalFormatting>
  <conditionalFormatting sqref="H48:N48">
    <cfRule type="expression" dxfId="6553" priority="59">
      <formula>5</formula>
    </cfRule>
    <cfRule type="cellIs" dxfId="6552" priority="60" operator="lessThan">
      <formula>5</formula>
    </cfRule>
  </conditionalFormatting>
  <conditionalFormatting sqref="H48:N48">
    <cfRule type="cellIs" dxfId="6551" priority="58" operator="lessThan">
      <formula>50</formula>
    </cfRule>
  </conditionalFormatting>
  <conditionalFormatting sqref="P48">
    <cfRule type="cellIs" dxfId="6550" priority="57" operator="lessThan">
      <formula>50</formula>
    </cfRule>
  </conditionalFormatting>
  <conditionalFormatting sqref="H49:N49">
    <cfRule type="expression" dxfId="6549" priority="55">
      <formula>5</formula>
    </cfRule>
    <cfRule type="cellIs" dxfId="6548" priority="56" operator="lessThan">
      <formula>5</formula>
    </cfRule>
  </conditionalFormatting>
  <conditionalFormatting sqref="H49:N49">
    <cfRule type="cellIs" dxfId="6547" priority="54" operator="lessThan">
      <formula>50</formula>
    </cfRule>
  </conditionalFormatting>
  <conditionalFormatting sqref="P49">
    <cfRule type="cellIs" dxfId="6546" priority="53" operator="lessThan">
      <formula>50</formula>
    </cfRule>
  </conditionalFormatting>
  <conditionalFormatting sqref="H50:N50">
    <cfRule type="expression" dxfId="6545" priority="51">
      <formula>5</formula>
    </cfRule>
    <cfRule type="cellIs" dxfId="6544" priority="52" operator="lessThan">
      <formula>5</formula>
    </cfRule>
  </conditionalFormatting>
  <conditionalFormatting sqref="H50:N50">
    <cfRule type="cellIs" dxfId="6543" priority="50" operator="lessThan">
      <formula>50</formula>
    </cfRule>
  </conditionalFormatting>
  <conditionalFormatting sqref="P50">
    <cfRule type="cellIs" dxfId="6542" priority="49" operator="lessThan">
      <formula>50</formula>
    </cfRule>
  </conditionalFormatting>
  <conditionalFormatting sqref="H51:N51">
    <cfRule type="expression" dxfId="6541" priority="47">
      <formula>5</formula>
    </cfRule>
    <cfRule type="cellIs" dxfId="6540" priority="48" operator="lessThan">
      <formula>5</formula>
    </cfRule>
  </conditionalFormatting>
  <conditionalFormatting sqref="H51:N51">
    <cfRule type="cellIs" dxfId="6539" priority="46" operator="lessThan">
      <formula>50</formula>
    </cfRule>
  </conditionalFormatting>
  <conditionalFormatting sqref="P51">
    <cfRule type="cellIs" dxfId="6538" priority="45" operator="lessThan">
      <formula>50</formula>
    </cfRule>
  </conditionalFormatting>
  <conditionalFormatting sqref="H52:N52">
    <cfRule type="expression" dxfId="6537" priority="43">
      <formula>5</formula>
    </cfRule>
    <cfRule type="cellIs" dxfId="6536" priority="44" operator="lessThan">
      <formula>5</formula>
    </cfRule>
  </conditionalFormatting>
  <conditionalFormatting sqref="H52:N52">
    <cfRule type="cellIs" dxfId="6535" priority="42" operator="lessThan">
      <formula>50</formula>
    </cfRule>
  </conditionalFormatting>
  <conditionalFormatting sqref="P52">
    <cfRule type="cellIs" dxfId="6534" priority="41" operator="lessThan">
      <formula>50</formula>
    </cfRule>
  </conditionalFormatting>
  <conditionalFormatting sqref="H53:N53">
    <cfRule type="expression" dxfId="6533" priority="39">
      <formula>5</formula>
    </cfRule>
    <cfRule type="cellIs" dxfId="6532" priority="40" operator="lessThan">
      <formula>5</formula>
    </cfRule>
  </conditionalFormatting>
  <conditionalFormatting sqref="H53:N53">
    <cfRule type="cellIs" dxfId="6531" priority="38" operator="lessThan">
      <formula>50</formula>
    </cfRule>
  </conditionalFormatting>
  <conditionalFormatting sqref="P53">
    <cfRule type="cellIs" dxfId="6530" priority="37" operator="lessThan">
      <formula>50</formula>
    </cfRule>
  </conditionalFormatting>
  <conditionalFormatting sqref="H54:N54">
    <cfRule type="expression" dxfId="6529" priority="35">
      <formula>5</formula>
    </cfRule>
    <cfRule type="cellIs" dxfId="6528" priority="36" operator="lessThan">
      <formula>5</formula>
    </cfRule>
  </conditionalFormatting>
  <conditionalFormatting sqref="H54:N54">
    <cfRule type="cellIs" dxfId="6527" priority="34" operator="lessThan">
      <formula>50</formula>
    </cfRule>
  </conditionalFormatting>
  <conditionalFormatting sqref="P54">
    <cfRule type="cellIs" dxfId="6526" priority="33" operator="lessThan">
      <formula>50</formula>
    </cfRule>
  </conditionalFormatting>
  <conditionalFormatting sqref="H55:N55">
    <cfRule type="expression" dxfId="6525" priority="31">
      <formula>5</formula>
    </cfRule>
    <cfRule type="cellIs" dxfId="6524" priority="32" operator="lessThan">
      <formula>5</formula>
    </cfRule>
  </conditionalFormatting>
  <conditionalFormatting sqref="H55:N55">
    <cfRule type="cellIs" dxfId="6523" priority="30" operator="lessThan">
      <formula>50</formula>
    </cfRule>
  </conditionalFormatting>
  <conditionalFormatting sqref="P55">
    <cfRule type="cellIs" dxfId="6522" priority="29" operator="lessThan">
      <formula>50</formula>
    </cfRule>
  </conditionalFormatting>
  <conditionalFormatting sqref="H56:N56">
    <cfRule type="expression" dxfId="6521" priority="27">
      <formula>5</formula>
    </cfRule>
    <cfRule type="cellIs" dxfId="6520" priority="28" operator="lessThan">
      <formula>5</formula>
    </cfRule>
  </conditionalFormatting>
  <conditionalFormatting sqref="H56:N56">
    <cfRule type="cellIs" dxfId="6519" priority="26" operator="lessThan">
      <formula>50</formula>
    </cfRule>
  </conditionalFormatting>
  <conditionalFormatting sqref="P56">
    <cfRule type="cellIs" dxfId="6518" priority="25" operator="lessThan">
      <formula>50</formula>
    </cfRule>
  </conditionalFormatting>
  <conditionalFormatting sqref="H57:N57">
    <cfRule type="expression" dxfId="6517" priority="23">
      <formula>5</formula>
    </cfRule>
    <cfRule type="cellIs" dxfId="6516" priority="24" operator="lessThan">
      <formula>5</formula>
    </cfRule>
  </conditionalFormatting>
  <conditionalFormatting sqref="H57:N57">
    <cfRule type="cellIs" dxfId="6515" priority="22" operator="lessThan">
      <formula>50</formula>
    </cfRule>
  </conditionalFormatting>
  <conditionalFormatting sqref="P57">
    <cfRule type="cellIs" dxfId="6514" priority="21" operator="lessThan">
      <formula>50</formula>
    </cfRule>
  </conditionalFormatting>
  <conditionalFormatting sqref="H58:N58">
    <cfRule type="expression" dxfId="6513" priority="19">
      <formula>5</formula>
    </cfRule>
    <cfRule type="cellIs" dxfId="6512" priority="20" operator="lessThan">
      <formula>5</formula>
    </cfRule>
  </conditionalFormatting>
  <conditionalFormatting sqref="H58:N58">
    <cfRule type="cellIs" dxfId="6511" priority="18" operator="lessThan">
      <formula>50</formula>
    </cfRule>
  </conditionalFormatting>
  <conditionalFormatting sqref="P58">
    <cfRule type="cellIs" dxfId="6510" priority="17" operator="lessThan">
      <formula>50</formula>
    </cfRule>
  </conditionalFormatting>
  <conditionalFormatting sqref="H59:N59">
    <cfRule type="expression" dxfId="6509" priority="15">
      <formula>5</formula>
    </cfRule>
    <cfRule type="cellIs" dxfId="6508" priority="16" operator="lessThan">
      <formula>5</formula>
    </cfRule>
  </conditionalFormatting>
  <conditionalFormatting sqref="H59:N59">
    <cfRule type="cellIs" dxfId="6507" priority="14" operator="lessThan">
      <formula>50</formula>
    </cfRule>
  </conditionalFormatting>
  <conditionalFormatting sqref="P59">
    <cfRule type="cellIs" dxfId="6506" priority="13" operator="lessThan">
      <formula>50</formula>
    </cfRule>
  </conditionalFormatting>
  <conditionalFormatting sqref="H60:N60">
    <cfRule type="expression" dxfId="6505" priority="11">
      <formula>5</formula>
    </cfRule>
    <cfRule type="cellIs" dxfId="6504" priority="12" operator="lessThan">
      <formula>5</formula>
    </cfRule>
  </conditionalFormatting>
  <conditionalFormatting sqref="H60:N60">
    <cfRule type="cellIs" dxfId="6503" priority="10" operator="lessThan">
      <formula>50</formula>
    </cfRule>
  </conditionalFormatting>
  <conditionalFormatting sqref="P60">
    <cfRule type="cellIs" dxfId="6502" priority="9" operator="lessThan">
      <formula>50</formula>
    </cfRule>
  </conditionalFormatting>
  <conditionalFormatting sqref="H61:N61">
    <cfRule type="expression" dxfId="6501" priority="7">
      <formula>5</formula>
    </cfRule>
    <cfRule type="cellIs" dxfId="6500" priority="8" operator="lessThan">
      <formula>5</formula>
    </cfRule>
  </conditionalFormatting>
  <conditionalFormatting sqref="H61:N61">
    <cfRule type="cellIs" dxfId="6499" priority="6" operator="lessThan">
      <formula>50</formula>
    </cfRule>
  </conditionalFormatting>
  <conditionalFormatting sqref="P61">
    <cfRule type="cellIs" dxfId="6498" priority="5" operator="lessThan">
      <formula>50</formula>
    </cfRule>
  </conditionalFormatting>
  <conditionalFormatting sqref="H62:N62">
    <cfRule type="expression" dxfId="6497" priority="3">
      <formula>5</formula>
    </cfRule>
    <cfRule type="cellIs" dxfId="6496" priority="4" operator="lessThan">
      <formula>5</formula>
    </cfRule>
  </conditionalFormatting>
  <conditionalFormatting sqref="H62:N62">
    <cfRule type="cellIs" dxfId="6495" priority="2" operator="lessThan">
      <formula>50</formula>
    </cfRule>
  </conditionalFormatting>
  <conditionalFormatting sqref="P62">
    <cfRule type="cellIs" dxfId="6494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0:E10 D15:E18 D20 D21:E23 D39:E39 D41:E41" xr:uid="{FD5BAC4D-EAD7-491D-A9D9-B39265F9DA51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2D76-F621-49F1-9173-9A26C5780B0B}">
  <sheetPr codeName="Sheet96"/>
  <dimension ref="A1:Q62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6" width="4.7109375" style="44" customWidth="1"/>
    <col min="17" max="17" width="4.7109375" customWidth="1"/>
  </cols>
  <sheetData>
    <row r="1" spans="1:17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42"/>
      <c r="Q4" s="11"/>
    </row>
    <row r="5" spans="1:17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42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7</v>
      </c>
      <c r="I6" s="39" t="s">
        <v>11</v>
      </c>
      <c r="J6" s="39" t="s">
        <v>12</v>
      </c>
      <c r="K6" s="39" t="s">
        <v>2</v>
      </c>
      <c r="L6" s="39" t="s">
        <v>5319</v>
      </c>
      <c r="M6" s="39" t="s">
        <v>10</v>
      </c>
      <c r="N6" s="39" t="s">
        <v>3</v>
      </c>
      <c r="O6" s="39" t="s">
        <v>5320</v>
      </c>
      <c r="P6" s="53" t="s">
        <v>5321</v>
      </c>
      <c r="Q6" s="39" t="s">
        <v>5324</v>
      </c>
    </row>
    <row r="7" spans="1:17" ht="18" customHeight="1" thickTop="1">
      <c r="A7" s="19">
        <v>1</v>
      </c>
      <c r="B7" s="2" t="s">
        <v>2216</v>
      </c>
      <c r="C7" s="1" t="s">
        <v>2217</v>
      </c>
      <c r="D7" s="3" t="s">
        <v>2218</v>
      </c>
      <c r="E7" s="1" t="s">
        <v>82</v>
      </c>
      <c r="F7" s="10" t="s">
        <v>2109</v>
      </c>
      <c r="G7" s="2">
        <v>28</v>
      </c>
      <c r="H7" s="6">
        <v>96</v>
      </c>
      <c r="I7" s="6">
        <v>88</v>
      </c>
      <c r="J7" s="6">
        <v>92</v>
      </c>
      <c r="K7" s="6">
        <v>80</v>
      </c>
      <c r="L7" s="6">
        <v>100</v>
      </c>
      <c r="M7" s="6">
        <v>100</v>
      </c>
      <c r="N7" s="6">
        <v>89</v>
      </c>
      <c r="O7" s="1">
        <f t="shared" ref="O7:O38" si="0">SUBTOTAL(9,H7:N7)</f>
        <v>645</v>
      </c>
      <c r="P7" s="14">
        <f t="shared" ref="P7:P38" si="1">O7/7</f>
        <v>92.142857142857139</v>
      </c>
      <c r="Q7" s="20">
        <f t="shared" ref="Q7:Q38" si="2">RANK(P7,P$7:P$286,0)</f>
        <v>1</v>
      </c>
    </row>
    <row r="8" spans="1:17" ht="18" customHeight="1">
      <c r="A8" s="19">
        <v>2</v>
      </c>
      <c r="B8" s="2" t="s">
        <v>2119</v>
      </c>
      <c r="C8" s="1" t="s">
        <v>2120</v>
      </c>
      <c r="D8" s="3" t="s">
        <v>2121</v>
      </c>
      <c r="E8" s="1" t="s">
        <v>69</v>
      </c>
      <c r="F8" s="10" t="s">
        <v>2109</v>
      </c>
      <c r="G8" s="2">
        <v>26</v>
      </c>
      <c r="H8" s="6">
        <v>88</v>
      </c>
      <c r="I8" s="6">
        <v>92</v>
      </c>
      <c r="J8" s="6">
        <v>100</v>
      </c>
      <c r="K8" s="6">
        <v>90</v>
      </c>
      <c r="L8" s="6">
        <v>100</v>
      </c>
      <c r="M8" s="6">
        <v>100</v>
      </c>
      <c r="N8" s="6">
        <v>51</v>
      </c>
      <c r="O8" s="1">
        <f t="shared" si="0"/>
        <v>621</v>
      </c>
      <c r="P8" s="14">
        <f t="shared" si="1"/>
        <v>88.714285714285708</v>
      </c>
      <c r="Q8" s="20">
        <f t="shared" si="2"/>
        <v>2</v>
      </c>
    </row>
    <row r="9" spans="1:17" ht="18" customHeight="1">
      <c r="A9" s="19">
        <v>3</v>
      </c>
      <c r="B9" s="2" t="s">
        <v>2193</v>
      </c>
      <c r="C9" s="1" t="s">
        <v>2194</v>
      </c>
      <c r="D9" s="3" t="s">
        <v>2195</v>
      </c>
      <c r="E9" s="1" t="s">
        <v>74</v>
      </c>
      <c r="F9" s="10" t="s">
        <v>2109</v>
      </c>
      <c r="G9" s="2">
        <v>28</v>
      </c>
      <c r="H9" s="6">
        <v>74</v>
      </c>
      <c r="I9" s="6">
        <v>88</v>
      </c>
      <c r="J9" s="6">
        <v>96</v>
      </c>
      <c r="K9" s="6">
        <v>84</v>
      </c>
      <c r="L9" s="6">
        <v>100</v>
      </c>
      <c r="M9" s="6">
        <v>100</v>
      </c>
      <c r="N9" s="6">
        <v>32</v>
      </c>
      <c r="O9" s="1">
        <f t="shared" si="0"/>
        <v>574</v>
      </c>
      <c r="P9" s="14">
        <f t="shared" si="1"/>
        <v>82</v>
      </c>
      <c r="Q9" s="20">
        <f t="shared" si="2"/>
        <v>3</v>
      </c>
    </row>
    <row r="10" spans="1:17" ht="18" customHeight="1">
      <c r="A10" s="19">
        <v>4</v>
      </c>
      <c r="B10" s="2" t="s">
        <v>2219</v>
      </c>
      <c r="C10" s="1">
        <v>311230084</v>
      </c>
      <c r="D10" s="3" t="s">
        <v>2220</v>
      </c>
      <c r="E10" s="1" t="s">
        <v>82</v>
      </c>
      <c r="F10" s="10" t="s">
        <v>2109</v>
      </c>
      <c r="G10" s="2">
        <v>28</v>
      </c>
      <c r="H10" s="6">
        <v>84</v>
      </c>
      <c r="I10" s="6">
        <v>82</v>
      </c>
      <c r="J10" s="6">
        <v>76</v>
      </c>
      <c r="K10" s="6">
        <v>47</v>
      </c>
      <c r="L10" s="6">
        <v>90</v>
      </c>
      <c r="M10" s="6">
        <v>80</v>
      </c>
      <c r="N10" s="6">
        <v>70</v>
      </c>
      <c r="O10" s="1">
        <f t="shared" si="0"/>
        <v>529</v>
      </c>
      <c r="P10" s="14">
        <f t="shared" si="1"/>
        <v>75.571428571428569</v>
      </c>
      <c r="Q10" s="20">
        <f t="shared" si="2"/>
        <v>4</v>
      </c>
    </row>
    <row r="11" spans="1:17" ht="18" customHeight="1">
      <c r="A11" s="19">
        <v>5</v>
      </c>
      <c r="B11" s="2" t="s">
        <v>2152</v>
      </c>
      <c r="C11" s="1" t="s">
        <v>2153</v>
      </c>
      <c r="D11" s="3" t="s">
        <v>2154</v>
      </c>
      <c r="E11" s="1" t="s">
        <v>58</v>
      </c>
      <c r="F11" s="10" t="s">
        <v>2109</v>
      </c>
      <c r="G11" s="2">
        <v>27</v>
      </c>
      <c r="H11" s="6">
        <v>78</v>
      </c>
      <c r="I11" s="6">
        <v>80</v>
      </c>
      <c r="J11" s="6">
        <v>88</v>
      </c>
      <c r="K11" s="6">
        <v>41</v>
      </c>
      <c r="L11" s="6">
        <v>86</v>
      </c>
      <c r="M11" s="6">
        <v>100</v>
      </c>
      <c r="N11" s="6">
        <v>51</v>
      </c>
      <c r="O11" s="1">
        <f t="shared" si="0"/>
        <v>524</v>
      </c>
      <c r="P11" s="14">
        <f t="shared" si="1"/>
        <v>74.857142857142861</v>
      </c>
      <c r="Q11" s="20">
        <f t="shared" si="2"/>
        <v>5</v>
      </c>
    </row>
    <row r="12" spans="1:17" ht="18" customHeight="1">
      <c r="A12" s="19">
        <v>6</v>
      </c>
      <c r="B12" s="2" t="s">
        <v>2227</v>
      </c>
      <c r="C12" s="1" t="s">
        <v>2228</v>
      </c>
      <c r="D12" s="3" t="s">
        <v>2229</v>
      </c>
      <c r="E12" s="1" t="s">
        <v>66</v>
      </c>
      <c r="F12" s="10" t="s">
        <v>2109</v>
      </c>
      <c r="G12" s="2">
        <v>28</v>
      </c>
      <c r="H12" s="6">
        <v>48</v>
      </c>
      <c r="I12" s="6">
        <v>58</v>
      </c>
      <c r="J12" s="6">
        <v>88</v>
      </c>
      <c r="K12" s="6">
        <v>62</v>
      </c>
      <c r="L12" s="6">
        <v>71</v>
      </c>
      <c r="M12" s="6">
        <v>96</v>
      </c>
      <c r="N12" s="6">
        <v>92</v>
      </c>
      <c r="O12" s="1">
        <f t="shared" si="0"/>
        <v>515</v>
      </c>
      <c r="P12" s="14">
        <f t="shared" si="1"/>
        <v>73.571428571428569</v>
      </c>
      <c r="Q12" s="20">
        <f t="shared" si="2"/>
        <v>6</v>
      </c>
    </row>
    <row r="13" spans="1:17" ht="18" customHeight="1">
      <c r="A13" s="19">
        <v>7</v>
      </c>
      <c r="B13" s="2" t="s">
        <v>2172</v>
      </c>
      <c r="C13" s="1" t="s">
        <v>2173</v>
      </c>
      <c r="D13" s="3" t="s">
        <v>2174</v>
      </c>
      <c r="E13" s="1" t="s">
        <v>73</v>
      </c>
      <c r="F13" s="10" t="s">
        <v>2109</v>
      </c>
      <c r="G13" s="2">
        <v>27</v>
      </c>
      <c r="H13" s="6">
        <v>96</v>
      </c>
      <c r="I13" s="6">
        <v>42</v>
      </c>
      <c r="J13" s="6">
        <v>88</v>
      </c>
      <c r="K13" s="6">
        <v>56</v>
      </c>
      <c r="L13" s="6">
        <v>92</v>
      </c>
      <c r="M13" s="6">
        <v>62</v>
      </c>
      <c r="N13" s="6">
        <v>51</v>
      </c>
      <c r="O13" s="1">
        <f t="shared" si="0"/>
        <v>487</v>
      </c>
      <c r="P13" s="14">
        <f t="shared" si="1"/>
        <v>69.571428571428569</v>
      </c>
      <c r="Q13" s="20">
        <f t="shared" si="2"/>
        <v>7</v>
      </c>
    </row>
    <row r="14" spans="1:17" ht="18" customHeight="1">
      <c r="A14" s="19">
        <v>8</v>
      </c>
      <c r="B14" s="2" t="s">
        <v>2201</v>
      </c>
      <c r="C14" s="1" t="s">
        <v>2202</v>
      </c>
      <c r="D14" s="3" t="s">
        <v>2203</v>
      </c>
      <c r="E14" s="1" t="s">
        <v>78</v>
      </c>
      <c r="F14" s="10" t="s">
        <v>2109</v>
      </c>
      <c r="G14" s="2">
        <v>28</v>
      </c>
      <c r="H14" s="6">
        <v>65</v>
      </c>
      <c r="I14" s="6">
        <v>38</v>
      </c>
      <c r="J14" s="6">
        <v>80</v>
      </c>
      <c r="K14" s="6">
        <v>82</v>
      </c>
      <c r="L14" s="6">
        <v>92</v>
      </c>
      <c r="M14" s="6">
        <v>86</v>
      </c>
      <c r="N14" s="6">
        <v>39</v>
      </c>
      <c r="O14" s="1">
        <f t="shared" si="0"/>
        <v>482</v>
      </c>
      <c r="P14" s="14">
        <f t="shared" si="1"/>
        <v>68.857142857142861</v>
      </c>
      <c r="Q14" s="20">
        <f t="shared" si="2"/>
        <v>8</v>
      </c>
    </row>
    <row r="15" spans="1:17" ht="18" customHeight="1">
      <c r="A15" s="19">
        <v>9</v>
      </c>
      <c r="B15" s="2" t="s">
        <v>2224</v>
      </c>
      <c r="C15" s="1" t="s">
        <v>2225</v>
      </c>
      <c r="D15" s="3" t="s">
        <v>2226</v>
      </c>
      <c r="E15" s="1" t="s">
        <v>66</v>
      </c>
      <c r="F15" s="10" t="s">
        <v>2109</v>
      </c>
      <c r="G15" s="2">
        <v>28</v>
      </c>
      <c r="H15" s="6">
        <v>72</v>
      </c>
      <c r="I15" s="6">
        <v>73</v>
      </c>
      <c r="J15" s="6">
        <v>80</v>
      </c>
      <c r="K15" s="6">
        <v>76</v>
      </c>
      <c r="L15" s="6">
        <v>52</v>
      </c>
      <c r="M15" s="6">
        <v>58</v>
      </c>
      <c r="N15" s="6">
        <v>62</v>
      </c>
      <c r="O15" s="1">
        <f t="shared" si="0"/>
        <v>473</v>
      </c>
      <c r="P15" s="14">
        <f t="shared" si="1"/>
        <v>67.571428571428569</v>
      </c>
      <c r="Q15" s="20">
        <f t="shared" si="2"/>
        <v>9</v>
      </c>
    </row>
    <row r="16" spans="1:17" ht="18" customHeight="1">
      <c r="A16" s="19">
        <v>10</v>
      </c>
      <c r="B16" s="2" t="s">
        <v>2244</v>
      </c>
      <c r="C16" s="1">
        <v>311260310</v>
      </c>
      <c r="D16" s="3" t="s">
        <v>2245</v>
      </c>
      <c r="E16" s="1" t="s">
        <v>69</v>
      </c>
      <c r="F16" s="10" t="s">
        <v>2109</v>
      </c>
      <c r="G16" s="2">
        <v>28</v>
      </c>
      <c r="H16" s="6">
        <v>78</v>
      </c>
      <c r="I16" s="6">
        <v>68</v>
      </c>
      <c r="J16" s="6">
        <v>72</v>
      </c>
      <c r="K16" s="6">
        <v>41</v>
      </c>
      <c r="L16" s="6">
        <v>76</v>
      </c>
      <c r="M16" s="6">
        <v>84</v>
      </c>
      <c r="N16" s="6">
        <v>47</v>
      </c>
      <c r="O16" s="1">
        <f t="shared" si="0"/>
        <v>466</v>
      </c>
      <c r="P16" s="14">
        <f t="shared" si="1"/>
        <v>66.571428571428569</v>
      </c>
      <c r="Q16" s="20">
        <f t="shared" si="2"/>
        <v>10</v>
      </c>
    </row>
    <row r="17" spans="1:17" ht="18" customHeight="1">
      <c r="A17" s="19">
        <v>11</v>
      </c>
      <c r="B17" s="2" t="s">
        <v>2213</v>
      </c>
      <c r="C17" s="1" t="s">
        <v>2214</v>
      </c>
      <c r="D17" s="3" t="s">
        <v>2215</v>
      </c>
      <c r="E17" s="1" t="s">
        <v>65</v>
      </c>
      <c r="F17" s="10" t="s">
        <v>2109</v>
      </c>
      <c r="G17" s="2">
        <v>28</v>
      </c>
      <c r="H17" s="6">
        <v>90</v>
      </c>
      <c r="I17" s="6">
        <v>52</v>
      </c>
      <c r="J17" s="6">
        <v>48</v>
      </c>
      <c r="K17" s="6">
        <v>58</v>
      </c>
      <c r="L17" s="6">
        <v>100</v>
      </c>
      <c r="M17" s="6">
        <v>68</v>
      </c>
      <c r="N17" s="6">
        <v>35</v>
      </c>
      <c r="O17" s="1">
        <f t="shared" si="0"/>
        <v>451</v>
      </c>
      <c r="P17" s="14">
        <f t="shared" si="1"/>
        <v>64.428571428571431</v>
      </c>
      <c r="Q17" s="20">
        <f t="shared" si="2"/>
        <v>11</v>
      </c>
    </row>
    <row r="18" spans="1:17" ht="18" customHeight="1">
      <c r="A18" s="19">
        <v>12</v>
      </c>
      <c r="B18" s="2" t="s">
        <v>2255</v>
      </c>
      <c r="C18" s="1">
        <v>311260931</v>
      </c>
      <c r="D18" s="3" t="s">
        <v>2256</v>
      </c>
      <c r="E18" s="1" t="s">
        <v>67</v>
      </c>
      <c r="F18" s="10" t="s">
        <v>2109</v>
      </c>
      <c r="G18" s="2">
        <v>29</v>
      </c>
      <c r="H18" s="6">
        <v>84</v>
      </c>
      <c r="I18" s="6">
        <v>52</v>
      </c>
      <c r="J18" s="6">
        <v>70</v>
      </c>
      <c r="K18" s="6">
        <v>42</v>
      </c>
      <c r="L18" s="6">
        <v>88</v>
      </c>
      <c r="M18" s="6">
        <v>59</v>
      </c>
      <c r="N18" s="6">
        <v>54</v>
      </c>
      <c r="O18" s="1">
        <f t="shared" si="0"/>
        <v>449</v>
      </c>
      <c r="P18" s="14">
        <f t="shared" si="1"/>
        <v>64.142857142857139</v>
      </c>
      <c r="Q18" s="20">
        <f t="shared" si="2"/>
        <v>12</v>
      </c>
    </row>
    <row r="19" spans="1:17" ht="18" customHeight="1">
      <c r="A19" s="19">
        <v>13</v>
      </c>
      <c r="B19" s="2" t="s">
        <v>2161</v>
      </c>
      <c r="C19" s="1">
        <v>311240378</v>
      </c>
      <c r="D19" s="3" t="s">
        <v>2162</v>
      </c>
      <c r="E19" s="1" t="s">
        <v>60</v>
      </c>
      <c r="F19" s="10" t="s">
        <v>2109</v>
      </c>
      <c r="G19" s="2">
        <v>27</v>
      </c>
      <c r="H19" s="6">
        <v>98</v>
      </c>
      <c r="I19" s="6">
        <v>52</v>
      </c>
      <c r="J19" s="6">
        <v>60</v>
      </c>
      <c r="K19" s="6">
        <v>60</v>
      </c>
      <c r="L19" s="6">
        <v>80</v>
      </c>
      <c r="M19" s="6">
        <v>54</v>
      </c>
      <c r="N19" s="6">
        <v>35</v>
      </c>
      <c r="O19" s="1">
        <f t="shared" si="0"/>
        <v>439</v>
      </c>
      <c r="P19" s="14">
        <f t="shared" si="1"/>
        <v>62.714285714285715</v>
      </c>
      <c r="Q19" s="20">
        <f t="shared" si="2"/>
        <v>13</v>
      </c>
    </row>
    <row r="20" spans="1:17" ht="18" customHeight="1">
      <c r="A20" s="19">
        <v>14</v>
      </c>
      <c r="B20" s="2" t="s">
        <v>2140</v>
      </c>
      <c r="C20" s="1" t="s">
        <v>2141</v>
      </c>
      <c r="D20" s="3" t="s">
        <v>2142</v>
      </c>
      <c r="E20" s="1" t="s">
        <v>57</v>
      </c>
      <c r="F20" s="10" t="s">
        <v>2109</v>
      </c>
      <c r="G20" s="2">
        <v>27</v>
      </c>
      <c r="H20" s="6">
        <v>80</v>
      </c>
      <c r="I20" s="6">
        <v>32</v>
      </c>
      <c r="J20" s="6">
        <v>76</v>
      </c>
      <c r="K20" s="6">
        <v>70</v>
      </c>
      <c r="L20" s="6">
        <v>43</v>
      </c>
      <c r="M20" s="6">
        <v>62</v>
      </c>
      <c r="N20" s="6">
        <v>73</v>
      </c>
      <c r="O20" s="1">
        <f t="shared" si="0"/>
        <v>436</v>
      </c>
      <c r="P20" s="14">
        <f t="shared" si="1"/>
        <v>62.285714285714285</v>
      </c>
      <c r="Q20" s="20">
        <f t="shared" si="2"/>
        <v>14</v>
      </c>
    </row>
    <row r="21" spans="1:17" ht="18" customHeight="1">
      <c r="A21" s="19">
        <v>15</v>
      </c>
      <c r="B21" s="2" t="s">
        <v>2175</v>
      </c>
      <c r="C21" s="1" t="s">
        <v>2176</v>
      </c>
      <c r="D21" s="3" t="s">
        <v>2177</v>
      </c>
      <c r="E21" s="1" t="s">
        <v>73</v>
      </c>
      <c r="F21" s="10" t="s">
        <v>2109</v>
      </c>
      <c r="G21" s="2">
        <v>27</v>
      </c>
      <c r="H21" s="6">
        <v>82</v>
      </c>
      <c r="I21" s="6">
        <v>57</v>
      </c>
      <c r="J21" s="6">
        <v>57</v>
      </c>
      <c r="K21" s="6">
        <v>46</v>
      </c>
      <c r="L21" s="6">
        <v>74</v>
      </c>
      <c r="M21" s="6">
        <v>84</v>
      </c>
      <c r="N21" s="6">
        <v>32</v>
      </c>
      <c r="O21" s="1">
        <f t="shared" si="0"/>
        <v>432</v>
      </c>
      <c r="P21" s="14">
        <f t="shared" si="1"/>
        <v>61.714285714285715</v>
      </c>
      <c r="Q21" s="20">
        <f t="shared" si="2"/>
        <v>15</v>
      </c>
    </row>
    <row r="22" spans="1:17" ht="18" customHeight="1">
      <c r="A22" s="19">
        <v>16</v>
      </c>
      <c r="B22" s="2" t="s">
        <v>2210</v>
      </c>
      <c r="C22" s="1" t="s">
        <v>2211</v>
      </c>
      <c r="D22" s="3" t="s">
        <v>2212</v>
      </c>
      <c r="E22" s="1" t="s">
        <v>2075</v>
      </c>
      <c r="F22" s="10" t="s">
        <v>2109</v>
      </c>
      <c r="G22" s="2">
        <v>28</v>
      </c>
      <c r="H22" s="6">
        <v>78</v>
      </c>
      <c r="I22" s="6">
        <v>55</v>
      </c>
      <c r="J22" s="6">
        <v>38</v>
      </c>
      <c r="K22" s="6">
        <v>64</v>
      </c>
      <c r="L22" s="6">
        <v>86</v>
      </c>
      <c r="M22" s="6">
        <v>60</v>
      </c>
      <c r="N22" s="6">
        <v>43</v>
      </c>
      <c r="O22" s="1">
        <f t="shared" si="0"/>
        <v>424</v>
      </c>
      <c r="P22" s="14">
        <f t="shared" si="1"/>
        <v>60.571428571428569</v>
      </c>
      <c r="Q22" s="20">
        <f t="shared" si="2"/>
        <v>16</v>
      </c>
    </row>
    <row r="23" spans="1:17" ht="18" customHeight="1">
      <c r="A23" s="19">
        <v>17</v>
      </c>
      <c r="B23" s="2" t="s">
        <v>2230</v>
      </c>
      <c r="C23" s="1" t="s">
        <v>2231</v>
      </c>
      <c r="D23" s="3" t="s">
        <v>2232</v>
      </c>
      <c r="E23" s="1" t="s">
        <v>353</v>
      </c>
      <c r="F23" s="10" t="s">
        <v>2109</v>
      </c>
      <c r="G23" s="2">
        <v>28</v>
      </c>
      <c r="H23" s="6">
        <v>72</v>
      </c>
      <c r="I23" s="6">
        <v>82</v>
      </c>
      <c r="J23" s="6">
        <v>70</v>
      </c>
      <c r="K23" s="6">
        <v>38</v>
      </c>
      <c r="L23" s="6">
        <v>64</v>
      </c>
      <c r="M23" s="6">
        <v>32</v>
      </c>
      <c r="N23" s="6">
        <v>66</v>
      </c>
      <c r="O23" s="1">
        <f t="shared" si="0"/>
        <v>424</v>
      </c>
      <c r="P23" s="14">
        <f t="shared" si="1"/>
        <v>60.571428571428569</v>
      </c>
      <c r="Q23" s="20">
        <f t="shared" si="2"/>
        <v>16</v>
      </c>
    </row>
    <row r="24" spans="1:17" ht="18" customHeight="1">
      <c r="A24" s="19">
        <v>18</v>
      </c>
      <c r="B24" s="2" t="s">
        <v>2207</v>
      </c>
      <c r="C24" s="1" t="s">
        <v>2208</v>
      </c>
      <c r="D24" s="3" t="s">
        <v>2209</v>
      </c>
      <c r="E24" s="1" t="s">
        <v>88</v>
      </c>
      <c r="F24" s="10" t="s">
        <v>2109</v>
      </c>
      <c r="G24" s="2">
        <v>28</v>
      </c>
      <c r="H24" s="6">
        <v>59</v>
      </c>
      <c r="I24" s="6">
        <v>73</v>
      </c>
      <c r="J24" s="6">
        <v>92</v>
      </c>
      <c r="K24" s="6">
        <v>42</v>
      </c>
      <c r="L24" s="6">
        <v>53</v>
      </c>
      <c r="M24" s="6">
        <v>57</v>
      </c>
      <c r="N24" s="6">
        <v>47</v>
      </c>
      <c r="O24" s="1">
        <f t="shared" si="0"/>
        <v>423</v>
      </c>
      <c r="P24" s="14">
        <f t="shared" si="1"/>
        <v>60.428571428571431</v>
      </c>
      <c r="Q24" s="20">
        <f t="shared" si="2"/>
        <v>18</v>
      </c>
    </row>
    <row r="25" spans="1:17" ht="18" customHeight="1">
      <c r="A25" s="19">
        <v>19</v>
      </c>
      <c r="B25" s="2" t="s">
        <v>2122</v>
      </c>
      <c r="C25" s="1" t="s">
        <v>2123</v>
      </c>
      <c r="D25" s="3" t="s">
        <v>2124</v>
      </c>
      <c r="E25" s="1" t="s">
        <v>69</v>
      </c>
      <c r="F25" s="10" t="s">
        <v>2109</v>
      </c>
      <c r="G25" s="2">
        <v>26</v>
      </c>
      <c r="H25" s="6">
        <v>88</v>
      </c>
      <c r="I25" s="6">
        <v>48</v>
      </c>
      <c r="J25" s="6">
        <v>21</v>
      </c>
      <c r="K25" s="6">
        <v>50</v>
      </c>
      <c r="L25" s="6">
        <v>66</v>
      </c>
      <c r="M25" s="6">
        <v>68</v>
      </c>
      <c r="N25" s="6">
        <v>54</v>
      </c>
      <c r="O25" s="1">
        <f t="shared" si="0"/>
        <v>395</v>
      </c>
      <c r="P25" s="14">
        <f t="shared" si="1"/>
        <v>56.428571428571431</v>
      </c>
      <c r="Q25" s="20">
        <f t="shared" si="2"/>
        <v>19</v>
      </c>
    </row>
    <row r="26" spans="1:17" ht="18" customHeight="1">
      <c r="A26" s="19">
        <v>20</v>
      </c>
      <c r="B26" s="2" t="s">
        <v>2253</v>
      </c>
      <c r="C26" s="1">
        <v>311260930</v>
      </c>
      <c r="D26" s="3" t="s">
        <v>2254</v>
      </c>
      <c r="E26" s="1" t="s">
        <v>66</v>
      </c>
      <c r="F26" s="10" t="s">
        <v>2109</v>
      </c>
      <c r="G26" s="2">
        <v>29</v>
      </c>
      <c r="H26" s="6">
        <v>80</v>
      </c>
      <c r="I26" s="6">
        <v>39</v>
      </c>
      <c r="J26" s="6">
        <v>44</v>
      </c>
      <c r="K26" s="6">
        <v>53</v>
      </c>
      <c r="L26" s="6">
        <v>92</v>
      </c>
      <c r="M26" s="6">
        <v>64</v>
      </c>
      <c r="N26" s="6">
        <v>16</v>
      </c>
      <c r="O26" s="1">
        <f t="shared" si="0"/>
        <v>388</v>
      </c>
      <c r="P26" s="14">
        <f t="shared" si="1"/>
        <v>55.428571428571431</v>
      </c>
      <c r="Q26" s="20">
        <f t="shared" si="2"/>
        <v>20</v>
      </c>
    </row>
    <row r="27" spans="1:17" ht="18" customHeight="1">
      <c r="A27" s="19">
        <v>21</v>
      </c>
      <c r="B27" s="2" t="s">
        <v>2190</v>
      </c>
      <c r="C27" s="1" t="s">
        <v>2191</v>
      </c>
      <c r="D27" s="3" t="s">
        <v>2192</v>
      </c>
      <c r="E27" s="1" t="s">
        <v>74</v>
      </c>
      <c r="F27" s="10" t="s">
        <v>2109</v>
      </c>
      <c r="G27" s="2">
        <v>28</v>
      </c>
      <c r="H27" s="6">
        <v>92</v>
      </c>
      <c r="I27" s="6">
        <v>38</v>
      </c>
      <c r="J27" s="6">
        <v>76</v>
      </c>
      <c r="K27" s="6">
        <v>43</v>
      </c>
      <c r="L27" s="6">
        <v>52</v>
      </c>
      <c r="M27" s="6">
        <v>46</v>
      </c>
      <c r="N27" s="6">
        <v>32</v>
      </c>
      <c r="O27" s="1">
        <f t="shared" si="0"/>
        <v>379</v>
      </c>
      <c r="P27" s="14">
        <f t="shared" si="1"/>
        <v>54.142857142857146</v>
      </c>
      <c r="Q27" s="20">
        <f t="shared" si="2"/>
        <v>21</v>
      </c>
    </row>
    <row r="28" spans="1:17" ht="18" customHeight="1">
      <c r="A28" s="19">
        <v>22</v>
      </c>
      <c r="B28" s="2" t="s">
        <v>2198</v>
      </c>
      <c r="C28" s="1" t="s">
        <v>2199</v>
      </c>
      <c r="D28" s="3" t="s">
        <v>2200</v>
      </c>
      <c r="E28" s="1" t="s">
        <v>74</v>
      </c>
      <c r="F28" s="10" t="s">
        <v>2109</v>
      </c>
      <c r="G28" s="2">
        <v>28</v>
      </c>
      <c r="H28" s="6">
        <v>92</v>
      </c>
      <c r="I28" s="6">
        <v>18</v>
      </c>
      <c r="J28" s="6">
        <v>72</v>
      </c>
      <c r="K28" s="6">
        <v>80</v>
      </c>
      <c r="L28" s="6">
        <v>43</v>
      </c>
      <c r="M28" s="6">
        <v>48</v>
      </c>
      <c r="N28" s="6">
        <v>24</v>
      </c>
      <c r="O28" s="1">
        <f t="shared" si="0"/>
        <v>377</v>
      </c>
      <c r="P28" s="14">
        <f t="shared" si="1"/>
        <v>53.857142857142854</v>
      </c>
      <c r="Q28" s="20">
        <f t="shared" si="2"/>
        <v>22</v>
      </c>
    </row>
    <row r="29" spans="1:17" ht="18" customHeight="1">
      <c r="A29" s="19">
        <v>23</v>
      </c>
      <c r="B29" s="2" t="s">
        <v>2155</v>
      </c>
      <c r="C29" s="1" t="s">
        <v>2156</v>
      </c>
      <c r="D29" s="3" t="s">
        <v>2157</v>
      </c>
      <c r="E29" s="1" t="s">
        <v>59</v>
      </c>
      <c r="F29" s="10" t="s">
        <v>2109</v>
      </c>
      <c r="G29" s="2">
        <v>27</v>
      </c>
      <c r="H29" s="6">
        <v>78</v>
      </c>
      <c r="I29" s="6">
        <v>43</v>
      </c>
      <c r="J29" s="6">
        <v>40</v>
      </c>
      <c r="K29" s="6">
        <v>48</v>
      </c>
      <c r="L29" s="6">
        <v>52</v>
      </c>
      <c r="M29" s="6">
        <v>51</v>
      </c>
      <c r="N29" s="6">
        <v>47</v>
      </c>
      <c r="O29" s="1">
        <f t="shared" si="0"/>
        <v>359</v>
      </c>
      <c r="P29" s="14">
        <f t="shared" si="1"/>
        <v>51.285714285714285</v>
      </c>
      <c r="Q29" s="20">
        <f t="shared" si="2"/>
        <v>23</v>
      </c>
    </row>
    <row r="30" spans="1:17" ht="18" customHeight="1">
      <c r="A30" s="19">
        <v>24</v>
      </c>
      <c r="B30" s="2" t="s">
        <v>2137</v>
      </c>
      <c r="C30" s="1" t="s">
        <v>2138</v>
      </c>
      <c r="D30" s="3" t="s">
        <v>2139</v>
      </c>
      <c r="E30" s="1" t="s">
        <v>57</v>
      </c>
      <c r="F30" s="10" t="s">
        <v>2109</v>
      </c>
      <c r="G30" s="2">
        <v>27</v>
      </c>
      <c r="H30" s="6">
        <v>72</v>
      </c>
      <c r="I30" s="6">
        <v>24</v>
      </c>
      <c r="J30" s="6">
        <v>74</v>
      </c>
      <c r="K30" s="6">
        <v>46</v>
      </c>
      <c r="L30" s="6">
        <v>52</v>
      </c>
      <c r="M30" s="6">
        <v>53</v>
      </c>
      <c r="N30" s="6">
        <v>35</v>
      </c>
      <c r="O30" s="1">
        <f t="shared" si="0"/>
        <v>356</v>
      </c>
      <c r="P30" s="14">
        <f t="shared" si="1"/>
        <v>50.857142857142854</v>
      </c>
      <c r="Q30" s="20">
        <f t="shared" si="2"/>
        <v>24</v>
      </c>
    </row>
    <row r="31" spans="1:17" ht="18" customHeight="1">
      <c r="A31" s="19">
        <v>25</v>
      </c>
      <c r="B31" s="2" t="s">
        <v>2221</v>
      </c>
      <c r="C31" s="1" t="s">
        <v>2222</v>
      </c>
      <c r="D31" s="3" t="s">
        <v>2223</v>
      </c>
      <c r="E31" s="1" t="s">
        <v>66</v>
      </c>
      <c r="F31" s="10" t="s">
        <v>2109</v>
      </c>
      <c r="G31" s="2">
        <v>28</v>
      </c>
      <c r="H31" s="6">
        <v>46</v>
      </c>
      <c r="I31" s="6">
        <v>74</v>
      </c>
      <c r="J31" s="6">
        <v>31</v>
      </c>
      <c r="K31" s="6">
        <v>40</v>
      </c>
      <c r="L31" s="6">
        <v>68</v>
      </c>
      <c r="M31" s="6">
        <v>52</v>
      </c>
      <c r="N31" s="6">
        <v>43</v>
      </c>
      <c r="O31" s="1">
        <f t="shared" si="0"/>
        <v>354</v>
      </c>
      <c r="P31" s="14">
        <f t="shared" si="1"/>
        <v>50.571428571428569</v>
      </c>
      <c r="Q31" s="20">
        <f t="shared" si="2"/>
        <v>25</v>
      </c>
    </row>
    <row r="32" spans="1:17" ht="18" customHeight="1">
      <c r="A32" s="19">
        <v>26</v>
      </c>
      <c r="B32" s="2" t="s">
        <v>2115</v>
      </c>
      <c r="C32" s="1">
        <v>311240393</v>
      </c>
      <c r="D32" s="3" t="s">
        <v>2116</v>
      </c>
      <c r="E32" s="1" t="s">
        <v>353</v>
      </c>
      <c r="F32" s="10" t="s">
        <v>2109</v>
      </c>
      <c r="G32" s="2">
        <v>26</v>
      </c>
      <c r="H32" s="6">
        <v>61</v>
      </c>
      <c r="I32" s="6">
        <v>61</v>
      </c>
      <c r="J32" s="6">
        <v>58</v>
      </c>
      <c r="K32" s="6">
        <v>53</v>
      </c>
      <c r="L32" s="6">
        <v>50</v>
      </c>
      <c r="M32" s="6">
        <v>35</v>
      </c>
      <c r="N32" s="6">
        <v>28</v>
      </c>
      <c r="O32" s="1">
        <f t="shared" si="0"/>
        <v>346</v>
      </c>
      <c r="P32" s="14">
        <f t="shared" si="1"/>
        <v>49.428571428571431</v>
      </c>
      <c r="Q32" s="20">
        <f t="shared" si="2"/>
        <v>26</v>
      </c>
    </row>
    <row r="33" spans="1:17" ht="18" customHeight="1">
      <c r="A33" s="19">
        <v>27</v>
      </c>
      <c r="B33" s="2" t="s">
        <v>2257</v>
      </c>
      <c r="C33" s="1">
        <v>311260961</v>
      </c>
      <c r="D33" s="3" t="s">
        <v>2258</v>
      </c>
      <c r="E33" s="1" t="s">
        <v>67</v>
      </c>
      <c r="F33" s="10" t="s">
        <v>2109</v>
      </c>
      <c r="G33" s="2">
        <v>29</v>
      </c>
      <c r="H33" s="6">
        <v>49</v>
      </c>
      <c r="I33" s="6">
        <v>32</v>
      </c>
      <c r="J33" s="6">
        <v>56</v>
      </c>
      <c r="K33" s="6">
        <v>76</v>
      </c>
      <c r="L33" s="6">
        <v>26</v>
      </c>
      <c r="M33" s="6">
        <v>50</v>
      </c>
      <c r="N33" s="6">
        <v>54</v>
      </c>
      <c r="O33" s="1">
        <f t="shared" si="0"/>
        <v>343</v>
      </c>
      <c r="P33" s="14">
        <f t="shared" si="1"/>
        <v>49</v>
      </c>
      <c r="Q33" s="20">
        <f t="shared" si="2"/>
        <v>27</v>
      </c>
    </row>
    <row r="34" spans="1:17" ht="18" customHeight="1">
      <c r="A34" s="19">
        <v>28</v>
      </c>
      <c r="B34" s="2" t="s">
        <v>2181</v>
      </c>
      <c r="C34" s="1" t="s">
        <v>2182</v>
      </c>
      <c r="D34" s="3" t="s">
        <v>2183</v>
      </c>
      <c r="E34" s="1" t="s">
        <v>84</v>
      </c>
      <c r="F34" s="10" t="s">
        <v>2109</v>
      </c>
      <c r="G34" s="2">
        <v>27</v>
      </c>
      <c r="H34" s="6">
        <v>72</v>
      </c>
      <c r="I34" s="6">
        <v>22</v>
      </c>
      <c r="J34" s="6">
        <v>70</v>
      </c>
      <c r="K34" s="6">
        <v>45</v>
      </c>
      <c r="L34" s="6">
        <v>30</v>
      </c>
      <c r="M34" s="6">
        <v>56</v>
      </c>
      <c r="N34" s="6">
        <v>39</v>
      </c>
      <c r="O34" s="1">
        <f t="shared" si="0"/>
        <v>334</v>
      </c>
      <c r="P34" s="14">
        <f t="shared" si="1"/>
        <v>47.714285714285715</v>
      </c>
      <c r="Q34" s="20">
        <f t="shared" si="2"/>
        <v>28</v>
      </c>
    </row>
    <row r="35" spans="1:17" ht="18" customHeight="1">
      <c r="A35" s="19">
        <v>29</v>
      </c>
      <c r="B35" s="2" t="s">
        <v>2196</v>
      </c>
      <c r="C35" s="1">
        <v>311240389</v>
      </c>
      <c r="D35" s="3" t="s">
        <v>2197</v>
      </c>
      <c r="E35" s="1" t="s">
        <v>74</v>
      </c>
      <c r="F35" s="10" t="s">
        <v>2109</v>
      </c>
      <c r="G35" s="2">
        <v>28</v>
      </c>
      <c r="H35" s="6">
        <v>80</v>
      </c>
      <c r="I35" s="6">
        <v>42</v>
      </c>
      <c r="J35" s="6">
        <v>56</v>
      </c>
      <c r="K35" s="6">
        <v>61</v>
      </c>
      <c r="L35" s="6">
        <v>33</v>
      </c>
      <c r="M35" s="6">
        <v>28</v>
      </c>
      <c r="N35" s="6">
        <v>28</v>
      </c>
      <c r="O35" s="1">
        <f t="shared" si="0"/>
        <v>328</v>
      </c>
      <c r="P35" s="14">
        <f t="shared" si="1"/>
        <v>46.857142857142854</v>
      </c>
      <c r="Q35" s="20">
        <f t="shared" si="2"/>
        <v>29</v>
      </c>
    </row>
    <row r="36" spans="1:17" ht="18" customHeight="1">
      <c r="A36" s="19">
        <v>30</v>
      </c>
      <c r="B36" s="2" t="s">
        <v>2204</v>
      </c>
      <c r="C36" s="1" t="s">
        <v>2205</v>
      </c>
      <c r="D36" s="3" t="s">
        <v>2206</v>
      </c>
      <c r="E36" s="1" t="s">
        <v>90</v>
      </c>
      <c r="F36" s="10" t="s">
        <v>2109</v>
      </c>
      <c r="G36" s="2">
        <v>28</v>
      </c>
      <c r="H36" s="6">
        <v>64</v>
      </c>
      <c r="I36" s="6">
        <v>69</v>
      </c>
      <c r="J36" s="6">
        <v>34</v>
      </c>
      <c r="K36" s="6">
        <v>38</v>
      </c>
      <c r="L36" s="6">
        <v>38</v>
      </c>
      <c r="M36" s="6">
        <v>36</v>
      </c>
      <c r="N36" s="6">
        <v>47</v>
      </c>
      <c r="O36" s="1">
        <f t="shared" si="0"/>
        <v>326</v>
      </c>
      <c r="P36" s="14">
        <f t="shared" si="1"/>
        <v>46.571428571428569</v>
      </c>
      <c r="Q36" s="20">
        <f t="shared" si="2"/>
        <v>30</v>
      </c>
    </row>
    <row r="37" spans="1:17" ht="18" customHeight="1">
      <c r="A37" s="19">
        <v>31</v>
      </c>
      <c r="B37" s="2" t="s">
        <v>2169</v>
      </c>
      <c r="C37" s="1" t="s">
        <v>2170</v>
      </c>
      <c r="D37" s="3" t="s">
        <v>2171</v>
      </c>
      <c r="E37" s="1" t="s">
        <v>80</v>
      </c>
      <c r="F37" s="10" t="s">
        <v>2109</v>
      </c>
      <c r="G37" s="2">
        <v>27</v>
      </c>
      <c r="H37" s="6">
        <v>59</v>
      </c>
      <c r="I37" s="6">
        <v>41</v>
      </c>
      <c r="J37" s="6">
        <v>60</v>
      </c>
      <c r="K37" s="6">
        <v>37</v>
      </c>
      <c r="L37" s="6">
        <v>52</v>
      </c>
      <c r="M37" s="6">
        <v>54</v>
      </c>
      <c r="N37" s="6">
        <v>13</v>
      </c>
      <c r="O37" s="1">
        <f t="shared" si="0"/>
        <v>316</v>
      </c>
      <c r="P37" s="14">
        <f t="shared" si="1"/>
        <v>45.142857142857146</v>
      </c>
      <c r="Q37" s="20">
        <f t="shared" si="2"/>
        <v>31</v>
      </c>
    </row>
    <row r="38" spans="1:17" ht="18" customHeight="1">
      <c r="A38" s="19">
        <v>32</v>
      </c>
      <c r="B38" s="2" t="s">
        <v>2112</v>
      </c>
      <c r="C38" s="1">
        <v>311240385</v>
      </c>
      <c r="D38" s="3" t="s">
        <v>2113</v>
      </c>
      <c r="E38" s="1" t="s">
        <v>2114</v>
      </c>
      <c r="F38" s="10" t="s">
        <v>2109</v>
      </c>
      <c r="G38" s="2">
        <v>26</v>
      </c>
      <c r="H38" s="6">
        <v>50</v>
      </c>
      <c r="I38" s="6">
        <v>37</v>
      </c>
      <c r="J38" s="6">
        <v>52</v>
      </c>
      <c r="K38" s="6">
        <v>30</v>
      </c>
      <c r="L38" s="6">
        <v>21</v>
      </c>
      <c r="M38" s="6">
        <v>48</v>
      </c>
      <c r="N38" s="6">
        <v>70</v>
      </c>
      <c r="O38" s="1">
        <f t="shared" si="0"/>
        <v>308</v>
      </c>
      <c r="P38" s="14">
        <f t="shared" si="1"/>
        <v>44</v>
      </c>
      <c r="Q38" s="20">
        <f t="shared" si="2"/>
        <v>32</v>
      </c>
    </row>
    <row r="39" spans="1:17" ht="18" customHeight="1">
      <c r="A39" s="19">
        <v>33</v>
      </c>
      <c r="B39" s="2" t="s">
        <v>2236</v>
      </c>
      <c r="C39" s="1" t="s">
        <v>2237</v>
      </c>
      <c r="D39" s="3" t="s">
        <v>2238</v>
      </c>
      <c r="E39" s="1" t="s">
        <v>75</v>
      </c>
      <c r="F39" s="10" t="s">
        <v>2109</v>
      </c>
      <c r="G39" s="2">
        <v>28</v>
      </c>
      <c r="H39" s="6">
        <v>74</v>
      </c>
      <c r="I39" s="6">
        <v>21</v>
      </c>
      <c r="J39" s="6">
        <v>52</v>
      </c>
      <c r="K39" s="6">
        <v>35</v>
      </c>
      <c r="L39" s="6">
        <v>30</v>
      </c>
      <c r="M39" s="6">
        <v>66</v>
      </c>
      <c r="N39" s="6">
        <v>28</v>
      </c>
      <c r="O39" s="1">
        <f t="shared" ref="O39:O62" si="3">SUBTOTAL(9,H39:N39)</f>
        <v>306</v>
      </c>
      <c r="P39" s="14">
        <f t="shared" ref="P39:P62" si="4">O39/7</f>
        <v>43.714285714285715</v>
      </c>
      <c r="Q39" s="20">
        <f t="shared" ref="Q39:Q62" si="5">RANK(P39,P$7:P$286,0)</f>
        <v>33</v>
      </c>
    </row>
    <row r="40" spans="1:17" ht="18" customHeight="1">
      <c r="A40" s="19">
        <v>34</v>
      </c>
      <c r="B40" s="2" t="s">
        <v>2252</v>
      </c>
      <c r="C40" s="1">
        <v>311260929</v>
      </c>
      <c r="D40" s="3" t="s">
        <v>89</v>
      </c>
      <c r="E40" s="1" t="s">
        <v>65</v>
      </c>
      <c r="F40" s="10" t="s">
        <v>2109</v>
      </c>
      <c r="G40" s="2">
        <v>29</v>
      </c>
      <c r="H40" s="6">
        <v>80</v>
      </c>
      <c r="I40" s="6">
        <v>44</v>
      </c>
      <c r="J40" s="6">
        <v>43</v>
      </c>
      <c r="K40" s="6">
        <v>28</v>
      </c>
      <c r="L40" s="6">
        <v>30</v>
      </c>
      <c r="M40" s="6">
        <v>32</v>
      </c>
      <c r="N40" s="6">
        <v>43</v>
      </c>
      <c r="O40" s="1">
        <f t="shared" si="3"/>
        <v>300</v>
      </c>
      <c r="P40" s="14">
        <f t="shared" si="4"/>
        <v>42.857142857142854</v>
      </c>
      <c r="Q40" s="20">
        <f t="shared" si="5"/>
        <v>34</v>
      </c>
    </row>
    <row r="41" spans="1:17" ht="18" customHeight="1">
      <c r="A41" s="19">
        <v>35</v>
      </c>
      <c r="B41" s="2" t="s">
        <v>2187</v>
      </c>
      <c r="C41" s="1" t="s">
        <v>2188</v>
      </c>
      <c r="D41" s="3" t="s">
        <v>2189</v>
      </c>
      <c r="E41" s="1" t="s">
        <v>74</v>
      </c>
      <c r="F41" s="10" t="s">
        <v>2109</v>
      </c>
      <c r="G41" s="2">
        <v>28</v>
      </c>
      <c r="H41" s="6">
        <v>68</v>
      </c>
      <c r="I41" s="6">
        <v>23</v>
      </c>
      <c r="J41" s="6">
        <v>27</v>
      </c>
      <c r="K41" s="6">
        <v>35</v>
      </c>
      <c r="L41" s="6">
        <v>35</v>
      </c>
      <c r="M41" s="6">
        <v>40</v>
      </c>
      <c r="N41" s="6">
        <v>70</v>
      </c>
      <c r="O41" s="1">
        <f t="shared" si="3"/>
        <v>298</v>
      </c>
      <c r="P41" s="14">
        <f t="shared" si="4"/>
        <v>42.571428571428569</v>
      </c>
      <c r="Q41" s="20">
        <f t="shared" si="5"/>
        <v>35</v>
      </c>
    </row>
    <row r="42" spans="1:17" ht="18" customHeight="1">
      <c r="A42" s="19">
        <v>36</v>
      </c>
      <c r="B42" s="2" t="s">
        <v>2117</v>
      </c>
      <c r="C42" s="1">
        <v>311240382</v>
      </c>
      <c r="D42" s="3" t="s">
        <v>2118</v>
      </c>
      <c r="E42" s="1" t="s">
        <v>69</v>
      </c>
      <c r="F42" s="10" t="s">
        <v>2109</v>
      </c>
      <c r="G42" s="2">
        <v>26</v>
      </c>
      <c r="H42" s="6">
        <v>66</v>
      </c>
      <c r="I42" s="6">
        <v>28</v>
      </c>
      <c r="J42" s="6">
        <v>39</v>
      </c>
      <c r="K42" s="6">
        <v>18</v>
      </c>
      <c r="L42" s="6">
        <v>30</v>
      </c>
      <c r="M42" s="6">
        <v>61</v>
      </c>
      <c r="N42" s="6">
        <v>51</v>
      </c>
      <c r="O42" s="1">
        <f t="shared" si="3"/>
        <v>293</v>
      </c>
      <c r="P42" s="14">
        <f t="shared" si="4"/>
        <v>41.857142857142854</v>
      </c>
      <c r="Q42" s="20">
        <f t="shared" si="5"/>
        <v>36</v>
      </c>
    </row>
    <row r="43" spans="1:17" ht="18" customHeight="1">
      <c r="A43" s="19">
        <v>37</v>
      </c>
      <c r="B43" s="2" t="s">
        <v>2146</v>
      </c>
      <c r="C43" s="1" t="s">
        <v>2147</v>
      </c>
      <c r="D43" s="3" t="s">
        <v>2148</v>
      </c>
      <c r="E43" s="1" t="s">
        <v>71</v>
      </c>
      <c r="F43" s="10" t="s">
        <v>2109</v>
      </c>
      <c r="G43" s="2">
        <v>27</v>
      </c>
      <c r="H43" s="6">
        <v>62</v>
      </c>
      <c r="I43" s="6">
        <v>23</v>
      </c>
      <c r="J43" s="6">
        <v>66</v>
      </c>
      <c r="K43" s="6">
        <v>30</v>
      </c>
      <c r="L43" s="6">
        <v>30</v>
      </c>
      <c r="M43" s="6">
        <v>44</v>
      </c>
      <c r="N43" s="6">
        <v>28</v>
      </c>
      <c r="O43" s="1">
        <f t="shared" si="3"/>
        <v>283</v>
      </c>
      <c r="P43" s="14">
        <f t="shared" si="4"/>
        <v>40.428571428571431</v>
      </c>
      <c r="Q43" s="20">
        <f t="shared" si="5"/>
        <v>37</v>
      </c>
    </row>
    <row r="44" spans="1:17" ht="18" customHeight="1">
      <c r="A44" s="19">
        <v>38</v>
      </c>
      <c r="B44" s="2" t="s">
        <v>2106</v>
      </c>
      <c r="C44" s="1" t="s">
        <v>2107</v>
      </c>
      <c r="D44" s="3" t="s">
        <v>2108</v>
      </c>
      <c r="E44" s="1" t="s">
        <v>56</v>
      </c>
      <c r="F44" s="10" t="s">
        <v>2109</v>
      </c>
      <c r="G44" s="2">
        <v>26</v>
      </c>
      <c r="H44" s="6">
        <v>58</v>
      </c>
      <c r="I44" s="6">
        <v>15</v>
      </c>
      <c r="J44" s="6">
        <v>29</v>
      </c>
      <c r="K44" s="6">
        <v>66</v>
      </c>
      <c r="L44" s="6">
        <v>22</v>
      </c>
      <c r="M44" s="6">
        <v>48</v>
      </c>
      <c r="N44" s="6">
        <v>32</v>
      </c>
      <c r="O44" s="1">
        <f t="shared" si="3"/>
        <v>270</v>
      </c>
      <c r="P44" s="14">
        <f t="shared" si="4"/>
        <v>38.571428571428569</v>
      </c>
      <c r="Q44" s="20">
        <f t="shared" si="5"/>
        <v>38</v>
      </c>
    </row>
    <row r="45" spans="1:17" ht="18" customHeight="1">
      <c r="A45" s="19">
        <v>39</v>
      </c>
      <c r="B45" s="2" t="s">
        <v>2163</v>
      </c>
      <c r="C45" s="1" t="s">
        <v>2164</v>
      </c>
      <c r="D45" s="3" t="s">
        <v>2165</v>
      </c>
      <c r="E45" s="1" t="s">
        <v>61</v>
      </c>
      <c r="F45" s="10" t="s">
        <v>2109</v>
      </c>
      <c r="G45" s="2">
        <v>27</v>
      </c>
      <c r="H45" s="6">
        <v>50</v>
      </c>
      <c r="I45" s="6">
        <v>39</v>
      </c>
      <c r="J45" s="6">
        <v>32</v>
      </c>
      <c r="K45" s="6">
        <v>27</v>
      </c>
      <c r="L45" s="6">
        <v>32</v>
      </c>
      <c r="M45" s="6">
        <v>34</v>
      </c>
      <c r="N45" s="6">
        <v>51</v>
      </c>
      <c r="O45" s="1">
        <f t="shared" si="3"/>
        <v>265</v>
      </c>
      <c r="P45" s="14">
        <f t="shared" si="4"/>
        <v>37.857142857142854</v>
      </c>
      <c r="Q45" s="20">
        <f t="shared" si="5"/>
        <v>39</v>
      </c>
    </row>
    <row r="46" spans="1:17" ht="18" customHeight="1">
      <c r="A46" s="19">
        <v>40</v>
      </c>
      <c r="B46" s="2" t="s">
        <v>2242</v>
      </c>
      <c r="C46" s="1">
        <v>311241098</v>
      </c>
      <c r="D46" s="3" t="s">
        <v>2243</v>
      </c>
      <c r="E46" s="1" t="s">
        <v>685</v>
      </c>
      <c r="F46" s="10" t="s">
        <v>2109</v>
      </c>
      <c r="G46" s="2">
        <v>28</v>
      </c>
      <c r="H46" s="6">
        <v>72</v>
      </c>
      <c r="I46" s="6">
        <v>18</v>
      </c>
      <c r="J46" s="6">
        <v>34</v>
      </c>
      <c r="K46" s="6">
        <v>26</v>
      </c>
      <c r="L46" s="6">
        <v>66</v>
      </c>
      <c r="M46" s="6">
        <v>23</v>
      </c>
      <c r="N46" s="6">
        <v>24</v>
      </c>
      <c r="O46" s="1">
        <f t="shared" si="3"/>
        <v>263</v>
      </c>
      <c r="P46" s="14">
        <f t="shared" si="4"/>
        <v>37.571428571428569</v>
      </c>
      <c r="Q46" s="20">
        <f t="shared" si="5"/>
        <v>40</v>
      </c>
    </row>
    <row r="47" spans="1:17" ht="18" customHeight="1">
      <c r="A47" s="19">
        <v>41</v>
      </c>
      <c r="B47" s="2" t="s">
        <v>2149</v>
      </c>
      <c r="C47" s="1" t="s">
        <v>2150</v>
      </c>
      <c r="D47" s="3" t="s">
        <v>2151</v>
      </c>
      <c r="E47" s="1" t="s">
        <v>72</v>
      </c>
      <c r="F47" s="10" t="s">
        <v>2109</v>
      </c>
      <c r="G47" s="2">
        <v>27</v>
      </c>
      <c r="H47" s="6">
        <v>52</v>
      </c>
      <c r="I47" s="6">
        <v>22</v>
      </c>
      <c r="J47" s="6">
        <v>48</v>
      </c>
      <c r="K47" s="6">
        <v>31</v>
      </c>
      <c r="L47" s="6">
        <v>47</v>
      </c>
      <c r="M47" s="6">
        <v>19</v>
      </c>
      <c r="N47" s="6">
        <v>20</v>
      </c>
      <c r="O47" s="1">
        <f t="shared" si="3"/>
        <v>239</v>
      </c>
      <c r="P47" s="14">
        <f t="shared" si="4"/>
        <v>34.142857142857146</v>
      </c>
      <c r="Q47" s="20">
        <f t="shared" si="5"/>
        <v>41</v>
      </c>
    </row>
    <row r="48" spans="1:17" ht="18" customHeight="1">
      <c r="A48" s="19">
        <v>42</v>
      </c>
      <c r="B48" s="2" t="s">
        <v>2110</v>
      </c>
      <c r="C48" s="1">
        <v>311220563</v>
      </c>
      <c r="D48" s="3" t="s">
        <v>2111</v>
      </c>
      <c r="E48" s="1" t="s">
        <v>78</v>
      </c>
      <c r="F48" s="10" t="s">
        <v>2109</v>
      </c>
      <c r="G48" s="2">
        <v>26</v>
      </c>
      <c r="H48" s="6">
        <v>65</v>
      </c>
      <c r="I48" s="6">
        <v>17</v>
      </c>
      <c r="J48" s="6">
        <v>16</v>
      </c>
      <c r="K48" s="6">
        <v>26</v>
      </c>
      <c r="L48" s="6">
        <v>28</v>
      </c>
      <c r="M48" s="6">
        <v>38</v>
      </c>
      <c r="N48" s="6">
        <v>39</v>
      </c>
      <c r="O48" s="1">
        <f t="shared" si="3"/>
        <v>229</v>
      </c>
      <c r="P48" s="14">
        <f t="shared" si="4"/>
        <v>32.714285714285715</v>
      </c>
      <c r="Q48" s="20">
        <f t="shared" si="5"/>
        <v>42</v>
      </c>
    </row>
    <row r="49" spans="1:17" ht="18" customHeight="1">
      <c r="A49" s="19">
        <v>43</v>
      </c>
      <c r="B49" s="2" t="s">
        <v>2125</v>
      </c>
      <c r="C49" s="1" t="s">
        <v>2126</v>
      </c>
      <c r="D49" s="3" t="s">
        <v>2127</v>
      </c>
      <c r="E49" s="1" t="s">
        <v>55</v>
      </c>
      <c r="F49" s="10" t="s">
        <v>2109</v>
      </c>
      <c r="G49" s="2">
        <v>27</v>
      </c>
      <c r="H49" s="6">
        <v>42</v>
      </c>
      <c r="I49" s="6">
        <v>0</v>
      </c>
      <c r="J49" s="6">
        <v>26</v>
      </c>
      <c r="K49" s="6">
        <v>38</v>
      </c>
      <c r="L49" s="6">
        <v>44</v>
      </c>
      <c r="M49" s="6">
        <v>70</v>
      </c>
      <c r="N49" s="6">
        <v>8</v>
      </c>
      <c r="O49" s="1">
        <f t="shared" si="3"/>
        <v>228</v>
      </c>
      <c r="P49" s="14">
        <f t="shared" si="4"/>
        <v>32.571428571428569</v>
      </c>
      <c r="Q49" s="20">
        <f t="shared" si="5"/>
        <v>43</v>
      </c>
    </row>
    <row r="50" spans="1:17" ht="18" customHeight="1">
      <c r="A50" s="19">
        <v>44</v>
      </c>
      <c r="B50" s="2" t="s">
        <v>2184</v>
      </c>
      <c r="C50" s="1" t="s">
        <v>2185</v>
      </c>
      <c r="D50" s="3" t="s">
        <v>2186</v>
      </c>
      <c r="E50" s="1" t="s">
        <v>84</v>
      </c>
      <c r="F50" s="10" t="s">
        <v>2109</v>
      </c>
      <c r="G50" s="2">
        <v>27</v>
      </c>
      <c r="H50" s="6">
        <v>50</v>
      </c>
      <c r="I50" s="6">
        <v>29</v>
      </c>
      <c r="J50" s="6">
        <v>32</v>
      </c>
      <c r="K50" s="6">
        <v>32</v>
      </c>
      <c r="L50" s="6">
        <v>38</v>
      </c>
      <c r="M50" s="6">
        <v>42</v>
      </c>
      <c r="N50" s="6">
        <v>5</v>
      </c>
      <c r="O50" s="1">
        <f t="shared" si="3"/>
        <v>228</v>
      </c>
      <c r="P50" s="14">
        <f t="shared" si="4"/>
        <v>32.571428571428569</v>
      </c>
      <c r="Q50" s="20">
        <f t="shared" si="5"/>
        <v>43</v>
      </c>
    </row>
    <row r="51" spans="1:17" ht="18" customHeight="1">
      <c r="A51" s="19">
        <v>45</v>
      </c>
      <c r="B51" s="2" t="s">
        <v>2128</v>
      </c>
      <c r="C51" s="1" t="s">
        <v>2129</v>
      </c>
      <c r="D51" s="3" t="s">
        <v>2130</v>
      </c>
      <c r="E51" s="1" t="s">
        <v>55</v>
      </c>
      <c r="F51" s="10" t="s">
        <v>2109</v>
      </c>
      <c r="G51" s="2">
        <v>27</v>
      </c>
      <c r="H51" s="6">
        <v>61</v>
      </c>
      <c r="I51" s="6">
        <v>28</v>
      </c>
      <c r="J51" s="6">
        <v>25</v>
      </c>
      <c r="K51" s="6">
        <v>45</v>
      </c>
      <c r="L51" s="6">
        <v>8</v>
      </c>
      <c r="M51" s="6">
        <v>42</v>
      </c>
      <c r="N51" s="6">
        <v>16</v>
      </c>
      <c r="O51" s="1">
        <f t="shared" si="3"/>
        <v>225</v>
      </c>
      <c r="P51" s="14">
        <f t="shared" si="4"/>
        <v>32.142857142857146</v>
      </c>
      <c r="Q51" s="20">
        <f t="shared" si="5"/>
        <v>45</v>
      </c>
    </row>
    <row r="52" spans="1:17" ht="18" customHeight="1">
      <c r="A52" s="19">
        <v>46</v>
      </c>
      <c r="B52" s="2" t="s">
        <v>2248</v>
      </c>
      <c r="C52" s="1">
        <v>311260927</v>
      </c>
      <c r="D52" s="3" t="s">
        <v>2249</v>
      </c>
      <c r="E52" s="1" t="s">
        <v>61</v>
      </c>
      <c r="F52" s="10" t="s">
        <v>2109</v>
      </c>
      <c r="G52" s="2">
        <v>29</v>
      </c>
      <c r="H52" s="6">
        <v>50</v>
      </c>
      <c r="I52" s="6">
        <v>25</v>
      </c>
      <c r="J52" s="6">
        <v>14</v>
      </c>
      <c r="K52" s="6">
        <v>39</v>
      </c>
      <c r="L52" s="6">
        <v>46</v>
      </c>
      <c r="M52" s="6">
        <v>46</v>
      </c>
      <c r="N52" s="6">
        <v>5</v>
      </c>
      <c r="O52" s="1">
        <f t="shared" si="3"/>
        <v>225</v>
      </c>
      <c r="P52" s="14">
        <f t="shared" si="4"/>
        <v>32.142857142857146</v>
      </c>
      <c r="Q52" s="20">
        <f t="shared" si="5"/>
        <v>45</v>
      </c>
    </row>
    <row r="53" spans="1:17" ht="18" customHeight="1">
      <c r="A53" s="19">
        <v>47</v>
      </c>
      <c r="B53" s="2" t="s">
        <v>2143</v>
      </c>
      <c r="C53" s="1" t="s">
        <v>2144</v>
      </c>
      <c r="D53" s="3" t="s">
        <v>2145</v>
      </c>
      <c r="E53" s="1" t="s">
        <v>57</v>
      </c>
      <c r="F53" s="10" t="s">
        <v>2109</v>
      </c>
      <c r="G53" s="2">
        <v>27</v>
      </c>
      <c r="H53" s="6">
        <v>64</v>
      </c>
      <c r="I53" s="6">
        <v>25</v>
      </c>
      <c r="J53" s="6">
        <v>48</v>
      </c>
      <c r="K53" s="6">
        <v>8</v>
      </c>
      <c r="L53" s="6">
        <v>12</v>
      </c>
      <c r="M53" s="6">
        <v>29</v>
      </c>
      <c r="N53" s="6">
        <v>32</v>
      </c>
      <c r="O53" s="1">
        <f t="shared" si="3"/>
        <v>218</v>
      </c>
      <c r="P53" s="14">
        <f t="shared" si="4"/>
        <v>31.142857142857142</v>
      </c>
      <c r="Q53" s="20">
        <f t="shared" si="5"/>
        <v>47</v>
      </c>
    </row>
    <row r="54" spans="1:17" ht="18" customHeight="1">
      <c r="A54" s="19">
        <v>48</v>
      </c>
      <c r="B54" s="2" t="s">
        <v>2246</v>
      </c>
      <c r="C54" s="1">
        <v>311260311</v>
      </c>
      <c r="D54" s="3" t="s">
        <v>2247</v>
      </c>
      <c r="E54" s="1" t="s">
        <v>55</v>
      </c>
      <c r="F54" s="10" t="s">
        <v>2109</v>
      </c>
      <c r="G54" s="2">
        <v>29</v>
      </c>
      <c r="H54" s="6">
        <v>64</v>
      </c>
      <c r="I54" s="6">
        <v>4</v>
      </c>
      <c r="J54" s="6">
        <v>30</v>
      </c>
      <c r="K54" s="6">
        <v>40</v>
      </c>
      <c r="L54" s="6">
        <v>33</v>
      </c>
      <c r="M54" s="6"/>
      <c r="N54" s="6">
        <v>24</v>
      </c>
      <c r="O54" s="1">
        <f t="shared" si="3"/>
        <v>195</v>
      </c>
      <c r="P54" s="14">
        <f t="shared" si="4"/>
        <v>27.857142857142858</v>
      </c>
      <c r="Q54" s="20">
        <f t="shared" si="5"/>
        <v>48</v>
      </c>
    </row>
    <row r="55" spans="1:17" ht="18" customHeight="1">
      <c r="A55" s="19">
        <v>49</v>
      </c>
      <c r="B55" s="2" t="s">
        <v>2233</v>
      </c>
      <c r="C55" s="1" t="s">
        <v>2234</v>
      </c>
      <c r="D55" s="3" t="s">
        <v>2235</v>
      </c>
      <c r="E55" s="1" t="s">
        <v>75</v>
      </c>
      <c r="F55" s="10" t="s">
        <v>2109</v>
      </c>
      <c r="G55" s="2">
        <v>28</v>
      </c>
      <c r="H55" s="6">
        <v>45</v>
      </c>
      <c r="I55" s="6">
        <v>12</v>
      </c>
      <c r="J55" s="6">
        <v>9</v>
      </c>
      <c r="K55" s="6">
        <v>31</v>
      </c>
      <c r="L55" s="6">
        <v>45</v>
      </c>
      <c r="M55" s="6">
        <v>35</v>
      </c>
      <c r="N55" s="6">
        <v>13</v>
      </c>
      <c r="O55" s="1">
        <f t="shared" si="3"/>
        <v>190</v>
      </c>
      <c r="P55" s="14">
        <f t="shared" si="4"/>
        <v>27.142857142857142</v>
      </c>
      <c r="Q55" s="20">
        <f t="shared" si="5"/>
        <v>49</v>
      </c>
    </row>
    <row r="56" spans="1:17" ht="18" customHeight="1">
      <c r="A56" s="19">
        <v>50</v>
      </c>
      <c r="B56" s="2" t="s">
        <v>2239</v>
      </c>
      <c r="C56" s="1" t="s">
        <v>2240</v>
      </c>
      <c r="D56" s="3" t="s">
        <v>2241</v>
      </c>
      <c r="E56" s="1" t="s">
        <v>85</v>
      </c>
      <c r="F56" s="10" t="s">
        <v>2109</v>
      </c>
      <c r="G56" s="2">
        <v>28</v>
      </c>
      <c r="H56" s="6">
        <v>48</v>
      </c>
      <c r="I56" s="6">
        <v>17</v>
      </c>
      <c r="J56" s="6">
        <v>14</v>
      </c>
      <c r="K56" s="6">
        <v>33</v>
      </c>
      <c r="L56" s="6">
        <v>9</v>
      </c>
      <c r="M56" s="6">
        <v>25</v>
      </c>
      <c r="N56" s="6">
        <v>39</v>
      </c>
      <c r="O56" s="1">
        <f t="shared" si="3"/>
        <v>185</v>
      </c>
      <c r="P56" s="14">
        <f t="shared" si="4"/>
        <v>26.428571428571427</v>
      </c>
      <c r="Q56" s="20">
        <f t="shared" si="5"/>
        <v>50</v>
      </c>
    </row>
    <row r="57" spans="1:17" ht="18" customHeight="1">
      <c r="A57" s="19">
        <v>51</v>
      </c>
      <c r="B57" s="2" t="s">
        <v>2250</v>
      </c>
      <c r="C57" s="1">
        <v>311260928</v>
      </c>
      <c r="D57" s="3" t="s">
        <v>2251</v>
      </c>
      <c r="E57" s="1" t="s">
        <v>84</v>
      </c>
      <c r="F57" s="10" t="s">
        <v>2109</v>
      </c>
      <c r="G57" s="2">
        <v>29</v>
      </c>
      <c r="H57" s="6">
        <v>42</v>
      </c>
      <c r="I57" s="6">
        <v>12</v>
      </c>
      <c r="J57" s="6">
        <v>28</v>
      </c>
      <c r="K57" s="6">
        <v>38</v>
      </c>
      <c r="L57" s="6">
        <v>32</v>
      </c>
      <c r="M57" s="6">
        <v>19</v>
      </c>
      <c r="N57" s="6">
        <v>8</v>
      </c>
      <c r="O57" s="1">
        <f t="shared" si="3"/>
        <v>179</v>
      </c>
      <c r="P57" s="14">
        <f t="shared" si="4"/>
        <v>25.571428571428573</v>
      </c>
      <c r="Q57" s="20">
        <f t="shared" si="5"/>
        <v>51</v>
      </c>
    </row>
    <row r="58" spans="1:17" ht="18" customHeight="1">
      <c r="A58" s="19">
        <v>52</v>
      </c>
      <c r="B58" s="2" t="s">
        <v>2158</v>
      </c>
      <c r="C58" s="1" t="s">
        <v>2159</v>
      </c>
      <c r="D58" s="3" t="s">
        <v>2160</v>
      </c>
      <c r="E58" s="1" t="s">
        <v>59</v>
      </c>
      <c r="F58" s="10" t="s">
        <v>2109</v>
      </c>
      <c r="G58" s="2">
        <v>27</v>
      </c>
      <c r="H58" s="6">
        <v>68</v>
      </c>
      <c r="I58" s="6">
        <v>8</v>
      </c>
      <c r="J58" s="6">
        <v>12</v>
      </c>
      <c r="K58" s="6">
        <v>27</v>
      </c>
      <c r="L58" s="6">
        <v>30</v>
      </c>
      <c r="M58" s="6">
        <v>29</v>
      </c>
      <c r="N58" s="6">
        <v>1</v>
      </c>
      <c r="O58" s="1">
        <f t="shared" si="3"/>
        <v>175</v>
      </c>
      <c r="P58" s="14">
        <f t="shared" si="4"/>
        <v>25</v>
      </c>
      <c r="Q58" s="20">
        <f t="shared" si="5"/>
        <v>52</v>
      </c>
    </row>
    <row r="59" spans="1:17" ht="18" customHeight="1">
      <c r="A59" s="19">
        <v>53</v>
      </c>
      <c r="B59" s="2" t="s">
        <v>2134</v>
      </c>
      <c r="C59" s="1" t="s">
        <v>2135</v>
      </c>
      <c r="D59" s="3" t="s">
        <v>2136</v>
      </c>
      <c r="E59" s="1" t="s">
        <v>56</v>
      </c>
      <c r="F59" s="10" t="s">
        <v>2109</v>
      </c>
      <c r="G59" s="2">
        <v>27</v>
      </c>
      <c r="H59" s="6">
        <v>32</v>
      </c>
      <c r="I59" s="6">
        <v>20</v>
      </c>
      <c r="J59" s="6">
        <v>0</v>
      </c>
      <c r="K59" s="6">
        <v>30</v>
      </c>
      <c r="L59" s="6">
        <v>33</v>
      </c>
      <c r="M59" s="6">
        <v>17</v>
      </c>
      <c r="N59" s="6">
        <v>39</v>
      </c>
      <c r="O59" s="1">
        <f t="shared" si="3"/>
        <v>171</v>
      </c>
      <c r="P59" s="14">
        <f t="shared" si="4"/>
        <v>24.428571428571427</v>
      </c>
      <c r="Q59" s="20">
        <f t="shared" si="5"/>
        <v>53</v>
      </c>
    </row>
    <row r="60" spans="1:17" ht="18" customHeight="1">
      <c r="A60" s="19">
        <v>54</v>
      </c>
      <c r="B60" s="2" t="s">
        <v>2166</v>
      </c>
      <c r="C60" s="1" t="s">
        <v>2167</v>
      </c>
      <c r="D60" s="3" t="s">
        <v>2168</v>
      </c>
      <c r="E60" s="1" t="s">
        <v>62</v>
      </c>
      <c r="F60" s="10" t="s">
        <v>2109</v>
      </c>
      <c r="G60" s="2">
        <v>27</v>
      </c>
      <c r="H60" s="6">
        <v>45</v>
      </c>
      <c r="I60" s="6">
        <v>21</v>
      </c>
      <c r="J60" s="6">
        <v>0</v>
      </c>
      <c r="K60" s="6">
        <v>24</v>
      </c>
      <c r="L60" s="6">
        <v>30</v>
      </c>
      <c r="M60" s="6">
        <v>16</v>
      </c>
      <c r="N60" s="6">
        <v>13</v>
      </c>
      <c r="O60" s="1">
        <f t="shared" si="3"/>
        <v>149</v>
      </c>
      <c r="P60" s="14">
        <f t="shared" si="4"/>
        <v>21.285714285714285</v>
      </c>
      <c r="Q60" s="20">
        <f t="shared" si="5"/>
        <v>54</v>
      </c>
    </row>
    <row r="61" spans="1:17" ht="18" customHeight="1">
      <c r="A61" s="19">
        <v>55</v>
      </c>
      <c r="B61" s="2" t="s">
        <v>2131</v>
      </c>
      <c r="C61" s="1" t="s">
        <v>2132</v>
      </c>
      <c r="D61" s="3" t="s">
        <v>2133</v>
      </c>
      <c r="E61" s="1" t="s">
        <v>79</v>
      </c>
      <c r="F61" s="10" t="s">
        <v>2109</v>
      </c>
      <c r="G61" s="2">
        <v>27</v>
      </c>
      <c r="H61" s="6"/>
      <c r="I61" s="6"/>
      <c r="J61" s="6"/>
      <c r="K61" s="6"/>
      <c r="L61" s="6"/>
      <c r="M61" s="6"/>
      <c r="N61" s="6"/>
      <c r="O61" s="1">
        <f t="shared" si="3"/>
        <v>0</v>
      </c>
      <c r="P61" s="14">
        <f t="shared" si="4"/>
        <v>0</v>
      </c>
      <c r="Q61" s="20">
        <f t="shared" si="5"/>
        <v>55</v>
      </c>
    </row>
    <row r="62" spans="1:17" ht="18" customHeight="1">
      <c r="A62" s="19">
        <v>56</v>
      </c>
      <c r="B62" s="28" t="s">
        <v>2178</v>
      </c>
      <c r="C62" s="29" t="s">
        <v>2179</v>
      </c>
      <c r="D62" s="30" t="s">
        <v>2180</v>
      </c>
      <c r="E62" s="29" t="s">
        <v>73</v>
      </c>
      <c r="F62" s="31" t="s">
        <v>2109</v>
      </c>
      <c r="G62" s="28">
        <v>27</v>
      </c>
      <c r="H62" s="46"/>
      <c r="I62" s="46"/>
      <c r="J62" s="46"/>
      <c r="K62" s="46"/>
      <c r="L62" s="46"/>
      <c r="M62" s="46"/>
      <c r="N62" s="46"/>
      <c r="O62" s="29">
        <f t="shared" si="3"/>
        <v>0</v>
      </c>
      <c r="P62" s="41">
        <f t="shared" si="4"/>
        <v>0</v>
      </c>
      <c r="Q62" s="33">
        <f t="shared" si="5"/>
        <v>55</v>
      </c>
    </row>
  </sheetData>
  <mergeCells count="4">
    <mergeCell ref="A1:P1"/>
    <mergeCell ref="A2:P2"/>
    <mergeCell ref="A3:P3"/>
    <mergeCell ref="A5:B5"/>
  </mergeCells>
  <conditionalFormatting sqref="H7:N7">
    <cfRule type="expression" dxfId="6473" priority="223">
      <formula>5</formula>
    </cfRule>
    <cfRule type="cellIs" dxfId="6472" priority="224" operator="lessThan">
      <formula>5</formula>
    </cfRule>
  </conditionalFormatting>
  <conditionalFormatting sqref="H7:N7">
    <cfRule type="cellIs" dxfId="6471" priority="222" operator="lessThan">
      <formula>50</formula>
    </cfRule>
  </conditionalFormatting>
  <conditionalFormatting sqref="P7">
    <cfRule type="cellIs" dxfId="6470" priority="221" operator="lessThan">
      <formula>50</formula>
    </cfRule>
  </conditionalFormatting>
  <conditionalFormatting sqref="H8:N8">
    <cfRule type="expression" dxfId="6469" priority="219">
      <formula>5</formula>
    </cfRule>
    <cfRule type="cellIs" dxfId="6468" priority="220" operator="lessThan">
      <formula>5</formula>
    </cfRule>
  </conditionalFormatting>
  <conditionalFormatting sqref="H8:N8">
    <cfRule type="cellIs" dxfId="6467" priority="218" operator="lessThan">
      <formula>50</formula>
    </cfRule>
  </conditionalFormatting>
  <conditionalFormatting sqref="P8">
    <cfRule type="cellIs" dxfId="6466" priority="217" operator="lessThan">
      <formula>50</formula>
    </cfRule>
  </conditionalFormatting>
  <conditionalFormatting sqref="H9:N9">
    <cfRule type="expression" dxfId="6465" priority="215">
      <formula>5</formula>
    </cfRule>
    <cfRule type="cellIs" dxfId="6464" priority="216" operator="lessThan">
      <formula>5</formula>
    </cfRule>
  </conditionalFormatting>
  <conditionalFormatting sqref="H9:N9">
    <cfRule type="cellIs" dxfId="6463" priority="214" operator="lessThan">
      <formula>50</formula>
    </cfRule>
  </conditionalFormatting>
  <conditionalFormatting sqref="P9">
    <cfRule type="cellIs" dxfId="6462" priority="213" operator="lessThan">
      <formula>50</formula>
    </cfRule>
  </conditionalFormatting>
  <conditionalFormatting sqref="H10:N10">
    <cfRule type="expression" dxfId="6461" priority="211">
      <formula>5</formula>
    </cfRule>
    <cfRule type="cellIs" dxfId="6460" priority="212" operator="lessThan">
      <formula>5</formula>
    </cfRule>
  </conditionalFormatting>
  <conditionalFormatting sqref="H10:N10">
    <cfRule type="cellIs" dxfId="6459" priority="210" operator="lessThan">
      <formula>50</formula>
    </cfRule>
  </conditionalFormatting>
  <conditionalFormatting sqref="P10">
    <cfRule type="cellIs" dxfId="6458" priority="209" operator="lessThan">
      <formula>50</formula>
    </cfRule>
  </conditionalFormatting>
  <conditionalFormatting sqref="H11:N11">
    <cfRule type="expression" dxfId="6457" priority="207">
      <formula>5</formula>
    </cfRule>
    <cfRule type="cellIs" dxfId="6456" priority="208" operator="lessThan">
      <formula>5</formula>
    </cfRule>
  </conditionalFormatting>
  <conditionalFormatting sqref="H11:N11">
    <cfRule type="cellIs" dxfId="6455" priority="206" operator="lessThan">
      <formula>50</formula>
    </cfRule>
  </conditionalFormatting>
  <conditionalFormatting sqref="P11">
    <cfRule type="cellIs" dxfId="6454" priority="205" operator="lessThan">
      <formula>50</formula>
    </cfRule>
  </conditionalFormatting>
  <conditionalFormatting sqref="H12:N12">
    <cfRule type="expression" dxfId="6453" priority="203">
      <formula>5</formula>
    </cfRule>
    <cfRule type="cellIs" dxfId="6452" priority="204" operator="lessThan">
      <formula>5</formula>
    </cfRule>
  </conditionalFormatting>
  <conditionalFormatting sqref="H12:N12">
    <cfRule type="cellIs" dxfId="6451" priority="202" operator="lessThan">
      <formula>50</formula>
    </cfRule>
  </conditionalFormatting>
  <conditionalFormatting sqref="P12">
    <cfRule type="cellIs" dxfId="6450" priority="201" operator="lessThan">
      <formula>50</formula>
    </cfRule>
  </conditionalFormatting>
  <conditionalFormatting sqref="H13:N13">
    <cfRule type="expression" dxfId="6449" priority="199">
      <formula>5</formula>
    </cfRule>
    <cfRule type="cellIs" dxfId="6448" priority="200" operator="lessThan">
      <formula>5</formula>
    </cfRule>
  </conditionalFormatting>
  <conditionalFormatting sqref="H13:N13">
    <cfRule type="cellIs" dxfId="6447" priority="198" operator="lessThan">
      <formula>50</formula>
    </cfRule>
  </conditionalFormatting>
  <conditionalFormatting sqref="P13">
    <cfRule type="cellIs" dxfId="6446" priority="197" operator="lessThan">
      <formula>50</formula>
    </cfRule>
  </conditionalFormatting>
  <conditionalFormatting sqref="H14:N14">
    <cfRule type="expression" dxfId="6445" priority="195">
      <formula>5</formula>
    </cfRule>
    <cfRule type="cellIs" dxfId="6444" priority="196" operator="lessThan">
      <formula>5</formula>
    </cfRule>
  </conditionalFormatting>
  <conditionalFormatting sqref="H14:N14">
    <cfRule type="cellIs" dxfId="6443" priority="194" operator="lessThan">
      <formula>50</formula>
    </cfRule>
  </conditionalFormatting>
  <conditionalFormatting sqref="P14">
    <cfRule type="cellIs" dxfId="6442" priority="193" operator="lessThan">
      <formula>50</formula>
    </cfRule>
  </conditionalFormatting>
  <conditionalFormatting sqref="H15:N15">
    <cfRule type="expression" dxfId="6441" priority="191">
      <formula>5</formula>
    </cfRule>
    <cfRule type="cellIs" dxfId="6440" priority="192" operator="lessThan">
      <formula>5</formula>
    </cfRule>
  </conditionalFormatting>
  <conditionalFormatting sqref="H15:N15">
    <cfRule type="cellIs" dxfId="6439" priority="190" operator="lessThan">
      <formula>50</formula>
    </cfRule>
  </conditionalFormatting>
  <conditionalFormatting sqref="P15">
    <cfRule type="cellIs" dxfId="6438" priority="189" operator="lessThan">
      <formula>50</formula>
    </cfRule>
  </conditionalFormatting>
  <conditionalFormatting sqref="H16:N16">
    <cfRule type="expression" dxfId="6437" priority="187">
      <formula>5</formula>
    </cfRule>
    <cfRule type="cellIs" dxfId="6436" priority="188" operator="lessThan">
      <formula>5</formula>
    </cfRule>
  </conditionalFormatting>
  <conditionalFormatting sqref="H16:N16">
    <cfRule type="cellIs" dxfId="6435" priority="186" operator="lessThan">
      <formula>50</formula>
    </cfRule>
  </conditionalFormatting>
  <conditionalFormatting sqref="P16">
    <cfRule type="cellIs" dxfId="6434" priority="185" operator="lessThan">
      <formula>50</formula>
    </cfRule>
  </conditionalFormatting>
  <conditionalFormatting sqref="H17:N17">
    <cfRule type="expression" dxfId="6433" priority="183">
      <formula>5</formula>
    </cfRule>
    <cfRule type="cellIs" dxfId="6432" priority="184" operator="lessThan">
      <formula>5</formula>
    </cfRule>
  </conditionalFormatting>
  <conditionalFormatting sqref="H17:N17">
    <cfRule type="cellIs" dxfId="6431" priority="182" operator="lessThan">
      <formula>50</formula>
    </cfRule>
  </conditionalFormatting>
  <conditionalFormatting sqref="P17">
    <cfRule type="cellIs" dxfId="6430" priority="181" operator="lessThan">
      <formula>50</formula>
    </cfRule>
  </conditionalFormatting>
  <conditionalFormatting sqref="H18:N18">
    <cfRule type="expression" dxfId="6429" priority="179">
      <formula>5</formula>
    </cfRule>
    <cfRule type="cellIs" dxfId="6428" priority="180" operator="lessThan">
      <formula>5</formula>
    </cfRule>
  </conditionalFormatting>
  <conditionalFormatting sqref="H18:N18">
    <cfRule type="cellIs" dxfId="6427" priority="178" operator="lessThan">
      <formula>50</formula>
    </cfRule>
  </conditionalFormatting>
  <conditionalFormatting sqref="P18">
    <cfRule type="cellIs" dxfId="6426" priority="177" operator="lessThan">
      <formula>50</formula>
    </cfRule>
  </conditionalFormatting>
  <conditionalFormatting sqref="H19:N19">
    <cfRule type="expression" dxfId="6425" priority="175">
      <formula>5</formula>
    </cfRule>
    <cfRule type="cellIs" dxfId="6424" priority="176" operator="lessThan">
      <formula>5</formula>
    </cfRule>
  </conditionalFormatting>
  <conditionalFormatting sqref="H19:N19">
    <cfRule type="cellIs" dxfId="6423" priority="174" operator="lessThan">
      <formula>50</formula>
    </cfRule>
  </conditionalFormatting>
  <conditionalFormatting sqref="P19">
    <cfRule type="cellIs" dxfId="6422" priority="173" operator="lessThan">
      <formula>50</formula>
    </cfRule>
  </conditionalFormatting>
  <conditionalFormatting sqref="H20:N20">
    <cfRule type="expression" dxfId="6421" priority="171">
      <formula>5</formula>
    </cfRule>
    <cfRule type="cellIs" dxfId="6420" priority="172" operator="lessThan">
      <formula>5</formula>
    </cfRule>
  </conditionalFormatting>
  <conditionalFormatting sqref="H20:N20">
    <cfRule type="cellIs" dxfId="6419" priority="170" operator="lessThan">
      <formula>50</formula>
    </cfRule>
  </conditionalFormatting>
  <conditionalFormatting sqref="P20">
    <cfRule type="cellIs" dxfId="6418" priority="169" operator="lessThan">
      <formula>50</formula>
    </cfRule>
  </conditionalFormatting>
  <conditionalFormatting sqref="H21:N21">
    <cfRule type="expression" dxfId="6417" priority="167">
      <formula>5</formula>
    </cfRule>
    <cfRule type="cellIs" dxfId="6416" priority="168" operator="lessThan">
      <formula>5</formula>
    </cfRule>
  </conditionalFormatting>
  <conditionalFormatting sqref="H21:N21">
    <cfRule type="cellIs" dxfId="6415" priority="166" operator="lessThan">
      <formula>50</formula>
    </cfRule>
  </conditionalFormatting>
  <conditionalFormatting sqref="P21">
    <cfRule type="cellIs" dxfId="6414" priority="165" operator="lessThan">
      <formula>50</formula>
    </cfRule>
  </conditionalFormatting>
  <conditionalFormatting sqref="H22:N22">
    <cfRule type="expression" dxfId="6413" priority="163">
      <formula>5</formula>
    </cfRule>
    <cfRule type="cellIs" dxfId="6412" priority="164" operator="lessThan">
      <formula>5</formula>
    </cfRule>
  </conditionalFormatting>
  <conditionalFormatting sqref="H22:N22">
    <cfRule type="cellIs" dxfId="6411" priority="162" operator="lessThan">
      <formula>50</formula>
    </cfRule>
  </conditionalFormatting>
  <conditionalFormatting sqref="P22">
    <cfRule type="cellIs" dxfId="6410" priority="161" operator="lessThan">
      <formula>50</formula>
    </cfRule>
  </conditionalFormatting>
  <conditionalFormatting sqref="H23:N23">
    <cfRule type="expression" dxfId="6409" priority="159">
      <formula>5</formula>
    </cfRule>
    <cfRule type="cellIs" dxfId="6408" priority="160" operator="lessThan">
      <formula>5</formula>
    </cfRule>
  </conditionalFormatting>
  <conditionalFormatting sqref="H23:N23">
    <cfRule type="cellIs" dxfId="6407" priority="158" operator="lessThan">
      <formula>50</formula>
    </cfRule>
  </conditionalFormatting>
  <conditionalFormatting sqref="P23">
    <cfRule type="cellIs" dxfId="6406" priority="157" operator="lessThan">
      <formula>50</formula>
    </cfRule>
  </conditionalFormatting>
  <conditionalFormatting sqref="H24:N24">
    <cfRule type="expression" dxfId="6405" priority="155">
      <formula>5</formula>
    </cfRule>
    <cfRule type="cellIs" dxfId="6404" priority="156" operator="lessThan">
      <formula>5</formula>
    </cfRule>
  </conditionalFormatting>
  <conditionalFormatting sqref="H24:N24">
    <cfRule type="cellIs" dxfId="6403" priority="154" operator="lessThan">
      <formula>50</formula>
    </cfRule>
  </conditionalFormatting>
  <conditionalFormatting sqref="P24">
    <cfRule type="cellIs" dxfId="6402" priority="153" operator="lessThan">
      <formula>50</formula>
    </cfRule>
  </conditionalFormatting>
  <conditionalFormatting sqref="H25:N25">
    <cfRule type="expression" dxfId="6401" priority="151">
      <formula>5</formula>
    </cfRule>
    <cfRule type="cellIs" dxfId="6400" priority="152" operator="lessThan">
      <formula>5</formula>
    </cfRule>
  </conditionalFormatting>
  <conditionalFormatting sqref="H25:N25">
    <cfRule type="cellIs" dxfId="6399" priority="150" operator="lessThan">
      <formula>50</formula>
    </cfRule>
  </conditionalFormatting>
  <conditionalFormatting sqref="P25">
    <cfRule type="cellIs" dxfId="6398" priority="149" operator="lessThan">
      <formula>50</formula>
    </cfRule>
  </conditionalFormatting>
  <conditionalFormatting sqref="H26:N26">
    <cfRule type="expression" dxfId="6397" priority="147">
      <formula>5</formula>
    </cfRule>
    <cfRule type="cellIs" dxfId="6396" priority="148" operator="lessThan">
      <formula>5</formula>
    </cfRule>
  </conditionalFormatting>
  <conditionalFormatting sqref="H26:N26">
    <cfRule type="cellIs" dxfId="6395" priority="146" operator="lessThan">
      <formula>50</formula>
    </cfRule>
  </conditionalFormatting>
  <conditionalFormatting sqref="P26">
    <cfRule type="cellIs" dxfId="6394" priority="145" operator="lessThan">
      <formula>50</formula>
    </cfRule>
  </conditionalFormatting>
  <conditionalFormatting sqref="H27:N27">
    <cfRule type="expression" dxfId="6393" priority="143">
      <formula>5</formula>
    </cfRule>
    <cfRule type="cellIs" dxfId="6392" priority="144" operator="lessThan">
      <formula>5</formula>
    </cfRule>
  </conditionalFormatting>
  <conditionalFormatting sqref="H27:N27">
    <cfRule type="cellIs" dxfId="6391" priority="142" operator="lessThan">
      <formula>50</formula>
    </cfRule>
  </conditionalFormatting>
  <conditionalFormatting sqref="P27">
    <cfRule type="cellIs" dxfId="6390" priority="141" operator="lessThan">
      <formula>50</formula>
    </cfRule>
  </conditionalFormatting>
  <conditionalFormatting sqref="H28:N28">
    <cfRule type="expression" dxfId="6389" priority="139">
      <formula>5</formula>
    </cfRule>
    <cfRule type="cellIs" dxfId="6388" priority="140" operator="lessThan">
      <formula>5</formula>
    </cfRule>
  </conditionalFormatting>
  <conditionalFormatting sqref="H28:N28">
    <cfRule type="cellIs" dxfId="6387" priority="138" operator="lessThan">
      <formula>50</formula>
    </cfRule>
  </conditionalFormatting>
  <conditionalFormatting sqref="P28">
    <cfRule type="cellIs" dxfId="6386" priority="137" operator="lessThan">
      <formula>50</formula>
    </cfRule>
  </conditionalFormatting>
  <conditionalFormatting sqref="H29:N29">
    <cfRule type="expression" dxfId="6385" priority="135">
      <formula>5</formula>
    </cfRule>
    <cfRule type="cellIs" dxfId="6384" priority="136" operator="lessThan">
      <formula>5</formula>
    </cfRule>
  </conditionalFormatting>
  <conditionalFormatting sqref="H29:N29">
    <cfRule type="cellIs" dxfId="6383" priority="134" operator="lessThan">
      <formula>50</formula>
    </cfRule>
  </conditionalFormatting>
  <conditionalFormatting sqref="P29">
    <cfRule type="cellIs" dxfId="6382" priority="133" operator="lessThan">
      <formula>50</formula>
    </cfRule>
  </conditionalFormatting>
  <conditionalFormatting sqref="H30:N30">
    <cfRule type="expression" dxfId="6381" priority="131">
      <formula>5</formula>
    </cfRule>
    <cfRule type="cellIs" dxfId="6380" priority="132" operator="lessThan">
      <formula>5</formula>
    </cfRule>
  </conditionalFormatting>
  <conditionalFormatting sqref="H30:N30">
    <cfRule type="cellIs" dxfId="6379" priority="130" operator="lessThan">
      <formula>50</formula>
    </cfRule>
  </conditionalFormatting>
  <conditionalFormatting sqref="P30">
    <cfRule type="cellIs" dxfId="6378" priority="129" operator="lessThan">
      <formula>50</formula>
    </cfRule>
  </conditionalFormatting>
  <conditionalFormatting sqref="H31:N31">
    <cfRule type="expression" dxfId="6377" priority="127">
      <formula>5</formula>
    </cfRule>
    <cfRule type="cellIs" dxfId="6376" priority="128" operator="lessThan">
      <formula>5</formula>
    </cfRule>
  </conditionalFormatting>
  <conditionalFormatting sqref="H31:N31">
    <cfRule type="cellIs" dxfId="6375" priority="126" operator="lessThan">
      <formula>50</formula>
    </cfRule>
  </conditionalFormatting>
  <conditionalFormatting sqref="P31">
    <cfRule type="cellIs" dxfId="6374" priority="125" operator="lessThan">
      <formula>50</formula>
    </cfRule>
  </conditionalFormatting>
  <conditionalFormatting sqref="H32:N32">
    <cfRule type="expression" dxfId="6373" priority="123">
      <formula>5</formula>
    </cfRule>
    <cfRule type="cellIs" dxfId="6372" priority="124" operator="lessThan">
      <formula>5</formula>
    </cfRule>
  </conditionalFormatting>
  <conditionalFormatting sqref="H32:N32">
    <cfRule type="cellIs" dxfId="6371" priority="122" operator="lessThan">
      <formula>50</formula>
    </cfRule>
  </conditionalFormatting>
  <conditionalFormatting sqref="P32">
    <cfRule type="cellIs" dxfId="6370" priority="121" operator="lessThan">
      <formula>50</formula>
    </cfRule>
  </conditionalFormatting>
  <conditionalFormatting sqref="H33:N33">
    <cfRule type="expression" dxfId="6369" priority="119">
      <formula>5</formula>
    </cfRule>
    <cfRule type="cellIs" dxfId="6368" priority="120" operator="lessThan">
      <formula>5</formula>
    </cfRule>
  </conditionalFormatting>
  <conditionalFormatting sqref="H33:N33">
    <cfRule type="cellIs" dxfId="6367" priority="118" operator="lessThan">
      <formula>50</formula>
    </cfRule>
  </conditionalFormatting>
  <conditionalFormatting sqref="P33">
    <cfRule type="cellIs" dxfId="6366" priority="117" operator="lessThan">
      <formula>50</formula>
    </cfRule>
  </conditionalFormatting>
  <conditionalFormatting sqref="H34:N34">
    <cfRule type="expression" dxfId="6365" priority="115">
      <formula>5</formula>
    </cfRule>
    <cfRule type="cellIs" dxfId="6364" priority="116" operator="lessThan">
      <formula>5</formula>
    </cfRule>
  </conditionalFormatting>
  <conditionalFormatting sqref="H34:N34">
    <cfRule type="cellIs" dxfId="6363" priority="114" operator="lessThan">
      <formula>50</formula>
    </cfRule>
  </conditionalFormatting>
  <conditionalFormatting sqref="P34">
    <cfRule type="cellIs" dxfId="6362" priority="113" operator="lessThan">
      <formula>50</formula>
    </cfRule>
  </conditionalFormatting>
  <conditionalFormatting sqref="H35:N35">
    <cfRule type="expression" dxfId="6361" priority="111">
      <formula>5</formula>
    </cfRule>
    <cfRule type="cellIs" dxfId="6360" priority="112" operator="lessThan">
      <formula>5</formula>
    </cfRule>
  </conditionalFormatting>
  <conditionalFormatting sqref="H35:N35">
    <cfRule type="cellIs" dxfId="6359" priority="110" operator="lessThan">
      <formula>50</formula>
    </cfRule>
  </conditionalFormatting>
  <conditionalFormatting sqref="P35">
    <cfRule type="cellIs" dxfId="6358" priority="109" operator="lessThan">
      <formula>50</formula>
    </cfRule>
  </conditionalFormatting>
  <conditionalFormatting sqref="H36:N36">
    <cfRule type="expression" dxfId="6357" priority="107">
      <formula>5</formula>
    </cfRule>
    <cfRule type="cellIs" dxfId="6356" priority="108" operator="lessThan">
      <formula>5</formula>
    </cfRule>
  </conditionalFormatting>
  <conditionalFormatting sqref="H36:N36">
    <cfRule type="cellIs" dxfId="6355" priority="106" operator="lessThan">
      <formula>50</formula>
    </cfRule>
  </conditionalFormatting>
  <conditionalFormatting sqref="P36">
    <cfRule type="cellIs" dxfId="6354" priority="105" operator="lessThan">
      <formula>50</formula>
    </cfRule>
  </conditionalFormatting>
  <conditionalFormatting sqref="H37:N37">
    <cfRule type="expression" dxfId="6353" priority="103">
      <formula>5</formula>
    </cfRule>
    <cfRule type="cellIs" dxfId="6352" priority="104" operator="lessThan">
      <formula>5</formula>
    </cfRule>
  </conditionalFormatting>
  <conditionalFormatting sqref="H37:N37">
    <cfRule type="cellIs" dxfId="6351" priority="102" operator="lessThan">
      <formula>50</formula>
    </cfRule>
  </conditionalFormatting>
  <conditionalFormatting sqref="P37">
    <cfRule type="cellIs" dxfId="6350" priority="101" operator="lessThan">
      <formula>50</formula>
    </cfRule>
  </conditionalFormatting>
  <conditionalFormatting sqref="H38:N38">
    <cfRule type="expression" dxfId="6349" priority="99">
      <formula>5</formula>
    </cfRule>
    <cfRule type="cellIs" dxfId="6348" priority="100" operator="lessThan">
      <formula>5</formula>
    </cfRule>
  </conditionalFormatting>
  <conditionalFormatting sqref="H38:N38">
    <cfRule type="cellIs" dxfId="6347" priority="98" operator="lessThan">
      <formula>50</formula>
    </cfRule>
  </conditionalFormatting>
  <conditionalFormatting sqref="P38">
    <cfRule type="cellIs" dxfId="6346" priority="97" operator="lessThan">
      <formula>50</formula>
    </cfRule>
  </conditionalFormatting>
  <conditionalFormatting sqref="H39:N39">
    <cfRule type="expression" dxfId="6345" priority="95">
      <formula>5</formula>
    </cfRule>
    <cfRule type="cellIs" dxfId="6344" priority="96" operator="lessThan">
      <formula>5</formula>
    </cfRule>
  </conditionalFormatting>
  <conditionalFormatting sqref="H39:N39">
    <cfRule type="cellIs" dxfId="6343" priority="94" operator="lessThan">
      <formula>50</formula>
    </cfRule>
  </conditionalFormatting>
  <conditionalFormatting sqref="P39">
    <cfRule type="cellIs" dxfId="6342" priority="93" operator="lessThan">
      <formula>50</formula>
    </cfRule>
  </conditionalFormatting>
  <conditionalFormatting sqref="H40:N40">
    <cfRule type="expression" dxfId="6341" priority="91">
      <formula>5</formula>
    </cfRule>
    <cfRule type="cellIs" dxfId="6340" priority="92" operator="lessThan">
      <formula>5</formula>
    </cfRule>
  </conditionalFormatting>
  <conditionalFormatting sqref="H40:N40">
    <cfRule type="cellIs" dxfId="6339" priority="90" operator="lessThan">
      <formula>50</formula>
    </cfRule>
  </conditionalFormatting>
  <conditionalFormatting sqref="P40">
    <cfRule type="cellIs" dxfId="6338" priority="89" operator="lessThan">
      <formula>50</formula>
    </cfRule>
  </conditionalFormatting>
  <conditionalFormatting sqref="H41:N41">
    <cfRule type="expression" dxfId="6337" priority="87">
      <formula>5</formula>
    </cfRule>
    <cfRule type="cellIs" dxfId="6336" priority="88" operator="lessThan">
      <formula>5</formula>
    </cfRule>
  </conditionalFormatting>
  <conditionalFormatting sqref="H41:N41">
    <cfRule type="cellIs" dxfId="6335" priority="86" operator="lessThan">
      <formula>50</formula>
    </cfRule>
  </conditionalFormatting>
  <conditionalFormatting sqref="P41">
    <cfRule type="cellIs" dxfId="6334" priority="85" operator="lessThan">
      <formula>50</formula>
    </cfRule>
  </conditionalFormatting>
  <conditionalFormatting sqref="H42:N42">
    <cfRule type="expression" dxfId="6333" priority="83">
      <formula>5</formula>
    </cfRule>
    <cfRule type="cellIs" dxfId="6332" priority="84" operator="lessThan">
      <formula>5</formula>
    </cfRule>
  </conditionalFormatting>
  <conditionalFormatting sqref="H42:N42">
    <cfRule type="cellIs" dxfId="6331" priority="82" operator="lessThan">
      <formula>50</formula>
    </cfRule>
  </conditionalFormatting>
  <conditionalFormatting sqref="P42">
    <cfRule type="cellIs" dxfId="6330" priority="81" operator="lessThan">
      <formula>50</formula>
    </cfRule>
  </conditionalFormatting>
  <conditionalFormatting sqref="H43:N43">
    <cfRule type="expression" dxfId="6329" priority="79">
      <formula>5</formula>
    </cfRule>
    <cfRule type="cellIs" dxfId="6328" priority="80" operator="lessThan">
      <formula>5</formula>
    </cfRule>
  </conditionalFormatting>
  <conditionalFormatting sqref="H43:N43">
    <cfRule type="cellIs" dxfId="6327" priority="78" operator="lessThan">
      <formula>50</formula>
    </cfRule>
  </conditionalFormatting>
  <conditionalFormatting sqref="P43">
    <cfRule type="cellIs" dxfId="6326" priority="77" operator="lessThan">
      <formula>50</formula>
    </cfRule>
  </conditionalFormatting>
  <conditionalFormatting sqref="H44:N44">
    <cfRule type="expression" dxfId="6325" priority="75">
      <formula>5</formula>
    </cfRule>
    <cfRule type="cellIs" dxfId="6324" priority="76" operator="lessThan">
      <formula>5</formula>
    </cfRule>
  </conditionalFormatting>
  <conditionalFormatting sqref="H44:N44">
    <cfRule type="cellIs" dxfId="6323" priority="74" operator="lessThan">
      <formula>50</formula>
    </cfRule>
  </conditionalFormatting>
  <conditionalFormatting sqref="P44">
    <cfRule type="cellIs" dxfId="6322" priority="73" operator="lessThan">
      <formula>50</formula>
    </cfRule>
  </conditionalFormatting>
  <conditionalFormatting sqref="H45:N45">
    <cfRule type="expression" dxfId="6321" priority="71">
      <formula>5</formula>
    </cfRule>
    <cfRule type="cellIs" dxfId="6320" priority="72" operator="lessThan">
      <formula>5</formula>
    </cfRule>
  </conditionalFormatting>
  <conditionalFormatting sqref="H45:N45">
    <cfRule type="cellIs" dxfId="6319" priority="70" operator="lessThan">
      <formula>50</formula>
    </cfRule>
  </conditionalFormatting>
  <conditionalFormatting sqref="P45">
    <cfRule type="cellIs" dxfId="6318" priority="69" operator="lessThan">
      <formula>50</formula>
    </cfRule>
  </conditionalFormatting>
  <conditionalFormatting sqref="H46:N46">
    <cfRule type="expression" dxfId="6317" priority="67">
      <formula>5</formula>
    </cfRule>
    <cfRule type="cellIs" dxfId="6316" priority="68" operator="lessThan">
      <formula>5</formula>
    </cfRule>
  </conditionalFormatting>
  <conditionalFormatting sqref="H46:N46">
    <cfRule type="cellIs" dxfId="6315" priority="66" operator="lessThan">
      <formula>50</formula>
    </cfRule>
  </conditionalFormatting>
  <conditionalFormatting sqref="P46">
    <cfRule type="cellIs" dxfId="6314" priority="65" operator="lessThan">
      <formula>50</formula>
    </cfRule>
  </conditionalFormatting>
  <conditionalFormatting sqref="H47:N47">
    <cfRule type="expression" dxfId="6313" priority="63">
      <formula>5</formula>
    </cfRule>
    <cfRule type="cellIs" dxfId="6312" priority="64" operator="lessThan">
      <formula>5</formula>
    </cfRule>
  </conditionalFormatting>
  <conditionalFormatting sqref="H47:N47">
    <cfRule type="cellIs" dxfId="6311" priority="62" operator="lessThan">
      <formula>50</formula>
    </cfRule>
  </conditionalFormatting>
  <conditionalFormatting sqref="P47">
    <cfRule type="cellIs" dxfId="6310" priority="61" operator="lessThan">
      <formula>50</formula>
    </cfRule>
  </conditionalFormatting>
  <conditionalFormatting sqref="H48:N48">
    <cfRule type="expression" dxfId="6309" priority="59">
      <formula>5</formula>
    </cfRule>
    <cfRule type="cellIs" dxfId="6308" priority="60" operator="lessThan">
      <formula>5</formula>
    </cfRule>
  </conditionalFormatting>
  <conditionalFormatting sqref="H48:N48">
    <cfRule type="cellIs" dxfId="6307" priority="58" operator="lessThan">
      <formula>50</formula>
    </cfRule>
  </conditionalFormatting>
  <conditionalFormatting sqref="P48">
    <cfRule type="cellIs" dxfId="6306" priority="57" operator="lessThan">
      <formula>50</formula>
    </cfRule>
  </conditionalFormatting>
  <conditionalFormatting sqref="H49:N49">
    <cfRule type="expression" dxfId="6305" priority="55">
      <formula>5</formula>
    </cfRule>
    <cfRule type="cellIs" dxfId="6304" priority="56" operator="lessThan">
      <formula>5</formula>
    </cfRule>
  </conditionalFormatting>
  <conditionalFormatting sqref="H49:N49">
    <cfRule type="cellIs" dxfId="6303" priority="54" operator="lessThan">
      <formula>50</formula>
    </cfRule>
  </conditionalFormatting>
  <conditionalFormatting sqref="P49">
    <cfRule type="cellIs" dxfId="6302" priority="53" operator="lessThan">
      <formula>50</formula>
    </cfRule>
  </conditionalFormatting>
  <conditionalFormatting sqref="H50:N50">
    <cfRule type="expression" dxfId="6301" priority="51">
      <formula>5</formula>
    </cfRule>
    <cfRule type="cellIs" dxfId="6300" priority="52" operator="lessThan">
      <formula>5</formula>
    </cfRule>
  </conditionalFormatting>
  <conditionalFormatting sqref="H50:N50">
    <cfRule type="cellIs" dxfId="6299" priority="50" operator="lessThan">
      <formula>50</formula>
    </cfRule>
  </conditionalFormatting>
  <conditionalFormatting sqref="P50">
    <cfRule type="cellIs" dxfId="6298" priority="49" operator="lessThan">
      <formula>50</formula>
    </cfRule>
  </conditionalFormatting>
  <conditionalFormatting sqref="H51:N51">
    <cfRule type="expression" dxfId="6297" priority="47">
      <formula>5</formula>
    </cfRule>
    <cfRule type="cellIs" dxfId="6296" priority="48" operator="lessThan">
      <formula>5</formula>
    </cfRule>
  </conditionalFormatting>
  <conditionalFormatting sqref="H51:N51">
    <cfRule type="cellIs" dxfId="6295" priority="46" operator="lessThan">
      <formula>50</formula>
    </cfRule>
  </conditionalFormatting>
  <conditionalFormatting sqref="P51">
    <cfRule type="cellIs" dxfId="6294" priority="45" operator="lessThan">
      <formula>50</formula>
    </cfRule>
  </conditionalFormatting>
  <conditionalFormatting sqref="H52:N52">
    <cfRule type="expression" dxfId="6293" priority="43">
      <formula>5</formula>
    </cfRule>
    <cfRule type="cellIs" dxfId="6292" priority="44" operator="lessThan">
      <formula>5</formula>
    </cfRule>
  </conditionalFormatting>
  <conditionalFormatting sqref="H52:N52">
    <cfRule type="cellIs" dxfId="6291" priority="42" operator="lessThan">
      <formula>50</formula>
    </cfRule>
  </conditionalFormatting>
  <conditionalFormatting sqref="P52">
    <cfRule type="cellIs" dxfId="6290" priority="41" operator="lessThan">
      <formula>50</formula>
    </cfRule>
  </conditionalFormatting>
  <conditionalFormatting sqref="H53:N53">
    <cfRule type="expression" dxfId="6289" priority="39">
      <formula>5</formula>
    </cfRule>
    <cfRule type="cellIs" dxfId="6288" priority="40" operator="lessThan">
      <formula>5</formula>
    </cfRule>
  </conditionalFormatting>
  <conditionalFormatting sqref="H53:N53">
    <cfRule type="cellIs" dxfId="6287" priority="38" operator="lessThan">
      <formula>50</formula>
    </cfRule>
  </conditionalFormatting>
  <conditionalFormatting sqref="P53">
    <cfRule type="cellIs" dxfId="6286" priority="37" operator="lessThan">
      <formula>50</formula>
    </cfRule>
  </conditionalFormatting>
  <conditionalFormatting sqref="H54:N54">
    <cfRule type="expression" dxfId="6285" priority="35">
      <formula>5</formula>
    </cfRule>
    <cfRule type="cellIs" dxfId="6284" priority="36" operator="lessThan">
      <formula>5</formula>
    </cfRule>
  </conditionalFormatting>
  <conditionalFormatting sqref="H54:N54">
    <cfRule type="cellIs" dxfId="6283" priority="34" operator="lessThan">
      <formula>50</formula>
    </cfRule>
  </conditionalFormatting>
  <conditionalFormatting sqref="P54">
    <cfRule type="cellIs" dxfId="6282" priority="33" operator="lessThan">
      <formula>50</formula>
    </cfRule>
  </conditionalFormatting>
  <conditionalFormatting sqref="H55:N55">
    <cfRule type="expression" dxfId="6281" priority="31">
      <formula>5</formula>
    </cfRule>
    <cfRule type="cellIs" dxfId="6280" priority="32" operator="lessThan">
      <formula>5</formula>
    </cfRule>
  </conditionalFormatting>
  <conditionalFormatting sqref="H55:N55">
    <cfRule type="cellIs" dxfId="6279" priority="30" operator="lessThan">
      <formula>50</formula>
    </cfRule>
  </conditionalFormatting>
  <conditionalFormatting sqref="P55">
    <cfRule type="cellIs" dxfId="6278" priority="29" operator="lessThan">
      <formula>50</formula>
    </cfRule>
  </conditionalFormatting>
  <conditionalFormatting sqref="H56:N56">
    <cfRule type="expression" dxfId="6277" priority="27">
      <formula>5</formula>
    </cfRule>
    <cfRule type="cellIs" dxfId="6276" priority="28" operator="lessThan">
      <formula>5</formula>
    </cfRule>
  </conditionalFormatting>
  <conditionalFormatting sqref="H56:N56">
    <cfRule type="cellIs" dxfId="6275" priority="26" operator="lessThan">
      <formula>50</formula>
    </cfRule>
  </conditionalFormatting>
  <conditionalFormatting sqref="P56">
    <cfRule type="cellIs" dxfId="6274" priority="25" operator="lessThan">
      <formula>50</formula>
    </cfRule>
  </conditionalFormatting>
  <conditionalFormatting sqref="H57:N57">
    <cfRule type="expression" dxfId="6273" priority="23">
      <formula>5</formula>
    </cfRule>
    <cfRule type="cellIs" dxfId="6272" priority="24" operator="lessThan">
      <formula>5</formula>
    </cfRule>
  </conditionalFormatting>
  <conditionalFormatting sqref="H57:N57">
    <cfRule type="cellIs" dxfId="6271" priority="22" operator="lessThan">
      <formula>50</formula>
    </cfRule>
  </conditionalFormatting>
  <conditionalFormatting sqref="P57">
    <cfRule type="cellIs" dxfId="6270" priority="21" operator="lessThan">
      <formula>50</formula>
    </cfRule>
  </conditionalFormatting>
  <conditionalFormatting sqref="H58:N58">
    <cfRule type="expression" dxfId="6269" priority="19">
      <formula>5</formula>
    </cfRule>
    <cfRule type="cellIs" dxfId="6268" priority="20" operator="lessThan">
      <formula>5</formula>
    </cfRule>
  </conditionalFormatting>
  <conditionalFormatting sqref="H58:N58">
    <cfRule type="cellIs" dxfId="6267" priority="18" operator="lessThan">
      <formula>50</formula>
    </cfRule>
  </conditionalFormatting>
  <conditionalFormatting sqref="P58">
    <cfRule type="cellIs" dxfId="6266" priority="17" operator="lessThan">
      <formula>50</formula>
    </cfRule>
  </conditionalFormatting>
  <conditionalFormatting sqref="H59:N59">
    <cfRule type="expression" dxfId="6265" priority="15">
      <formula>5</formula>
    </cfRule>
    <cfRule type="cellIs" dxfId="6264" priority="16" operator="lessThan">
      <formula>5</formula>
    </cfRule>
  </conditionalFormatting>
  <conditionalFormatting sqref="H59:N59">
    <cfRule type="cellIs" dxfId="6263" priority="14" operator="lessThan">
      <formula>50</formula>
    </cfRule>
  </conditionalFormatting>
  <conditionalFormatting sqref="P59">
    <cfRule type="cellIs" dxfId="6262" priority="13" operator="lessThan">
      <formula>50</formula>
    </cfRule>
  </conditionalFormatting>
  <conditionalFormatting sqref="H60:N60">
    <cfRule type="expression" dxfId="6261" priority="11">
      <formula>5</formula>
    </cfRule>
    <cfRule type="cellIs" dxfId="6260" priority="12" operator="lessThan">
      <formula>5</formula>
    </cfRule>
  </conditionalFormatting>
  <conditionalFormatting sqref="H60:N60">
    <cfRule type="cellIs" dxfId="6259" priority="10" operator="lessThan">
      <formula>50</formula>
    </cfRule>
  </conditionalFormatting>
  <conditionalFormatting sqref="P60">
    <cfRule type="cellIs" dxfId="6258" priority="9" operator="lessThan">
      <formula>50</formula>
    </cfRule>
  </conditionalFormatting>
  <conditionalFormatting sqref="H61:N61">
    <cfRule type="expression" dxfId="6257" priority="7">
      <formula>5</formula>
    </cfRule>
    <cfRule type="cellIs" dxfId="6256" priority="8" operator="lessThan">
      <formula>5</formula>
    </cfRule>
  </conditionalFormatting>
  <conditionalFormatting sqref="H61:N61">
    <cfRule type="cellIs" dxfId="6255" priority="6" operator="lessThan">
      <formula>50</formula>
    </cfRule>
  </conditionalFormatting>
  <conditionalFormatting sqref="P61">
    <cfRule type="cellIs" dxfId="6254" priority="5" operator="lessThan">
      <formula>50</formula>
    </cfRule>
  </conditionalFormatting>
  <conditionalFormatting sqref="H62:N62">
    <cfRule type="expression" dxfId="6253" priority="3">
      <formula>5</formula>
    </cfRule>
    <cfRule type="cellIs" dxfId="6252" priority="4" operator="lessThan">
      <formula>5</formula>
    </cfRule>
  </conditionalFormatting>
  <conditionalFormatting sqref="H62:N62">
    <cfRule type="cellIs" dxfId="6251" priority="2" operator="lessThan">
      <formula>50</formula>
    </cfRule>
  </conditionalFormatting>
  <conditionalFormatting sqref="P62">
    <cfRule type="cellIs" dxfId="6250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8:E8 D12:E13 D15:E16 D29:E29 D31:E32 D42:E43" xr:uid="{F1DFBCC0-87C0-474B-8D55-C279CB6A07A8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6DB3-F2AC-4D8D-994B-2AE4A35C3D32}">
  <sheetPr codeName="Sheet97"/>
  <dimension ref="A1:Q62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6" width="4.7109375" style="44" customWidth="1"/>
    <col min="17" max="17" width="4.7109375" customWidth="1"/>
  </cols>
  <sheetData>
    <row r="1" spans="1:17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42"/>
      <c r="Q4" s="11"/>
    </row>
    <row r="5" spans="1:17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42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7</v>
      </c>
      <c r="I6" s="39" t="s">
        <v>11</v>
      </c>
      <c r="J6" s="39" t="s">
        <v>12</v>
      </c>
      <c r="K6" s="39" t="s">
        <v>2</v>
      </c>
      <c r="L6" s="39" t="s">
        <v>5319</v>
      </c>
      <c r="M6" s="39" t="s">
        <v>10</v>
      </c>
      <c r="N6" s="39" t="s">
        <v>3</v>
      </c>
      <c r="O6" s="39" t="s">
        <v>5320</v>
      </c>
      <c r="P6" s="53" t="s">
        <v>5321</v>
      </c>
      <c r="Q6" s="39" t="s">
        <v>5324</v>
      </c>
    </row>
    <row r="7" spans="1:17" ht="18" customHeight="1" thickTop="1">
      <c r="A7" s="19">
        <v>1</v>
      </c>
      <c r="B7" s="2" t="s">
        <v>2064</v>
      </c>
      <c r="C7" s="1" t="s">
        <v>2065</v>
      </c>
      <c r="D7" s="3" t="s">
        <v>2066</v>
      </c>
      <c r="E7" s="1" t="s">
        <v>88</v>
      </c>
      <c r="F7" s="10" t="s">
        <v>1950</v>
      </c>
      <c r="G7" s="2">
        <v>25</v>
      </c>
      <c r="H7" s="6">
        <v>82</v>
      </c>
      <c r="I7" s="6">
        <v>100</v>
      </c>
      <c r="J7" s="6">
        <v>88</v>
      </c>
      <c r="K7" s="6">
        <v>88</v>
      </c>
      <c r="L7" s="6">
        <v>92</v>
      </c>
      <c r="M7" s="6">
        <v>100</v>
      </c>
      <c r="N7" s="6">
        <v>47</v>
      </c>
      <c r="O7" s="1">
        <f t="shared" ref="O7:O38" si="0">SUBTOTAL(9,H7:N7)</f>
        <v>597</v>
      </c>
      <c r="P7" s="14">
        <f t="shared" ref="P7:P38" si="1">O7/7</f>
        <v>85.285714285714292</v>
      </c>
      <c r="Q7" s="20">
        <f t="shared" ref="Q7:Q38" si="2">RANK(P7,P$7:P$286,0)</f>
        <v>1</v>
      </c>
    </row>
    <row r="8" spans="1:17" ht="18" customHeight="1">
      <c r="A8" s="19">
        <v>2</v>
      </c>
      <c r="B8" s="2" t="s">
        <v>2104</v>
      </c>
      <c r="C8" s="1">
        <v>311260926</v>
      </c>
      <c r="D8" s="3" t="s">
        <v>2105</v>
      </c>
      <c r="E8" s="1" t="s">
        <v>74</v>
      </c>
      <c r="F8" s="10" t="s">
        <v>1950</v>
      </c>
      <c r="G8" s="2">
        <v>26</v>
      </c>
      <c r="H8" s="6">
        <v>96</v>
      </c>
      <c r="I8" s="6">
        <v>65</v>
      </c>
      <c r="J8" s="6">
        <v>88</v>
      </c>
      <c r="K8" s="6">
        <v>100</v>
      </c>
      <c r="L8" s="6">
        <v>100</v>
      </c>
      <c r="M8" s="6">
        <v>58</v>
      </c>
      <c r="N8" s="6">
        <v>89</v>
      </c>
      <c r="O8" s="1">
        <f t="shared" si="0"/>
        <v>596</v>
      </c>
      <c r="P8" s="14">
        <f t="shared" si="1"/>
        <v>85.142857142857139</v>
      </c>
      <c r="Q8" s="20">
        <f t="shared" si="2"/>
        <v>2</v>
      </c>
    </row>
    <row r="9" spans="1:17" ht="18" customHeight="1">
      <c r="A9" s="19">
        <v>3</v>
      </c>
      <c r="B9" s="2" t="s">
        <v>2046</v>
      </c>
      <c r="C9" s="1" t="s">
        <v>2047</v>
      </c>
      <c r="D9" s="3" t="s">
        <v>2048</v>
      </c>
      <c r="E9" s="1" t="s">
        <v>77</v>
      </c>
      <c r="F9" s="10" t="s">
        <v>1950</v>
      </c>
      <c r="G9" s="2">
        <v>25</v>
      </c>
      <c r="H9" s="6">
        <v>92</v>
      </c>
      <c r="I9" s="6">
        <v>84</v>
      </c>
      <c r="J9" s="6">
        <v>84</v>
      </c>
      <c r="K9" s="6">
        <v>76</v>
      </c>
      <c r="L9" s="6">
        <v>88</v>
      </c>
      <c r="M9" s="6">
        <v>92</v>
      </c>
      <c r="N9" s="6">
        <v>77</v>
      </c>
      <c r="O9" s="1">
        <f t="shared" si="0"/>
        <v>593</v>
      </c>
      <c r="P9" s="14">
        <f t="shared" si="1"/>
        <v>84.714285714285708</v>
      </c>
      <c r="Q9" s="20">
        <f t="shared" si="2"/>
        <v>3</v>
      </c>
    </row>
    <row r="10" spans="1:17" ht="18" customHeight="1">
      <c r="A10" s="19">
        <v>4</v>
      </c>
      <c r="B10" s="2" t="s">
        <v>2026</v>
      </c>
      <c r="C10" s="1" t="s">
        <v>2027</v>
      </c>
      <c r="D10" s="3" t="s">
        <v>2028</v>
      </c>
      <c r="E10" s="1" t="s">
        <v>62</v>
      </c>
      <c r="F10" s="10" t="s">
        <v>1950</v>
      </c>
      <c r="G10" s="2">
        <v>25</v>
      </c>
      <c r="H10" s="6">
        <v>96</v>
      </c>
      <c r="I10" s="6">
        <v>51</v>
      </c>
      <c r="J10" s="6">
        <v>84</v>
      </c>
      <c r="K10" s="6">
        <v>92</v>
      </c>
      <c r="L10" s="6">
        <v>90</v>
      </c>
      <c r="M10" s="6">
        <v>72</v>
      </c>
      <c r="N10" s="6">
        <v>54</v>
      </c>
      <c r="O10" s="1">
        <f t="shared" si="0"/>
        <v>539</v>
      </c>
      <c r="P10" s="14">
        <f t="shared" si="1"/>
        <v>77</v>
      </c>
      <c r="Q10" s="20">
        <f t="shared" si="2"/>
        <v>4</v>
      </c>
    </row>
    <row r="11" spans="1:17" ht="18" customHeight="1">
      <c r="A11" s="19">
        <v>5</v>
      </c>
      <c r="B11" s="2" t="s">
        <v>2035</v>
      </c>
      <c r="C11" s="1" t="s">
        <v>2036</v>
      </c>
      <c r="D11" s="3" t="s">
        <v>1927</v>
      </c>
      <c r="E11" s="1" t="s">
        <v>81</v>
      </c>
      <c r="F11" s="10" t="s">
        <v>1950</v>
      </c>
      <c r="G11" s="2">
        <v>25</v>
      </c>
      <c r="H11" s="6">
        <v>100</v>
      </c>
      <c r="I11" s="6">
        <v>61</v>
      </c>
      <c r="J11" s="6">
        <v>82</v>
      </c>
      <c r="K11" s="6">
        <v>39</v>
      </c>
      <c r="L11" s="6">
        <v>86</v>
      </c>
      <c r="M11" s="6">
        <v>74</v>
      </c>
      <c r="N11" s="6">
        <v>73</v>
      </c>
      <c r="O11" s="1">
        <f t="shared" si="0"/>
        <v>515</v>
      </c>
      <c r="P11" s="14">
        <f t="shared" si="1"/>
        <v>73.571428571428569</v>
      </c>
      <c r="Q11" s="20">
        <f t="shared" si="2"/>
        <v>5</v>
      </c>
    </row>
    <row r="12" spans="1:17" ht="18" customHeight="1">
      <c r="A12" s="19">
        <v>6</v>
      </c>
      <c r="B12" s="2" t="s">
        <v>2097</v>
      </c>
      <c r="C12" s="1">
        <v>311260308</v>
      </c>
      <c r="D12" s="3" t="s">
        <v>91</v>
      </c>
      <c r="E12" s="1" t="s">
        <v>69</v>
      </c>
      <c r="F12" s="10" t="s">
        <v>1950</v>
      </c>
      <c r="G12" s="2">
        <v>26</v>
      </c>
      <c r="H12" s="6">
        <v>82</v>
      </c>
      <c r="I12" s="6">
        <v>82</v>
      </c>
      <c r="J12" s="6">
        <v>76</v>
      </c>
      <c r="K12" s="6">
        <v>52</v>
      </c>
      <c r="L12" s="6">
        <v>78</v>
      </c>
      <c r="M12" s="6">
        <v>100</v>
      </c>
      <c r="N12" s="6">
        <v>43</v>
      </c>
      <c r="O12" s="1">
        <f t="shared" si="0"/>
        <v>513</v>
      </c>
      <c r="P12" s="14">
        <f t="shared" si="1"/>
        <v>73.285714285714292</v>
      </c>
      <c r="Q12" s="20">
        <f t="shared" si="2"/>
        <v>6</v>
      </c>
    </row>
    <row r="13" spans="1:17" ht="18" customHeight="1">
      <c r="A13" s="19">
        <v>7</v>
      </c>
      <c r="B13" s="2" t="s">
        <v>2061</v>
      </c>
      <c r="C13" s="1" t="s">
        <v>2062</v>
      </c>
      <c r="D13" s="3" t="s">
        <v>2063</v>
      </c>
      <c r="E13" s="1" t="s">
        <v>88</v>
      </c>
      <c r="F13" s="10" t="s">
        <v>1950</v>
      </c>
      <c r="G13" s="2">
        <v>25</v>
      </c>
      <c r="H13" s="6">
        <v>78</v>
      </c>
      <c r="I13" s="6">
        <v>72</v>
      </c>
      <c r="J13" s="6">
        <v>70</v>
      </c>
      <c r="K13" s="6">
        <v>52</v>
      </c>
      <c r="L13" s="6">
        <v>88</v>
      </c>
      <c r="M13" s="6">
        <v>76</v>
      </c>
      <c r="N13" s="6">
        <v>51</v>
      </c>
      <c r="O13" s="1">
        <f t="shared" si="0"/>
        <v>487</v>
      </c>
      <c r="P13" s="14">
        <f t="shared" si="1"/>
        <v>69.571428571428569</v>
      </c>
      <c r="Q13" s="20">
        <f t="shared" si="2"/>
        <v>7</v>
      </c>
    </row>
    <row r="14" spans="1:17" ht="18" customHeight="1">
      <c r="A14" s="19">
        <v>8</v>
      </c>
      <c r="B14" s="2" t="s">
        <v>2020</v>
      </c>
      <c r="C14" s="1" t="s">
        <v>2021</v>
      </c>
      <c r="D14" s="3" t="s">
        <v>2022</v>
      </c>
      <c r="E14" s="1" t="s">
        <v>61</v>
      </c>
      <c r="F14" s="10" t="s">
        <v>1950</v>
      </c>
      <c r="G14" s="2">
        <v>25</v>
      </c>
      <c r="H14" s="6">
        <v>74</v>
      </c>
      <c r="I14" s="6">
        <v>66</v>
      </c>
      <c r="J14" s="6">
        <v>78</v>
      </c>
      <c r="K14" s="6">
        <v>70</v>
      </c>
      <c r="L14" s="6">
        <v>82</v>
      </c>
      <c r="M14" s="6">
        <v>52</v>
      </c>
      <c r="N14" s="6">
        <v>62</v>
      </c>
      <c r="O14" s="1">
        <f t="shared" si="0"/>
        <v>484</v>
      </c>
      <c r="P14" s="14">
        <f t="shared" si="1"/>
        <v>69.142857142857139</v>
      </c>
      <c r="Q14" s="20">
        <f t="shared" si="2"/>
        <v>8</v>
      </c>
    </row>
    <row r="15" spans="1:17" ht="18" customHeight="1">
      <c r="A15" s="19">
        <v>9</v>
      </c>
      <c r="B15" s="2" t="s">
        <v>2040</v>
      </c>
      <c r="C15" s="1" t="s">
        <v>2041</v>
      </c>
      <c r="D15" s="3" t="s">
        <v>2042</v>
      </c>
      <c r="E15" s="1" t="s">
        <v>77</v>
      </c>
      <c r="F15" s="10" t="s">
        <v>1950</v>
      </c>
      <c r="G15" s="2">
        <v>25</v>
      </c>
      <c r="H15" s="6">
        <v>100</v>
      </c>
      <c r="I15" s="6">
        <v>31</v>
      </c>
      <c r="J15" s="6">
        <v>74</v>
      </c>
      <c r="K15" s="6">
        <v>72</v>
      </c>
      <c r="L15" s="6">
        <v>88</v>
      </c>
      <c r="M15" s="6">
        <v>48</v>
      </c>
      <c r="N15" s="6">
        <v>51</v>
      </c>
      <c r="O15" s="1">
        <f t="shared" si="0"/>
        <v>464</v>
      </c>
      <c r="P15" s="14">
        <f t="shared" si="1"/>
        <v>66.285714285714292</v>
      </c>
      <c r="Q15" s="20">
        <f t="shared" si="2"/>
        <v>9</v>
      </c>
    </row>
    <row r="16" spans="1:17" ht="18" customHeight="1">
      <c r="A16" s="19">
        <v>10</v>
      </c>
      <c r="B16" s="2" t="s">
        <v>2017</v>
      </c>
      <c r="C16" s="1" t="s">
        <v>2018</v>
      </c>
      <c r="D16" s="3" t="s">
        <v>2019</v>
      </c>
      <c r="E16" s="1" t="s">
        <v>60</v>
      </c>
      <c r="F16" s="10" t="s">
        <v>1950</v>
      </c>
      <c r="G16" s="2">
        <v>25</v>
      </c>
      <c r="H16" s="6">
        <v>86</v>
      </c>
      <c r="I16" s="6">
        <v>35</v>
      </c>
      <c r="J16" s="6">
        <v>66</v>
      </c>
      <c r="K16" s="6">
        <v>58</v>
      </c>
      <c r="L16" s="6">
        <v>96</v>
      </c>
      <c r="M16" s="6">
        <v>50</v>
      </c>
      <c r="N16" s="6">
        <v>39</v>
      </c>
      <c r="O16" s="1">
        <f t="shared" si="0"/>
        <v>430</v>
      </c>
      <c r="P16" s="14">
        <f t="shared" si="1"/>
        <v>61.428571428571431</v>
      </c>
      <c r="Q16" s="20">
        <f t="shared" si="2"/>
        <v>10</v>
      </c>
    </row>
    <row r="17" spans="1:17" ht="18" customHeight="1">
      <c r="A17" s="19">
        <v>11</v>
      </c>
      <c r="B17" s="2" t="s">
        <v>2079</v>
      </c>
      <c r="C17" s="1" t="s">
        <v>2080</v>
      </c>
      <c r="D17" s="3" t="s">
        <v>2081</v>
      </c>
      <c r="E17" s="1" t="s">
        <v>82</v>
      </c>
      <c r="F17" s="10" t="s">
        <v>1950</v>
      </c>
      <c r="G17" s="2">
        <v>26</v>
      </c>
      <c r="H17" s="6">
        <v>88</v>
      </c>
      <c r="I17" s="6">
        <v>45</v>
      </c>
      <c r="J17" s="6">
        <v>66</v>
      </c>
      <c r="K17" s="6">
        <v>68</v>
      </c>
      <c r="L17" s="6">
        <v>54</v>
      </c>
      <c r="M17" s="6">
        <v>51</v>
      </c>
      <c r="N17" s="6">
        <v>54</v>
      </c>
      <c r="O17" s="1">
        <f t="shared" si="0"/>
        <v>426</v>
      </c>
      <c r="P17" s="14">
        <f t="shared" si="1"/>
        <v>60.857142857142854</v>
      </c>
      <c r="Q17" s="20">
        <f t="shared" si="2"/>
        <v>11</v>
      </c>
    </row>
    <row r="18" spans="1:17" ht="18" customHeight="1">
      <c r="A18" s="19">
        <v>12</v>
      </c>
      <c r="B18" s="2" t="s">
        <v>2094</v>
      </c>
      <c r="C18" s="1" t="s">
        <v>2095</v>
      </c>
      <c r="D18" s="3" t="s">
        <v>2096</v>
      </c>
      <c r="E18" s="1" t="s">
        <v>85</v>
      </c>
      <c r="F18" s="10" t="s">
        <v>1950</v>
      </c>
      <c r="G18" s="2">
        <v>26</v>
      </c>
      <c r="H18" s="6">
        <v>82</v>
      </c>
      <c r="I18" s="6">
        <v>44</v>
      </c>
      <c r="J18" s="6">
        <v>48</v>
      </c>
      <c r="K18" s="6">
        <v>51</v>
      </c>
      <c r="L18" s="6">
        <v>64</v>
      </c>
      <c r="M18" s="6">
        <v>80</v>
      </c>
      <c r="N18" s="6">
        <v>47</v>
      </c>
      <c r="O18" s="1">
        <f t="shared" si="0"/>
        <v>416</v>
      </c>
      <c r="P18" s="14">
        <f t="shared" si="1"/>
        <v>59.428571428571431</v>
      </c>
      <c r="Q18" s="20">
        <f t="shared" si="2"/>
        <v>12</v>
      </c>
    </row>
    <row r="19" spans="1:17" ht="18" customHeight="1">
      <c r="A19" s="19">
        <v>13</v>
      </c>
      <c r="B19" s="2" t="s">
        <v>2085</v>
      </c>
      <c r="C19" s="1" t="s">
        <v>2086</v>
      </c>
      <c r="D19" s="3" t="s">
        <v>2087</v>
      </c>
      <c r="E19" s="1" t="s">
        <v>66</v>
      </c>
      <c r="F19" s="10" t="s">
        <v>1950</v>
      </c>
      <c r="G19" s="2">
        <v>26</v>
      </c>
      <c r="H19" s="6">
        <v>88</v>
      </c>
      <c r="I19" s="6">
        <v>31</v>
      </c>
      <c r="J19" s="6">
        <v>56</v>
      </c>
      <c r="K19" s="6">
        <v>53</v>
      </c>
      <c r="L19" s="6">
        <v>54</v>
      </c>
      <c r="M19" s="6">
        <v>72</v>
      </c>
      <c r="N19" s="6">
        <v>51</v>
      </c>
      <c r="O19" s="1">
        <f t="shared" si="0"/>
        <v>405</v>
      </c>
      <c r="P19" s="14">
        <f t="shared" si="1"/>
        <v>57.857142857142854</v>
      </c>
      <c r="Q19" s="20">
        <f t="shared" si="2"/>
        <v>13</v>
      </c>
    </row>
    <row r="20" spans="1:17" ht="18" customHeight="1">
      <c r="A20" s="19">
        <v>14</v>
      </c>
      <c r="B20" s="2" t="s">
        <v>2088</v>
      </c>
      <c r="C20" s="1" t="s">
        <v>2089</v>
      </c>
      <c r="D20" s="3" t="s">
        <v>2090</v>
      </c>
      <c r="E20" s="1" t="s">
        <v>67</v>
      </c>
      <c r="F20" s="10" t="s">
        <v>1950</v>
      </c>
      <c r="G20" s="2">
        <v>26</v>
      </c>
      <c r="H20" s="6">
        <v>86</v>
      </c>
      <c r="I20" s="6">
        <v>27</v>
      </c>
      <c r="J20" s="6">
        <v>74</v>
      </c>
      <c r="K20" s="6">
        <v>38</v>
      </c>
      <c r="L20" s="6">
        <v>55</v>
      </c>
      <c r="M20" s="6">
        <v>70</v>
      </c>
      <c r="N20" s="6">
        <v>54</v>
      </c>
      <c r="O20" s="1">
        <f t="shared" si="0"/>
        <v>404</v>
      </c>
      <c r="P20" s="14">
        <f t="shared" si="1"/>
        <v>57.714285714285715</v>
      </c>
      <c r="Q20" s="20">
        <f t="shared" si="2"/>
        <v>14</v>
      </c>
    </row>
    <row r="21" spans="1:17" ht="18" customHeight="1">
      <c r="A21" s="19">
        <v>15</v>
      </c>
      <c r="B21" s="2" t="s">
        <v>2102</v>
      </c>
      <c r="C21" s="1">
        <v>311260434</v>
      </c>
      <c r="D21" s="3" t="s">
        <v>2103</v>
      </c>
      <c r="E21" s="1" t="s">
        <v>76</v>
      </c>
      <c r="F21" s="10" t="s">
        <v>1950</v>
      </c>
      <c r="G21" s="2">
        <v>26</v>
      </c>
      <c r="H21" s="6">
        <v>76</v>
      </c>
      <c r="I21" s="6">
        <v>26</v>
      </c>
      <c r="J21" s="6">
        <v>41</v>
      </c>
      <c r="K21" s="6">
        <v>66</v>
      </c>
      <c r="L21" s="6">
        <v>61</v>
      </c>
      <c r="M21" s="6">
        <v>31</v>
      </c>
      <c r="N21" s="6">
        <v>96</v>
      </c>
      <c r="O21" s="1">
        <f t="shared" si="0"/>
        <v>397</v>
      </c>
      <c r="P21" s="14">
        <f t="shared" si="1"/>
        <v>56.714285714285715</v>
      </c>
      <c r="Q21" s="20">
        <f t="shared" si="2"/>
        <v>15</v>
      </c>
    </row>
    <row r="22" spans="1:17" ht="18" customHeight="1">
      <c r="A22" s="19">
        <v>16</v>
      </c>
      <c r="B22" s="2" t="s">
        <v>1957</v>
      </c>
      <c r="C22" s="1" t="s">
        <v>1958</v>
      </c>
      <c r="D22" s="3" t="s">
        <v>1959</v>
      </c>
      <c r="E22" s="1" t="s">
        <v>85</v>
      </c>
      <c r="F22" s="10" t="s">
        <v>1950</v>
      </c>
      <c r="G22" s="2">
        <v>24</v>
      </c>
      <c r="H22" s="6">
        <v>74</v>
      </c>
      <c r="I22" s="6">
        <v>31</v>
      </c>
      <c r="J22" s="6">
        <v>61</v>
      </c>
      <c r="K22" s="6">
        <v>48</v>
      </c>
      <c r="L22" s="6">
        <v>53</v>
      </c>
      <c r="M22" s="6">
        <v>62</v>
      </c>
      <c r="N22" s="6">
        <v>58</v>
      </c>
      <c r="O22" s="1">
        <f t="shared" si="0"/>
        <v>387</v>
      </c>
      <c r="P22" s="14">
        <f t="shared" si="1"/>
        <v>55.285714285714285</v>
      </c>
      <c r="Q22" s="20">
        <f t="shared" si="2"/>
        <v>16</v>
      </c>
    </row>
    <row r="23" spans="1:17" ht="18" customHeight="1">
      <c r="A23" s="19">
        <v>17</v>
      </c>
      <c r="B23" s="2" t="s">
        <v>2011</v>
      </c>
      <c r="C23" s="1" t="s">
        <v>2012</v>
      </c>
      <c r="D23" s="3" t="s">
        <v>2013</v>
      </c>
      <c r="E23" s="1" t="s">
        <v>58</v>
      </c>
      <c r="F23" s="10" t="s">
        <v>1950</v>
      </c>
      <c r="G23" s="2">
        <v>25</v>
      </c>
      <c r="H23" s="6">
        <v>59</v>
      </c>
      <c r="I23" s="6">
        <v>40</v>
      </c>
      <c r="J23" s="6">
        <v>40</v>
      </c>
      <c r="K23" s="6">
        <v>68</v>
      </c>
      <c r="L23" s="6">
        <v>84</v>
      </c>
      <c r="M23" s="6">
        <v>44</v>
      </c>
      <c r="N23" s="6">
        <v>51</v>
      </c>
      <c r="O23" s="1">
        <f t="shared" si="0"/>
        <v>386</v>
      </c>
      <c r="P23" s="14">
        <f t="shared" si="1"/>
        <v>55.142857142857146</v>
      </c>
      <c r="Q23" s="20">
        <f t="shared" si="2"/>
        <v>17</v>
      </c>
    </row>
    <row r="24" spans="1:17" ht="18" customHeight="1">
      <c r="A24" s="19">
        <v>18</v>
      </c>
      <c r="B24" s="2" t="s">
        <v>1960</v>
      </c>
      <c r="C24" s="1" t="s">
        <v>1961</v>
      </c>
      <c r="D24" s="3" t="s">
        <v>1962</v>
      </c>
      <c r="E24" s="1" t="s">
        <v>69</v>
      </c>
      <c r="F24" s="10" t="s">
        <v>1950</v>
      </c>
      <c r="G24" s="2">
        <v>24</v>
      </c>
      <c r="H24" s="6">
        <v>54</v>
      </c>
      <c r="I24" s="6">
        <v>27</v>
      </c>
      <c r="J24" s="6">
        <v>66</v>
      </c>
      <c r="K24" s="6">
        <v>80</v>
      </c>
      <c r="L24" s="6">
        <v>59</v>
      </c>
      <c r="M24" s="6">
        <v>56</v>
      </c>
      <c r="N24" s="6">
        <v>43</v>
      </c>
      <c r="O24" s="1">
        <f t="shared" si="0"/>
        <v>385</v>
      </c>
      <c r="P24" s="14">
        <f t="shared" si="1"/>
        <v>55</v>
      </c>
      <c r="Q24" s="20">
        <f t="shared" si="2"/>
        <v>18</v>
      </c>
    </row>
    <row r="25" spans="1:17" ht="18" customHeight="1">
      <c r="A25" s="19">
        <v>19</v>
      </c>
      <c r="B25" s="2" t="s">
        <v>2055</v>
      </c>
      <c r="C25" s="1" t="s">
        <v>2056</v>
      </c>
      <c r="D25" s="3" t="s">
        <v>2057</v>
      </c>
      <c r="E25" s="1" t="s">
        <v>74</v>
      </c>
      <c r="F25" s="10" t="s">
        <v>1950</v>
      </c>
      <c r="G25" s="2">
        <v>25</v>
      </c>
      <c r="H25" s="6">
        <v>64</v>
      </c>
      <c r="I25" s="6">
        <v>20</v>
      </c>
      <c r="J25" s="6">
        <v>26</v>
      </c>
      <c r="K25" s="6">
        <v>57</v>
      </c>
      <c r="L25" s="6">
        <v>72</v>
      </c>
      <c r="M25" s="6">
        <v>96</v>
      </c>
      <c r="N25" s="6">
        <v>43</v>
      </c>
      <c r="O25" s="1">
        <f t="shared" si="0"/>
        <v>378</v>
      </c>
      <c r="P25" s="14">
        <f t="shared" si="1"/>
        <v>54</v>
      </c>
      <c r="Q25" s="20">
        <f t="shared" si="2"/>
        <v>19</v>
      </c>
    </row>
    <row r="26" spans="1:17" ht="18" customHeight="1">
      <c r="A26" s="19">
        <v>20</v>
      </c>
      <c r="B26" s="2" t="s">
        <v>1963</v>
      </c>
      <c r="C26" s="1" t="s">
        <v>1964</v>
      </c>
      <c r="D26" s="3" t="s">
        <v>1965</v>
      </c>
      <c r="E26" s="1" t="s">
        <v>69</v>
      </c>
      <c r="F26" s="10" t="s">
        <v>1950</v>
      </c>
      <c r="G26" s="2">
        <v>24</v>
      </c>
      <c r="H26" s="6">
        <v>77</v>
      </c>
      <c r="I26" s="6">
        <v>34</v>
      </c>
      <c r="J26" s="6">
        <v>47</v>
      </c>
      <c r="K26" s="6">
        <v>42</v>
      </c>
      <c r="L26" s="6">
        <v>70</v>
      </c>
      <c r="M26" s="6">
        <v>66</v>
      </c>
      <c r="N26" s="6">
        <v>39</v>
      </c>
      <c r="O26" s="1">
        <f t="shared" si="0"/>
        <v>375</v>
      </c>
      <c r="P26" s="14">
        <f t="shared" si="1"/>
        <v>53.571428571428569</v>
      </c>
      <c r="Q26" s="20">
        <f t="shared" si="2"/>
        <v>20</v>
      </c>
    </row>
    <row r="27" spans="1:17" ht="18" customHeight="1">
      <c r="A27" s="19">
        <v>21</v>
      </c>
      <c r="B27" s="2" t="s">
        <v>2043</v>
      </c>
      <c r="C27" s="1" t="s">
        <v>2044</v>
      </c>
      <c r="D27" s="3" t="s">
        <v>2045</v>
      </c>
      <c r="E27" s="1" t="s">
        <v>77</v>
      </c>
      <c r="F27" s="10" t="s">
        <v>1950</v>
      </c>
      <c r="G27" s="2">
        <v>25</v>
      </c>
      <c r="H27" s="6">
        <v>100</v>
      </c>
      <c r="I27" s="6">
        <v>18</v>
      </c>
      <c r="J27" s="6">
        <v>40</v>
      </c>
      <c r="K27" s="6">
        <v>51</v>
      </c>
      <c r="L27" s="6">
        <v>62</v>
      </c>
      <c r="M27" s="6">
        <v>47</v>
      </c>
      <c r="N27" s="6">
        <v>51</v>
      </c>
      <c r="O27" s="1">
        <f t="shared" si="0"/>
        <v>369</v>
      </c>
      <c r="P27" s="14">
        <f t="shared" si="1"/>
        <v>52.714285714285715</v>
      </c>
      <c r="Q27" s="20">
        <f t="shared" si="2"/>
        <v>21</v>
      </c>
    </row>
    <row r="28" spans="1:17" ht="18" customHeight="1">
      <c r="A28" s="19">
        <v>22</v>
      </c>
      <c r="B28" s="2" t="s">
        <v>2049</v>
      </c>
      <c r="C28" s="1" t="s">
        <v>2050</v>
      </c>
      <c r="D28" s="3" t="s">
        <v>2051</v>
      </c>
      <c r="E28" s="1" t="s">
        <v>84</v>
      </c>
      <c r="F28" s="10" t="s">
        <v>1950</v>
      </c>
      <c r="G28" s="2">
        <v>25</v>
      </c>
      <c r="H28" s="6">
        <v>69</v>
      </c>
      <c r="I28" s="6">
        <v>56</v>
      </c>
      <c r="J28" s="6">
        <v>76</v>
      </c>
      <c r="K28" s="6">
        <v>48</v>
      </c>
      <c r="L28" s="6">
        <v>41</v>
      </c>
      <c r="M28" s="6">
        <v>42</v>
      </c>
      <c r="N28" s="6">
        <v>35</v>
      </c>
      <c r="O28" s="1">
        <f t="shared" si="0"/>
        <v>367</v>
      </c>
      <c r="P28" s="14">
        <f t="shared" si="1"/>
        <v>52.428571428571431</v>
      </c>
      <c r="Q28" s="20">
        <f t="shared" si="2"/>
        <v>22</v>
      </c>
    </row>
    <row r="29" spans="1:17" ht="18" customHeight="1">
      <c r="A29" s="19">
        <v>23</v>
      </c>
      <c r="B29" s="2" t="s">
        <v>1974</v>
      </c>
      <c r="C29" s="1" t="s">
        <v>1975</v>
      </c>
      <c r="D29" s="3" t="s">
        <v>1976</v>
      </c>
      <c r="E29" s="1" t="s">
        <v>55</v>
      </c>
      <c r="F29" s="10" t="s">
        <v>1950</v>
      </c>
      <c r="G29" s="2">
        <v>24</v>
      </c>
      <c r="H29" s="6">
        <v>54</v>
      </c>
      <c r="I29" s="6">
        <v>25</v>
      </c>
      <c r="J29" s="6">
        <v>74</v>
      </c>
      <c r="K29" s="6">
        <v>64</v>
      </c>
      <c r="L29" s="6">
        <v>44</v>
      </c>
      <c r="M29" s="6">
        <v>70</v>
      </c>
      <c r="N29" s="6">
        <v>35</v>
      </c>
      <c r="O29" s="1">
        <f t="shared" si="0"/>
        <v>366</v>
      </c>
      <c r="P29" s="14">
        <f t="shared" si="1"/>
        <v>52.285714285714285</v>
      </c>
      <c r="Q29" s="20">
        <f t="shared" si="2"/>
        <v>23</v>
      </c>
    </row>
    <row r="30" spans="1:17" ht="18" customHeight="1">
      <c r="A30" s="19">
        <v>24</v>
      </c>
      <c r="B30" s="2" t="s">
        <v>1977</v>
      </c>
      <c r="C30" s="1">
        <v>311240394</v>
      </c>
      <c r="D30" s="3" t="s">
        <v>1978</v>
      </c>
      <c r="E30" s="1" t="s">
        <v>55</v>
      </c>
      <c r="F30" s="10" t="s">
        <v>1950</v>
      </c>
      <c r="G30" s="2">
        <v>24</v>
      </c>
      <c r="H30" s="6">
        <v>62</v>
      </c>
      <c r="I30" s="6">
        <v>48</v>
      </c>
      <c r="J30" s="6">
        <v>48</v>
      </c>
      <c r="K30" s="6">
        <v>58</v>
      </c>
      <c r="L30" s="6">
        <v>42</v>
      </c>
      <c r="M30" s="6">
        <v>44</v>
      </c>
      <c r="N30" s="6">
        <v>62</v>
      </c>
      <c r="O30" s="1">
        <f t="shared" si="0"/>
        <v>364</v>
      </c>
      <c r="P30" s="14">
        <f t="shared" si="1"/>
        <v>52</v>
      </c>
      <c r="Q30" s="20">
        <f t="shared" si="2"/>
        <v>24</v>
      </c>
    </row>
    <row r="31" spans="1:17" ht="18" customHeight="1">
      <c r="A31" s="19">
        <v>25</v>
      </c>
      <c r="B31" s="2" t="s">
        <v>2005</v>
      </c>
      <c r="C31" s="1" t="s">
        <v>2006</v>
      </c>
      <c r="D31" s="3" t="s">
        <v>2007</v>
      </c>
      <c r="E31" s="1" t="s">
        <v>71</v>
      </c>
      <c r="F31" s="10" t="s">
        <v>1950</v>
      </c>
      <c r="G31" s="2">
        <v>24</v>
      </c>
      <c r="H31" s="6">
        <v>64</v>
      </c>
      <c r="I31" s="6">
        <v>56</v>
      </c>
      <c r="J31" s="6">
        <v>47</v>
      </c>
      <c r="K31" s="6">
        <v>42</v>
      </c>
      <c r="L31" s="6">
        <v>68</v>
      </c>
      <c r="M31" s="6">
        <v>74</v>
      </c>
      <c r="N31" s="6">
        <v>13</v>
      </c>
      <c r="O31" s="1">
        <f t="shared" si="0"/>
        <v>364</v>
      </c>
      <c r="P31" s="14">
        <f t="shared" si="1"/>
        <v>52</v>
      </c>
      <c r="Q31" s="20">
        <f t="shared" si="2"/>
        <v>24</v>
      </c>
    </row>
    <row r="32" spans="1:17" ht="18" customHeight="1">
      <c r="A32" s="19">
        <v>26</v>
      </c>
      <c r="B32" s="2" t="s">
        <v>2029</v>
      </c>
      <c r="C32" s="1" t="s">
        <v>2030</v>
      </c>
      <c r="D32" s="3" t="s">
        <v>2031</v>
      </c>
      <c r="E32" s="1" t="s">
        <v>80</v>
      </c>
      <c r="F32" s="10" t="s">
        <v>1950</v>
      </c>
      <c r="G32" s="2">
        <v>25</v>
      </c>
      <c r="H32" s="6">
        <v>70</v>
      </c>
      <c r="I32" s="6">
        <v>39</v>
      </c>
      <c r="J32" s="6">
        <v>38</v>
      </c>
      <c r="K32" s="6">
        <v>53</v>
      </c>
      <c r="L32" s="6">
        <v>70</v>
      </c>
      <c r="M32" s="6">
        <v>36</v>
      </c>
      <c r="N32" s="6">
        <v>54</v>
      </c>
      <c r="O32" s="1">
        <f t="shared" si="0"/>
        <v>360</v>
      </c>
      <c r="P32" s="14">
        <f t="shared" si="1"/>
        <v>51.428571428571431</v>
      </c>
      <c r="Q32" s="20">
        <f t="shared" si="2"/>
        <v>26</v>
      </c>
    </row>
    <row r="33" spans="1:17" ht="18" customHeight="1">
      <c r="A33" s="19">
        <v>27</v>
      </c>
      <c r="B33" s="2" t="s">
        <v>1969</v>
      </c>
      <c r="C33" s="1">
        <v>311240381</v>
      </c>
      <c r="D33" s="3" t="s">
        <v>1970</v>
      </c>
      <c r="E33" s="1" t="s">
        <v>69</v>
      </c>
      <c r="F33" s="10" t="s">
        <v>1950</v>
      </c>
      <c r="G33" s="2">
        <v>24</v>
      </c>
      <c r="H33" s="6">
        <v>72</v>
      </c>
      <c r="I33" s="6">
        <v>30</v>
      </c>
      <c r="J33" s="6">
        <v>35</v>
      </c>
      <c r="K33" s="6">
        <v>57</v>
      </c>
      <c r="L33" s="6">
        <v>51</v>
      </c>
      <c r="M33" s="6">
        <v>60</v>
      </c>
      <c r="N33" s="6">
        <v>35</v>
      </c>
      <c r="O33" s="1">
        <f t="shared" si="0"/>
        <v>340</v>
      </c>
      <c r="P33" s="14">
        <f t="shared" si="1"/>
        <v>48.571428571428569</v>
      </c>
      <c r="Q33" s="20">
        <f t="shared" si="2"/>
        <v>27</v>
      </c>
    </row>
    <row r="34" spans="1:17" ht="18" customHeight="1">
      <c r="A34" s="19">
        <v>28</v>
      </c>
      <c r="B34" s="2" t="s">
        <v>1990</v>
      </c>
      <c r="C34" s="1" t="s">
        <v>1991</v>
      </c>
      <c r="D34" s="3" t="s">
        <v>1992</v>
      </c>
      <c r="E34" s="1" t="s">
        <v>70</v>
      </c>
      <c r="F34" s="10" t="s">
        <v>1950</v>
      </c>
      <c r="G34" s="2">
        <v>24</v>
      </c>
      <c r="H34" s="6">
        <v>90</v>
      </c>
      <c r="I34" s="6">
        <v>13</v>
      </c>
      <c r="J34" s="6">
        <v>54</v>
      </c>
      <c r="K34" s="6">
        <v>50</v>
      </c>
      <c r="L34" s="6">
        <v>42</v>
      </c>
      <c r="M34" s="6">
        <v>74</v>
      </c>
      <c r="N34" s="6">
        <v>16</v>
      </c>
      <c r="O34" s="1">
        <f t="shared" si="0"/>
        <v>339</v>
      </c>
      <c r="P34" s="14">
        <f t="shared" si="1"/>
        <v>48.428571428571431</v>
      </c>
      <c r="Q34" s="20">
        <f t="shared" si="2"/>
        <v>28</v>
      </c>
    </row>
    <row r="35" spans="1:17" ht="18" customHeight="1">
      <c r="A35" s="19">
        <v>29</v>
      </c>
      <c r="B35" s="2" t="s">
        <v>1979</v>
      </c>
      <c r="C35" s="1" t="s">
        <v>1980</v>
      </c>
      <c r="D35" s="3" t="s">
        <v>1981</v>
      </c>
      <c r="E35" s="1" t="s">
        <v>55</v>
      </c>
      <c r="F35" s="10" t="s">
        <v>1950</v>
      </c>
      <c r="G35" s="2">
        <v>24</v>
      </c>
      <c r="H35" s="6">
        <v>82</v>
      </c>
      <c r="I35" s="6">
        <v>23</v>
      </c>
      <c r="J35" s="6">
        <v>43</v>
      </c>
      <c r="K35" s="6">
        <v>35</v>
      </c>
      <c r="L35" s="6">
        <v>39</v>
      </c>
      <c r="M35" s="6">
        <v>61</v>
      </c>
      <c r="N35" s="6">
        <v>35</v>
      </c>
      <c r="O35" s="1">
        <f t="shared" si="0"/>
        <v>318</v>
      </c>
      <c r="P35" s="14">
        <f t="shared" si="1"/>
        <v>45.428571428571431</v>
      </c>
      <c r="Q35" s="20">
        <f t="shared" si="2"/>
        <v>29</v>
      </c>
    </row>
    <row r="36" spans="1:17" ht="18" customHeight="1">
      <c r="A36" s="19">
        <v>30</v>
      </c>
      <c r="B36" s="2" t="s">
        <v>2100</v>
      </c>
      <c r="C36" s="1">
        <v>311260433</v>
      </c>
      <c r="D36" s="3" t="s">
        <v>2101</v>
      </c>
      <c r="E36" s="1" t="s">
        <v>67</v>
      </c>
      <c r="F36" s="10" t="s">
        <v>1950</v>
      </c>
      <c r="G36" s="2">
        <v>26</v>
      </c>
      <c r="H36" s="6">
        <v>76</v>
      </c>
      <c r="I36" s="6">
        <v>35</v>
      </c>
      <c r="J36" s="6">
        <v>29</v>
      </c>
      <c r="K36" s="6">
        <v>34</v>
      </c>
      <c r="L36" s="6">
        <v>29</v>
      </c>
      <c r="M36" s="6">
        <v>62</v>
      </c>
      <c r="N36" s="6">
        <v>51</v>
      </c>
      <c r="O36" s="1">
        <f t="shared" si="0"/>
        <v>316</v>
      </c>
      <c r="P36" s="14">
        <f t="shared" si="1"/>
        <v>45.142857142857146</v>
      </c>
      <c r="Q36" s="20">
        <f t="shared" si="2"/>
        <v>30</v>
      </c>
    </row>
    <row r="37" spans="1:17" ht="18" customHeight="1">
      <c r="A37" s="19">
        <v>31</v>
      </c>
      <c r="B37" s="2" t="s">
        <v>2014</v>
      </c>
      <c r="C37" s="1" t="s">
        <v>2015</v>
      </c>
      <c r="D37" s="3" t="s">
        <v>2016</v>
      </c>
      <c r="E37" s="1" t="s">
        <v>59</v>
      </c>
      <c r="F37" s="10" t="s">
        <v>1950</v>
      </c>
      <c r="G37" s="2">
        <v>25</v>
      </c>
      <c r="H37" s="6">
        <v>66</v>
      </c>
      <c r="I37" s="6">
        <v>32</v>
      </c>
      <c r="J37" s="6">
        <v>68</v>
      </c>
      <c r="K37" s="6">
        <v>35</v>
      </c>
      <c r="L37" s="6">
        <v>53</v>
      </c>
      <c r="M37" s="6">
        <v>15</v>
      </c>
      <c r="N37" s="6">
        <v>43</v>
      </c>
      <c r="O37" s="1">
        <f t="shared" si="0"/>
        <v>312</v>
      </c>
      <c r="P37" s="14">
        <f t="shared" si="1"/>
        <v>44.571428571428569</v>
      </c>
      <c r="Q37" s="20">
        <f t="shared" si="2"/>
        <v>31</v>
      </c>
    </row>
    <row r="38" spans="1:17" ht="18" customHeight="1">
      <c r="A38" s="19">
        <v>32</v>
      </c>
      <c r="B38" s="2" t="s">
        <v>2082</v>
      </c>
      <c r="C38" s="1" t="s">
        <v>2083</v>
      </c>
      <c r="D38" s="3" t="s">
        <v>2084</v>
      </c>
      <c r="E38" s="1" t="s">
        <v>66</v>
      </c>
      <c r="F38" s="10" t="s">
        <v>1950</v>
      </c>
      <c r="G38" s="2">
        <v>26</v>
      </c>
      <c r="H38" s="6">
        <v>54</v>
      </c>
      <c r="I38" s="6">
        <v>26</v>
      </c>
      <c r="J38" s="6">
        <v>21</v>
      </c>
      <c r="K38" s="6">
        <v>39</v>
      </c>
      <c r="L38" s="6">
        <v>72</v>
      </c>
      <c r="M38" s="6">
        <v>42</v>
      </c>
      <c r="N38" s="6">
        <v>58</v>
      </c>
      <c r="O38" s="1">
        <f t="shared" si="0"/>
        <v>312</v>
      </c>
      <c r="P38" s="14">
        <f t="shared" si="1"/>
        <v>44.571428571428569</v>
      </c>
      <c r="Q38" s="20">
        <f t="shared" si="2"/>
        <v>31</v>
      </c>
    </row>
    <row r="39" spans="1:17" ht="18" customHeight="1">
      <c r="A39" s="19">
        <v>33</v>
      </c>
      <c r="B39" s="2" t="s">
        <v>2091</v>
      </c>
      <c r="C39" s="1" t="s">
        <v>2092</v>
      </c>
      <c r="D39" s="3" t="s">
        <v>2093</v>
      </c>
      <c r="E39" s="1" t="s">
        <v>353</v>
      </c>
      <c r="F39" s="10" t="s">
        <v>1950</v>
      </c>
      <c r="G39" s="2">
        <v>26</v>
      </c>
      <c r="H39" s="6">
        <v>96</v>
      </c>
      <c r="I39" s="6">
        <v>21</v>
      </c>
      <c r="J39" s="6">
        <v>46</v>
      </c>
      <c r="K39" s="6">
        <v>34</v>
      </c>
      <c r="L39" s="6">
        <v>37</v>
      </c>
      <c r="M39" s="6">
        <v>18</v>
      </c>
      <c r="N39" s="6">
        <v>47</v>
      </c>
      <c r="O39" s="1">
        <f t="shared" ref="O39:O62" si="3">SUBTOTAL(9,H39:N39)</f>
        <v>299</v>
      </c>
      <c r="P39" s="14">
        <f t="shared" ref="P39:P62" si="4">O39/7</f>
        <v>42.714285714285715</v>
      </c>
      <c r="Q39" s="20">
        <f t="shared" ref="Q39:Q62" si="5">RANK(P39,P$7:P$286,0)</f>
        <v>33</v>
      </c>
    </row>
    <row r="40" spans="1:17" ht="18" customHeight="1">
      <c r="A40" s="19">
        <v>34</v>
      </c>
      <c r="B40" s="2" t="s">
        <v>2052</v>
      </c>
      <c r="C40" s="1" t="s">
        <v>2053</v>
      </c>
      <c r="D40" s="3" t="s">
        <v>2054</v>
      </c>
      <c r="E40" s="1" t="s">
        <v>63</v>
      </c>
      <c r="F40" s="10" t="s">
        <v>1950</v>
      </c>
      <c r="G40" s="2">
        <v>25</v>
      </c>
      <c r="H40" s="6">
        <v>82</v>
      </c>
      <c r="I40" s="6">
        <v>13</v>
      </c>
      <c r="J40" s="6">
        <v>38</v>
      </c>
      <c r="K40" s="6">
        <v>26</v>
      </c>
      <c r="L40" s="6">
        <v>34</v>
      </c>
      <c r="M40" s="6">
        <v>66</v>
      </c>
      <c r="N40" s="6">
        <v>39</v>
      </c>
      <c r="O40" s="1">
        <f t="shared" si="3"/>
        <v>298</v>
      </c>
      <c r="P40" s="14">
        <f t="shared" si="4"/>
        <v>42.571428571428569</v>
      </c>
      <c r="Q40" s="20">
        <f t="shared" si="5"/>
        <v>34</v>
      </c>
    </row>
    <row r="41" spans="1:17" ht="18" customHeight="1">
      <c r="A41" s="19">
        <v>35</v>
      </c>
      <c r="B41" s="2" t="s">
        <v>2067</v>
      </c>
      <c r="C41" s="1" t="s">
        <v>2068</v>
      </c>
      <c r="D41" s="3" t="s">
        <v>2069</v>
      </c>
      <c r="E41" s="1" t="s">
        <v>88</v>
      </c>
      <c r="F41" s="10" t="s">
        <v>1950</v>
      </c>
      <c r="G41" s="2">
        <v>25</v>
      </c>
      <c r="H41" s="6">
        <v>88</v>
      </c>
      <c r="I41" s="6">
        <v>28</v>
      </c>
      <c r="J41" s="6">
        <v>36</v>
      </c>
      <c r="K41" s="6">
        <v>60</v>
      </c>
      <c r="L41" s="6">
        <v>29</v>
      </c>
      <c r="M41" s="6">
        <v>27</v>
      </c>
      <c r="N41" s="6">
        <v>20</v>
      </c>
      <c r="O41" s="1">
        <f t="shared" si="3"/>
        <v>288</v>
      </c>
      <c r="P41" s="14">
        <f t="shared" si="4"/>
        <v>41.142857142857146</v>
      </c>
      <c r="Q41" s="20">
        <f t="shared" si="5"/>
        <v>35</v>
      </c>
    </row>
    <row r="42" spans="1:17" ht="18" customHeight="1">
      <c r="A42" s="19">
        <v>36</v>
      </c>
      <c r="B42" s="2" t="s">
        <v>1984</v>
      </c>
      <c r="C42" s="1" t="s">
        <v>1985</v>
      </c>
      <c r="D42" s="3" t="s">
        <v>1986</v>
      </c>
      <c r="E42" s="1" t="s">
        <v>79</v>
      </c>
      <c r="F42" s="10" t="s">
        <v>1950</v>
      </c>
      <c r="G42" s="2">
        <v>24</v>
      </c>
      <c r="H42" s="6">
        <v>51</v>
      </c>
      <c r="I42" s="6">
        <v>17</v>
      </c>
      <c r="J42" s="6">
        <v>28</v>
      </c>
      <c r="K42" s="6">
        <v>44</v>
      </c>
      <c r="L42" s="6">
        <v>78</v>
      </c>
      <c r="M42" s="6">
        <v>26</v>
      </c>
      <c r="N42" s="6">
        <v>16</v>
      </c>
      <c r="O42" s="1">
        <f t="shared" si="3"/>
        <v>260</v>
      </c>
      <c r="P42" s="14">
        <f t="shared" si="4"/>
        <v>37.142857142857146</v>
      </c>
      <c r="Q42" s="20">
        <f t="shared" si="5"/>
        <v>36</v>
      </c>
    </row>
    <row r="43" spans="1:17" ht="18" customHeight="1">
      <c r="A43" s="19">
        <v>37</v>
      </c>
      <c r="B43" s="2" t="s">
        <v>1996</v>
      </c>
      <c r="C43" s="1" t="s">
        <v>1997</v>
      </c>
      <c r="D43" s="3" t="s">
        <v>1998</v>
      </c>
      <c r="E43" s="1" t="s">
        <v>57</v>
      </c>
      <c r="F43" s="10" t="s">
        <v>1950</v>
      </c>
      <c r="G43" s="2">
        <v>24</v>
      </c>
      <c r="H43" s="6">
        <v>62</v>
      </c>
      <c r="I43" s="6">
        <v>16</v>
      </c>
      <c r="J43" s="6">
        <v>27</v>
      </c>
      <c r="K43" s="6">
        <v>42</v>
      </c>
      <c r="L43" s="6">
        <v>65</v>
      </c>
      <c r="M43" s="6">
        <v>39</v>
      </c>
      <c r="N43" s="6">
        <v>8</v>
      </c>
      <c r="O43" s="1">
        <f t="shared" si="3"/>
        <v>259</v>
      </c>
      <c r="P43" s="14">
        <f t="shared" si="4"/>
        <v>37</v>
      </c>
      <c r="Q43" s="20">
        <f t="shared" si="5"/>
        <v>37</v>
      </c>
    </row>
    <row r="44" spans="1:17" ht="18" customHeight="1">
      <c r="A44" s="19">
        <v>38</v>
      </c>
      <c r="B44" s="2" t="s">
        <v>1982</v>
      </c>
      <c r="C44" s="1" t="s">
        <v>1983</v>
      </c>
      <c r="D44" s="3" t="s">
        <v>87</v>
      </c>
      <c r="E44" s="1" t="s">
        <v>55</v>
      </c>
      <c r="F44" s="10" t="s">
        <v>1950</v>
      </c>
      <c r="G44" s="2">
        <v>24</v>
      </c>
      <c r="H44" s="6">
        <v>66</v>
      </c>
      <c r="I44" s="6">
        <v>25</v>
      </c>
      <c r="J44" s="6">
        <v>36</v>
      </c>
      <c r="K44" s="6">
        <v>28</v>
      </c>
      <c r="L44" s="6">
        <v>35</v>
      </c>
      <c r="M44" s="6">
        <v>21</v>
      </c>
      <c r="N44" s="6">
        <v>43</v>
      </c>
      <c r="O44" s="1">
        <f t="shared" si="3"/>
        <v>254</v>
      </c>
      <c r="P44" s="14">
        <f t="shared" si="4"/>
        <v>36.285714285714285</v>
      </c>
      <c r="Q44" s="20">
        <f t="shared" si="5"/>
        <v>38</v>
      </c>
    </row>
    <row r="45" spans="1:17" ht="18" customHeight="1">
      <c r="A45" s="19">
        <v>39</v>
      </c>
      <c r="B45" s="2" t="s">
        <v>2073</v>
      </c>
      <c r="C45" s="1">
        <v>311240396</v>
      </c>
      <c r="D45" s="3" t="s">
        <v>2074</v>
      </c>
      <c r="E45" s="1" t="s">
        <v>2075</v>
      </c>
      <c r="F45" s="10" t="s">
        <v>1950</v>
      </c>
      <c r="G45" s="2">
        <v>26</v>
      </c>
      <c r="H45" s="6">
        <v>55</v>
      </c>
      <c r="I45" s="6">
        <v>16</v>
      </c>
      <c r="J45" s="6">
        <v>22</v>
      </c>
      <c r="K45" s="6">
        <v>22</v>
      </c>
      <c r="L45" s="6">
        <v>49</v>
      </c>
      <c r="M45" s="6">
        <v>30</v>
      </c>
      <c r="N45" s="6">
        <v>32</v>
      </c>
      <c r="O45" s="1">
        <f t="shared" si="3"/>
        <v>226</v>
      </c>
      <c r="P45" s="14">
        <f t="shared" si="4"/>
        <v>32.285714285714285</v>
      </c>
      <c r="Q45" s="20">
        <f t="shared" si="5"/>
        <v>39</v>
      </c>
    </row>
    <row r="46" spans="1:17" ht="18" customHeight="1">
      <c r="A46" s="19">
        <v>40</v>
      </c>
      <c r="B46" s="2" t="s">
        <v>1966</v>
      </c>
      <c r="C46" s="1" t="s">
        <v>1967</v>
      </c>
      <c r="D46" s="3" t="s">
        <v>1968</v>
      </c>
      <c r="E46" s="1" t="s">
        <v>69</v>
      </c>
      <c r="F46" s="10" t="s">
        <v>1950</v>
      </c>
      <c r="G46" s="2">
        <v>24</v>
      </c>
      <c r="H46" s="6">
        <v>62</v>
      </c>
      <c r="I46" s="6">
        <v>12</v>
      </c>
      <c r="J46" s="6">
        <v>35</v>
      </c>
      <c r="K46" s="6">
        <v>18</v>
      </c>
      <c r="L46" s="6">
        <v>6</v>
      </c>
      <c r="M46" s="6">
        <v>76</v>
      </c>
      <c r="N46" s="6">
        <v>14</v>
      </c>
      <c r="O46" s="1">
        <f t="shared" si="3"/>
        <v>223</v>
      </c>
      <c r="P46" s="14">
        <f t="shared" si="4"/>
        <v>31.857142857142858</v>
      </c>
      <c r="Q46" s="20">
        <f t="shared" si="5"/>
        <v>40</v>
      </c>
    </row>
    <row r="47" spans="1:17" ht="18" customHeight="1">
      <c r="A47" s="19">
        <v>41</v>
      </c>
      <c r="B47" s="2" t="s">
        <v>1999</v>
      </c>
      <c r="C47" s="1" t="s">
        <v>2000</v>
      </c>
      <c r="D47" s="3" t="s">
        <v>2001</v>
      </c>
      <c r="E47" s="1" t="s">
        <v>71</v>
      </c>
      <c r="F47" s="10" t="s">
        <v>1950</v>
      </c>
      <c r="G47" s="2">
        <v>24</v>
      </c>
      <c r="H47" s="6">
        <v>58</v>
      </c>
      <c r="I47" s="6">
        <v>13</v>
      </c>
      <c r="J47" s="6">
        <v>10</v>
      </c>
      <c r="K47" s="6">
        <v>24</v>
      </c>
      <c r="L47" s="6">
        <v>42</v>
      </c>
      <c r="M47" s="6">
        <v>47</v>
      </c>
      <c r="N47" s="6">
        <v>28</v>
      </c>
      <c r="O47" s="1">
        <f t="shared" si="3"/>
        <v>222</v>
      </c>
      <c r="P47" s="14">
        <f t="shared" si="4"/>
        <v>31.714285714285715</v>
      </c>
      <c r="Q47" s="20">
        <f t="shared" si="5"/>
        <v>41</v>
      </c>
    </row>
    <row r="48" spans="1:17" ht="18" customHeight="1">
      <c r="A48" s="19">
        <v>42</v>
      </c>
      <c r="B48" s="2" t="s">
        <v>1954</v>
      </c>
      <c r="C48" s="1" t="s">
        <v>1955</v>
      </c>
      <c r="D48" s="3" t="s">
        <v>1956</v>
      </c>
      <c r="E48" s="1" t="s">
        <v>76</v>
      </c>
      <c r="F48" s="10" t="s">
        <v>1950</v>
      </c>
      <c r="G48" s="2">
        <v>24</v>
      </c>
      <c r="H48" s="6">
        <v>82</v>
      </c>
      <c r="I48" s="6">
        <v>9</v>
      </c>
      <c r="J48" s="6">
        <v>14</v>
      </c>
      <c r="K48" s="6">
        <v>9</v>
      </c>
      <c r="L48" s="6">
        <v>38</v>
      </c>
      <c r="M48" s="6">
        <v>56</v>
      </c>
      <c r="N48" s="6">
        <v>13</v>
      </c>
      <c r="O48" s="1">
        <f t="shared" si="3"/>
        <v>221</v>
      </c>
      <c r="P48" s="14">
        <f t="shared" si="4"/>
        <v>31.571428571428573</v>
      </c>
      <c r="Q48" s="20">
        <f t="shared" si="5"/>
        <v>42</v>
      </c>
    </row>
    <row r="49" spans="1:17" ht="18" customHeight="1">
      <c r="A49" s="19">
        <v>43</v>
      </c>
      <c r="B49" s="2" t="s">
        <v>2008</v>
      </c>
      <c r="C49" s="1" t="s">
        <v>2009</v>
      </c>
      <c r="D49" s="3" t="s">
        <v>2010</v>
      </c>
      <c r="E49" s="1" t="s">
        <v>58</v>
      </c>
      <c r="F49" s="10" t="s">
        <v>1950</v>
      </c>
      <c r="G49" s="2">
        <v>25</v>
      </c>
      <c r="H49" s="6">
        <v>59</v>
      </c>
      <c r="I49" s="6">
        <v>26</v>
      </c>
      <c r="J49" s="6">
        <v>23</v>
      </c>
      <c r="K49" s="6">
        <v>31</v>
      </c>
      <c r="L49" s="6">
        <v>27</v>
      </c>
      <c r="M49" s="6">
        <v>44</v>
      </c>
      <c r="N49" s="6">
        <v>5</v>
      </c>
      <c r="O49" s="1">
        <f t="shared" si="3"/>
        <v>215</v>
      </c>
      <c r="P49" s="14">
        <f t="shared" si="4"/>
        <v>30.714285714285715</v>
      </c>
      <c r="Q49" s="20">
        <f t="shared" si="5"/>
        <v>43</v>
      </c>
    </row>
    <row r="50" spans="1:17" ht="18" customHeight="1">
      <c r="A50" s="19">
        <v>44</v>
      </c>
      <c r="B50" s="2" t="s">
        <v>2002</v>
      </c>
      <c r="C50" s="1" t="s">
        <v>2003</v>
      </c>
      <c r="D50" s="3" t="s">
        <v>2004</v>
      </c>
      <c r="E50" s="1" t="s">
        <v>71</v>
      </c>
      <c r="F50" s="10" t="s">
        <v>1950</v>
      </c>
      <c r="G50" s="2">
        <v>24</v>
      </c>
      <c r="H50" s="6">
        <v>49</v>
      </c>
      <c r="I50" s="6">
        <v>9</v>
      </c>
      <c r="J50" s="6">
        <v>42</v>
      </c>
      <c r="K50" s="6">
        <v>30</v>
      </c>
      <c r="L50" s="6">
        <v>24</v>
      </c>
      <c r="M50" s="6">
        <v>36</v>
      </c>
      <c r="N50" s="6">
        <v>24</v>
      </c>
      <c r="O50" s="1">
        <f t="shared" si="3"/>
        <v>214</v>
      </c>
      <c r="P50" s="14">
        <f t="shared" si="4"/>
        <v>30.571428571428573</v>
      </c>
      <c r="Q50" s="20">
        <f t="shared" si="5"/>
        <v>44</v>
      </c>
    </row>
    <row r="51" spans="1:17" ht="18" customHeight="1">
      <c r="A51" s="19">
        <v>45</v>
      </c>
      <c r="B51" s="2" t="s">
        <v>1971</v>
      </c>
      <c r="C51" s="1" t="s">
        <v>1972</v>
      </c>
      <c r="D51" s="3" t="s">
        <v>1973</v>
      </c>
      <c r="E51" s="1" t="s">
        <v>55</v>
      </c>
      <c r="F51" s="10" t="s">
        <v>1950</v>
      </c>
      <c r="G51" s="2">
        <v>24</v>
      </c>
      <c r="H51" s="6">
        <v>50</v>
      </c>
      <c r="I51" s="6">
        <v>35</v>
      </c>
      <c r="J51" s="6">
        <v>20</v>
      </c>
      <c r="K51" s="6">
        <v>37</v>
      </c>
      <c r="L51" s="6">
        <v>20</v>
      </c>
      <c r="M51" s="6">
        <v>10</v>
      </c>
      <c r="N51" s="6">
        <v>8</v>
      </c>
      <c r="O51" s="1">
        <f t="shared" si="3"/>
        <v>180</v>
      </c>
      <c r="P51" s="14">
        <f t="shared" si="4"/>
        <v>25.714285714285715</v>
      </c>
      <c r="Q51" s="20">
        <f t="shared" si="5"/>
        <v>45</v>
      </c>
    </row>
    <row r="52" spans="1:17" ht="18" customHeight="1">
      <c r="A52" s="19">
        <v>46</v>
      </c>
      <c r="B52" s="2" t="s">
        <v>1951</v>
      </c>
      <c r="C52" s="1" t="s">
        <v>1952</v>
      </c>
      <c r="D52" s="3" t="s">
        <v>1953</v>
      </c>
      <c r="E52" s="1" t="s">
        <v>78</v>
      </c>
      <c r="F52" s="10" t="s">
        <v>1950</v>
      </c>
      <c r="G52" s="2">
        <v>24</v>
      </c>
      <c r="H52" s="6">
        <v>62</v>
      </c>
      <c r="I52" s="6">
        <v>9</v>
      </c>
      <c r="J52" s="6">
        <v>5</v>
      </c>
      <c r="K52" s="6">
        <v>50</v>
      </c>
      <c r="L52" s="6">
        <v>10</v>
      </c>
      <c r="M52" s="6">
        <v>40</v>
      </c>
      <c r="N52" s="6">
        <v>2</v>
      </c>
      <c r="O52" s="1">
        <f t="shared" si="3"/>
        <v>178</v>
      </c>
      <c r="P52" s="14">
        <f t="shared" si="4"/>
        <v>25.428571428571427</v>
      </c>
      <c r="Q52" s="20">
        <f t="shared" si="5"/>
        <v>46</v>
      </c>
    </row>
    <row r="53" spans="1:17" ht="18" customHeight="1">
      <c r="A53" s="19">
        <v>47</v>
      </c>
      <c r="B53" s="2" t="s">
        <v>2076</v>
      </c>
      <c r="C53" s="1" t="s">
        <v>2077</v>
      </c>
      <c r="D53" s="3" t="s">
        <v>2078</v>
      </c>
      <c r="E53" s="1" t="s">
        <v>82</v>
      </c>
      <c r="F53" s="10" t="s">
        <v>1950</v>
      </c>
      <c r="G53" s="2">
        <v>26</v>
      </c>
      <c r="H53" s="6">
        <v>32</v>
      </c>
      <c r="I53" s="6">
        <v>27</v>
      </c>
      <c r="J53" s="6">
        <v>18</v>
      </c>
      <c r="K53" s="6">
        <v>39</v>
      </c>
      <c r="L53" s="6">
        <v>16</v>
      </c>
      <c r="M53" s="6">
        <v>26</v>
      </c>
      <c r="N53" s="6">
        <v>5</v>
      </c>
      <c r="O53" s="1">
        <f t="shared" si="3"/>
        <v>163</v>
      </c>
      <c r="P53" s="14">
        <f t="shared" si="4"/>
        <v>23.285714285714285</v>
      </c>
      <c r="Q53" s="20">
        <f t="shared" si="5"/>
        <v>47</v>
      </c>
    </row>
    <row r="54" spans="1:17" ht="18" customHeight="1">
      <c r="A54" s="19">
        <v>48</v>
      </c>
      <c r="B54" s="2" t="s">
        <v>2023</v>
      </c>
      <c r="C54" s="1" t="s">
        <v>2024</v>
      </c>
      <c r="D54" s="3" t="s">
        <v>2025</v>
      </c>
      <c r="E54" s="1" t="s">
        <v>62</v>
      </c>
      <c r="F54" s="10" t="s">
        <v>1950</v>
      </c>
      <c r="G54" s="2">
        <v>25</v>
      </c>
      <c r="H54" s="6">
        <v>34</v>
      </c>
      <c r="I54" s="6">
        <v>30</v>
      </c>
      <c r="J54" s="6">
        <v>12</v>
      </c>
      <c r="K54" s="6">
        <v>44</v>
      </c>
      <c r="L54" s="6">
        <v>14</v>
      </c>
      <c r="M54" s="6">
        <v>17</v>
      </c>
      <c r="N54" s="6">
        <v>8</v>
      </c>
      <c r="O54" s="1">
        <f t="shared" si="3"/>
        <v>159</v>
      </c>
      <c r="P54" s="14">
        <f t="shared" si="4"/>
        <v>22.714285714285715</v>
      </c>
      <c r="Q54" s="20">
        <f t="shared" si="5"/>
        <v>48</v>
      </c>
    </row>
    <row r="55" spans="1:17" ht="18" customHeight="1">
      <c r="A55" s="19">
        <v>49</v>
      </c>
      <c r="B55" s="2" t="s">
        <v>2070</v>
      </c>
      <c r="C55" s="1" t="s">
        <v>2071</v>
      </c>
      <c r="D55" s="3" t="s">
        <v>2072</v>
      </c>
      <c r="E55" s="1" t="s">
        <v>88</v>
      </c>
      <c r="F55" s="10" t="s">
        <v>1950</v>
      </c>
      <c r="G55" s="2">
        <v>26</v>
      </c>
      <c r="H55" s="6">
        <v>12</v>
      </c>
      <c r="I55" s="6">
        <v>27</v>
      </c>
      <c r="J55" s="6">
        <v>21</v>
      </c>
      <c r="K55" s="6">
        <v>41</v>
      </c>
      <c r="L55" s="6">
        <v>22</v>
      </c>
      <c r="M55" s="6">
        <v>19</v>
      </c>
      <c r="N55" s="6">
        <v>1</v>
      </c>
      <c r="O55" s="1">
        <f t="shared" si="3"/>
        <v>143</v>
      </c>
      <c r="P55" s="14">
        <f t="shared" si="4"/>
        <v>20.428571428571427</v>
      </c>
      <c r="Q55" s="20">
        <f t="shared" si="5"/>
        <v>49</v>
      </c>
    </row>
    <row r="56" spans="1:17" ht="18" customHeight="1">
      <c r="A56" s="19">
        <v>50</v>
      </c>
      <c r="B56" s="2" t="s">
        <v>2032</v>
      </c>
      <c r="C56" s="1" t="s">
        <v>2033</v>
      </c>
      <c r="D56" s="3" t="s">
        <v>2034</v>
      </c>
      <c r="E56" s="1" t="s">
        <v>81</v>
      </c>
      <c r="F56" s="10" t="s">
        <v>1950</v>
      </c>
      <c r="G56" s="2">
        <v>25</v>
      </c>
      <c r="H56" s="6">
        <v>53</v>
      </c>
      <c r="I56" s="6">
        <v>8</v>
      </c>
      <c r="J56" s="6">
        <v>18</v>
      </c>
      <c r="K56" s="6">
        <v>23</v>
      </c>
      <c r="L56" s="6">
        <v>8</v>
      </c>
      <c r="M56" s="6">
        <v>12</v>
      </c>
      <c r="N56" s="6">
        <v>20</v>
      </c>
      <c r="O56" s="1">
        <f t="shared" si="3"/>
        <v>142</v>
      </c>
      <c r="P56" s="14">
        <f t="shared" si="4"/>
        <v>20.285714285714285</v>
      </c>
      <c r="Q56" s="20">
        <f t="shared" si="5"/>
        <v>50</v>
      </c>
    </row>
    <row r="57" spans="1:17" ht="18" customHeight="1">
      <c r="A57" s="19">
        <v>51</v>
      </c>
      <c r="B57" s="2" t="s">
        <v>2037</v>
      </c>
      <c r="C57" s="1" t="s">
        <v>2038</v>
      </c>
      <c r="D57" s="3" t="s">
        <v>2039</v>
      </c>
      <c r="E57" s="1" t="s">
        <v>81</v>
      </c>
      <c r="F57" s="10" t="s">
        <v>1950</v>
      </c>
      <c r="G57" s="2">
        <v>25</v>
      </c>
      <c r="H57" s="6">
        <v>21</v>
      </c>
      <c r="I57" s="6">
        <v>8</v>
      </c>
      <c r="J57" s="6">
        <v>32</v>
      </c>
      <c r="K57" s="6">
        <v>15</v>
      </c>
      <c r="L57" s="6">
        <v>20</v>
      </c>
      <c r="M57" s="6">
        <v>13</v>
      </c>
      <c r="N57" s="6">
        <v>32</v>
      </c>
      <c r="O57" s="1">
        <f t="shared" si="3"/>
        <v>141</v>
      </c>
      <c r="P57" s="14">
        <f t="shared" si="4"/>
        <v>20.142857142857142</v>
      </c>
      <c r="Q57" s="20">
        <f t="shared" si="5"/>
        <v>51</v>
      </c>
    </row>
    <row r="58" spans="1:17" ht="18" customHeight="1">
      <c r="A58" s="19">
        <v>52</v>
      </c>
      <c r="B58" s="2" t="s">
        <v>1948</v>
      </c>
      <c r="C58" s="1">
        <v>311230102</v>
      </c>
      <c r="D58" s="3" t="s">
        <v>1949</v>
      </c>
      <c r="E58" s="1" t="s">
        <v>78</v>
      </c>
      <c r="F58" s="10" t="s">
        <v>1950</v>
      </c>
      <c r="G58" s="2">
        <v>24</v>
      </c>
      <c r="H58" s="6">
        <v>28</v>
      </c>
      <c r="I58" s="6">
        <v>32</v>
      </c>
      <c r="J58" s="6">
        <v>18</v>
      </c>
      <c r="K58" s="6">
        <v>18</v>
      </c>
      <c r="L58" s="6">
        <v>2</v>
      </c>
      <c r="M58" s="6">
        <v>30</v>
      </c>
      <c r="N58" s="6">
        <v>4</v>
      </c>
      <c r="O58" s="1">
        <f t="shared" si="3"/>
        <v>132</v>
      </c>
      <c r="P58" s="14">
        <f t="shared" si="4"/>
        <v>18.857142857142858</v>
      </c>
      <c r="Q58" s="20">
        <f t="shared" si="5"/>
        <v>52</v>
      </c>
    </row>
    <row r="59" spans="1:17" ht="18" customHeight="1">
      <c r="A59" s="19">
        <v>53</v>
      </c>
      <c r="B59" s="2" t="s">
        <v>1993</v>
      </c>
      <c r="C59" s="1" t="s">
        <v>1994</v>
      </c>
      <c r="D59" s="3" t="s">
        <v>1995</v>
      </c>
      <c r="E59" s="1" t="s">
        <v>56</v>
      </c>
      <c r="F59" s="10" t="s">
        <v>1950</v>
      </c>
      <c r="G59" s="2">
        <v>24</v>
      </c>
      <c r="H59" s="6">
        <v>68</v>
      </c>
      <c r="I59" s="6"/>
      <c r="J59" s="6">
        <v>8</v>
      </c>
      <c r="K59" s="6">
        <v>33</v>
      </c>
      <c r="L59" s="6"/>
      <c r="M59" s="6"/>
      <c r="N59" s="6"/>
      <c r="O59" s="1">
        <f t="shared" si="3"/>
        <v>109</v>
      </c>
      <c r="P59" s="14">
        <f t="shared" si="4"/>
        <v>15.571428571428571</v>
      </c>
      <c r="Q59" s="20">
        <f t="shared" si="5"/>
        <v>53</v>
      </c>
    </row>
    <row r="60" spans="1:17" ht="18" customHeight="1">
      <c r="A60" s="19">
        <v>54</v>
      </c>
      <c r="B60" s="2" t="s">
        <v>1987</v>
      </c>
      <c r="C60" s="1" t="s">
        <v>1988</v>
      </c>
      <c r="D60" s="3" t="s">
        <v>1989</v>
      </c>
      <c r="E60" s="1" t="s">
        <v>79</v>
      </c>
      <c r="F60" s="10" t="s">
        <v>1950</v>
      </c>
      <c r="G60" s="2">
        <v>24</v>
      </c>
      <c r="H60" s="6"/>
      <c r="I60" s="6"/>
      <c r="J60" s="6"/>
      <c r="K60" s="6"/>
      <c r="L60" s="6"/>
      <c r="M60" s="6"/>
      <c r="N60" s="6"/>
      <c r="O60" s="1">
        <f t="shared" si="3"/>
        <v>0</v>
      </c>
      <c r="P60" s="14">
        <f t="shared" si="4"/>
        <v>0</v>
      </c>
      <c r="Q60" s="20">
        <f t="shared" si="5"/>
        <v>54</v>
      </c>
    </row>
    <row r="61" spans="1:17" ht="18" customHeight="1">
      <c r="A61" s="19">
        <v>55</v>
      </c>
      <c r="B61" s="2" t="s">
        <v>2058</v>
      </c>
      <c r="C61" s="1" t="s">
        <v>2059</v>
      </c>
      <c r="D61" s="3" t="s">
        <v>2060</v>
      </c>
      <c r="E61" s="1" t="s">
        <v>78</v>
      </c>
      <c r="F61" s="10" t="s">
        <v>1950</v>
      </c>
      <c r="G61" s="2">
        <v>25</v>
      </c>
      <c r="H61" s="6"/>
      <c r="I61" s="6"/>
      <c r="J61" s="6"/>
      <c r="K61" s="6"/>
      <c r="L61" s="6"/>
      <c r="M61" s="6"/>
      <c r="N61" s="6"/>
      <c r="O61" s="1">
        <f t="shared" si="3"/>
        <v>0</v>
      </c>
      <c r="P61" s="14">
        <f t="shared" si="4"/>
        <v>0</v>
      </c>
      <c r="Q61" s="20">
        <f t="shared" si="5"/>
        <v>54</v>
      </c>
    </row>
    <row r="62" spans="1:17" ht="18" customHeight="1">
      <c r="A62" s="19">
        <v>56</v>
      </c>
      <c r="B62" s="28" t="s">
        <v>2098</v>
      </c>
      <c r="C62" s="29">
        <v>311260309</v>
      </c>
      <c r="D62" s="30" t="s">
        <v>2099</v>
      </c>
      <c r="E62" s="29" t="s">
        <v>67</v>
      </c>
      <c r="F62" s="31" t="s">
        <v>1950</v>
      </c>
      <c r="G62" s="28">
        <v>26</v>
      </c>
      <c r="H62" s="46"/>
      <c r="I62" s="46"/>
      <c r="J62" s="46"/>
      <c r="K62" s="46"/>
      <c r="L62" s="46"/>
      <c r="M62" s="46"/>
      <c r="N62" s="46"/>
      <c r="O62" s="29">
        <f t="shared" si="3"/>
        <v>0</v>
      </c>
      <c r="P62" s="41">
        <f t="shared" si="4"/>
        <v>0</v>
      </c>
      <c r="Q62" s="33">
        <f t="shared" si="5"/>
        <v>54</v>
      </c>
    </row>
  </sheetData>
  <mergeCells count="4">
    <mergeCell ref="A1:P1"/>
    <mergeCell ref="A2:P2"/>
    <mergeCell ref="A3:P3"/>
    <mergeCell ref="A5:B5"/>
  </mergeCells>
  <conditionalFormatting sqref="H7:N7">
    <cfRule type="expression" dxfId="6229" priority="223">
      <formula>5</formula>
    </cfRule>
    <cfRule type="cellIs" dxfId="6228" priority="224" operator="lessThan">
      <formula>5</formula>
    </cfRule>
  </conditionalFormatting>
  <conditionalFormatting sqref="H7:N7">
    <cfRule type="cellIs" dxfId="6227" priority="222" operator="lessThan">
      <formula>50</formula>
    </cfRule>
  </conditionalFormatting>
  <conditionalFormatting sqref="P7">
    <cfRule type="cellIs" dxfId="6226" priority="221" operator="lessThan">
      <formula>50</formula>
    </cfRule>
  </conditionalFormatting>
  <conditionalFormatting sqref="H8:N8">
    <cfRule type="expression" dxfId="6225" priority="219">
      <formula>5</formula>
    </cfRule>
    <cfRule type="cellIs" dxfId="6224" priority="220" operator="lessThan">
      <formula>5</formula>
    </cfRule>
  </conditionalFormatting>
  <conditionalFormatting sqref="H8:N8">
    <cfRule type="cellIs" dxfId="6223" priority="218" operator="lessThan">
      <formula>50</formula>
    </cfRule>
  </conditionalFormatting>
  <conditionalFormatting sqref="P8">
    <cfRule type="cellIs" dxfId="6222" priority="217" operator="lessThan">
      <formula>50</formula>
    </cfRule>
  </conditionalFormatting>
  <conditionalFormatting sqref="H9:N9">
    <cfRule type="expression" dxfId="6221" priority="215">
      <formula>5</formula>
    </cfRule>
    <cfRule type="cellIs" dxfId="6220" priority="216" operator="lessThan">
      <formula>5</formula>
    </cfRule>
  </conditionalFormatting>
  <conditionalFormatting sqref="H9:N9">
    <cfRule type="cellIs" dxfId="6219" priority="214" operator="lessThan">
      <formula>50</formula>
    </cfRule>
  </conditionalFormatting>
  <conditionalFormatting sqref="P9">
    <cfRule type="cellIs" dxfId="6218" priority="213" operator="lessThan">
      <formula>50</formula>
    </cfRule>
  </conditionalFormatting>
  <conditionalFormatting sqref="H10:N10">
    <cfRule type="expression" dxfId="6217" priority="211">
      <formula>5</formula>
    </cfRule>
    <cfRule type="cellIs" dxfId="6216" priority="212" operator="lessThan">
      <formula>5</formula>
    </cfRule>
  </conditionalFormatting>
  <conditionalFormatting sqref="H10:N10">
    <cfRule type="cellIs" dxfId="6215" priority="210" operator="lessThan">
      <formula>50</formula>
    </cfRule>
  </conditionalFormatting>
  <conditionalFormatting sqref="P10">
    <cfRule type="cellIs" dxfId="6214" priority="209" operator="lessThan">
      <formula>50</formula>
    </cfRule>
  </conditionalFormatting>
  <conditionalFormatting sqref="H11:N11">
    <cfRule type="expression" dxfId="6213" priority="207">
      <formula>5</formula>
    </cfRule>
    <cfRule type="cellIs" dxfId="6212" priority="208" operator="lessThan">
      <formula>5</formula>
    </cfRule>
  </conditionalFormatting>
  <conditionalFormatting sqref="H11:N11">
    <cfRule type="cellIs" dxfId="6211" priority="206" operator="lessThan">
      <formula>50</formula>
    </cfRule>
  </conditionalFormatting>
  <conditionalFormatting sqref="P11">
    <cfRule type="cellIs" dxfId="6210" priority="205" operator="lessThan">
      <formula>50</formula>
    </cfRule>
  </conditionalFormatting>
  <conditionalFormatting sqref="H12:N12">
    <cfRule type="expression" dxfId="6209" priority="203">
      <formula>5</formula>
    </cfRule>
    <cfRule type="cellIs" dxfId="6208" priority="204" operator="lessThan">
      <formula>5</formula>
    </cfRule>
  </conditionalFormatting>
  <conditionalFormatting sqref="H12:N12">
    <cfRule type="cellIs" dxfId="6207" priority="202" operator="lessThan">
      <formula>50</formula>
    </cfRule>
  </conditionalFormatting>
  <conditionalFormatting sqref="P12">
    <cfRule type="cellIs" dxfId="6206" priority="201" operator="lessThan">
      <formula>50</formula>
    </cfRule>
  </conditionalFormatting>
  <conditionalFormatting sqref="H13:N13">
    <cfRule type="expression" dxfId="6205" priority="199">
      <formula>5</formula>
    </cfRule>
    <cfRule type="cellIs" dxfId="6204" priority="200" operator="lessThan">
      <formula>5</formula>
    </cfRule>
  </conditionalFormatting>
  <conditionalFormatting sqref="H13:N13">
    <cfRule type="cellIs" dxfId="6203" priority="198" operator="lessThan">
      <formula>50</formula>
    </cfRule>
  </conditionalFormatting>
  <conditionalFormatting sqref="P13">
    <cfRule type="cellIs" dxfId="6202" priority="197" operator="lessThan">
      <formula>50</formula>
    </cfRule>
  </conditionalFormatting>
  <conditionalFormatting sqref="H14:N14">
    <cfRule type="expression" dxfId="6201" priority="195">
      <formula>5</formula>
    </cfRule>
    <cfRule type="cellIs" dxfId="6200" priority="196" operator="lessThan">
      <formula>5</formula>
    </cfRule>
  </conditionalFormatting>
  <conditionalFormatting sqref="H14:N14">
    <cfRule type="cellIs" dxfId="6199" priority="194" operator="lessThan">
      <formula>50</formula>
    </cfRule>
  </conditionalFormatting>
  <conditionalFormatting sqref="P14">
    <cfRule type="cellIs" dxfId="6198" priority="193" operator="lessThan">
      <formula>50</formula>
    </cfRule>
  </conditionalFormatting>
  <conditionalFormatting sqref="H15:N15">
    <cfRule type="expression" dxfId="6197" priority="191">
      <formula>5</formula>
    </cfRule>
    <cfRule type="cellIs" dxfId="6196" priority="192" operator="lessThan">
      <formula>5</formula>
    </cfRule>
  </conditionalFormatting>
  <conditionalFormatting sqref="H15:N15">
    <cfRule type="cellIs" dxfId="6195" priority="190" operator="lessThan">
      <formula>50</formula>
    </cfRule>
  </conditionalFormatting>
  <conditionalFormatting sqref="P15">
    <cfRule type="cellIs" dxfId="6194" priority="189" operator="lessThan">
      <formula>50</formula>
    </cfRule>
  </conditionalFormatting>
  <conditionalFormatting sqref="H16:N16">
    <cfRule type="expression" dxfId="6193" priority="187">
      <formula>5</formula>
    </cfRule>
    <cfRule type="cellIs" dxfId="6192" priority="188" operator="lessThan">
      <formula>5</formula>
    </cfRule>
  </conditionalFormatting>
  <conditionalFormatting sqref="H16:N16">
    <cfRule type="cellIs" dxfId="6191" priority="186" operator="lessThan">
      <formula>50</formula>
    </cfRule>
  </conditionalFormatting>
  <conditionalFormatting sqref="P16">
    <cfRule type="cellIs" dxfId="6190" priority="185" operator="lessThan">
      <formula>50</formula>
    </cfRule>
  </conditionalFormatting>
  <conditionalFormatting sqref="H17:N17">
    <cfRule type="expression" dxfId="6189" priority="183">
      <formula>5</formula>
    </cfRule>
    <cfRule type="cellIs" dxfId="6188" priority="184" operator="lessThan">
      <formula>5</formula>
    </cfRule>
  </conditionalFormatting>
  <conditionalFormatting sqref="H17:N17">
    <cfRule type="cellIs" dxfId="6187" priority="182" operator="lessThan">
      <formula>50</formula>
    </cfRule>
  </conditionalFormatting>
  <conditionalFormatting sqref="P17">
    <cfRule type="cellIs" dxfId="6186" priority="181" operator="lessThan">
      <formula>50</formula>
    </cfRule>
  </conditionalFormatting>
  <conditionalFormatting sqref="H18:N18">
    <cfRule type="expression" dxfId="6185" priority="179">
      <formula>5</formula>
    </cfRule>
    <cfRule type="cellIs" dxfId="6184" priority="180" operator="lessThan">
      <formula>5</formula>
    </cfRule>
  </conditionalFormatting>
  <conditionalFormatting sqref="H18:N18">
    <cfRule type="cellIs" dxfId="6183" priority="178" operator="lessThan">
      <formula>50</formula>
    </cfRule>
  </conditionalFormatting>
  <conditionalFormatting sqref="P18">
    <cfRule type="cellIs" dxfId="6182" priority="177" operator="lessThan">
      <formula>50</formula>
    </cfRule>
  </conditionalFormatting>
  <conditionalFormatting sqref="H19:N19">
    <cfRule type="expression" dxfId="6181" priority="175">
      <formula>5</formula>
    </cfRule>
    <cfRule type="cellIs" dxfId="6180" priority="176" operator="lessThan">
      <formula>5</formula>
    </cfRule>
  </conditionalFormatting>
  <conditionalFormatting sqref="H19:N19">
    <cfRule type="cellIs" dxfId="6179" priority="174" operator="lessThan">
      <formula>50</formula>
    </cfRule>
  </conditionalFormatting>
  <conditionalFormatting sqref="P19">
    <cfRule type="cellIs" dxfId="6178" priority="173" operator="lessThan">
      <formula>50</formula>
    </cfRule>
  </conditionalFormatting>
  <conditionalFormatting sqref="H20:N20">
    <cfRule type="expression" dxfId="6177" priority="171">
      <formula>5</formula>
    </cfRule>
    <cfRule type="cellIs" dxfId="6176" priority="172" operator="lessThan">
      <formula>5</formula>
    </cfRule>
  </conditionalFormatting>
  <conditionalFormatting sqref="H20:N20">
    <cfRule type="cellIs" dxfId="6175" priority="170" operator="lessThan">
      <formula>50</formula>
    </cfRule>
  </conditionalFormatting>
  <conditionalFormatting sqref="P20">
    <cfRule type="cellIs" dxfId="6174" priority="169" operator="lessThan">
      <formula>50</formula>
    </cfRule>
  </conditionalFormatting>
  <conditionalFormatting sqref="H21:N21">
    <cfRule type="expression" dxfId="6173" priority="167">
      <formula>5</formula>
    </cfRule>
    <cfRule type="cellIs" dxfId="6172" priority="168" operator="lessThan">
      <formula>5</formula>
    </cfRule>
  </conditionalFormatting>
  <conditionalFormatting sqref="H21:N21">
    <cfRule type="cellIs" dxfId="6171" priority="166" operator="lessThan">
      <formula>50</formula>
    </cfRule>
  </conditionalFormatting>
  <conditionalFormatting sqref="P21">
    <cfRule type="cellIs" dxfId="6170" priority="165" operator="lessThan">
      <formula>50</formula>
    </cfRule>
  </conditionalFormatting>
  <conditionalFormatting sqref="H22:N22">
    <cfRule type="expression" dxfId="6169" priority="163">
      <formula>5</formula>
    </cfRule>
    <cfRule type="cellIs" dxfId="6168" priority="164" operator="lessThan">
      <formula>5</formula>
    </cfRule>
  </conditionalFormatting>
  <conditionalFormatting sqref="H22:N22">
    <cfRule type="cellIs" dxfId="6167" priority="162" operator="lessThan">
      <formula>50</formula>
    </cfRule>
  </conditionalFormatting>
  <conditionalFormatting sqref="P22">
    <cfRule type="cellIs" dxfId="6166" priority="161" operator="lessThan">
      <formula>50</formula>
    </cfRule>
  </conditionalFormatting>
  <conditionalFormatting sqref="H23:N23">
    <cfRule type="expression" dxfId="6165" priority="159">
      <formula>5</formula>
    </cfRule>
    <cfRule type="cellIs" dxfId="6164" priority="160" operator="lessThan">
      <formula>5</formula>
    </cfRule>
  </conditionalFormatting>
  <conditionalFormatting sqref="H23:N23">
    <cfRule type="cellIs" dxfId="6163" priority="158" operator="lessThan">
      <formula>50</formula>
    </cfRule>
  </conditionalFormatting>
  <conditionalFormatting sqref="P23">
    <cfRule type="cellIs" dxfId="6162" priority="157" operator="lessThan">
      <formula>50</formula>
    </cfRule>
  </conditionalFormatting>
  <conditionalFormatting sqref="H24:N24">
    <cfRule type="expression" dxfId="6161" priority="155">
      <formula>5</formula>
    </cfRule>
    <cfRule type="cellIs" dxfId="6160" priority="156" operator="lessThan">
      <formula>5</formula>
    </cfRule>
  </conditionalFormatting>
  <conditionalFormatting sqref="H24:N24">
    <cfRule type="cellIs" dxfId="6159" priority="154" operator="lessThan">
      <formula>50</formula>
    </cfRule>
  </conditionalFormatting>
  <conditionalFormatting sqref="P24">
    <cfRule type="cellIs" dxfId="6158" priority="153" operator="lessThan">
      <formula>50</formula>
    </cfRule>
  </conditionalFormatting>
  <conditionalFormatting sqref="H25:N25">
    <cfRule type="expression" dxfId="6157" priority="151">
      <formula>5</formula>
    </cfRule>
    <cfRule type="cellIs" dxfId="6156" priority="152" operator="lessThan">
      <formula>5</formula>
    </cfRule>
  </conditionalFormatting>
  <conditionalFormatting sqref="H25:N25">
    <cfRule type="cellIs" dxfId="6155" priority="150" operator="lessThan">
      <formula>50</formula>
    </cfRule>
  </conditionalFormatting>
  <conditionalFormatting sqref="P25">
    <cfRule type="cellIs" dxfId="6154" priority="149" operator="lessThan">
      <formula>50</formula>
    </cfRule>
  </conditionalFormatting>
  <conditionalFormatting sqref="H26:N26">
    <cfRule type="expression" dxfId="6153" priority="147">
      <formula>5</formula>
    </cfRule>
    <cfRule type="cellIs" dxfId="6152" priority="148" operator="lessThan">
      <formula>5</formula>
    </cfRule>
  </conditionalFormatting>
  <conditionalFormatting sqref="H26:N26">
    <cfRule type="cellIs" dxfId="6151" priority="146" operator="lessThan">
      <formula>50</formula>
    </cfRule>
  </conditionalFormatting>
  <conditionalFormatting sqref="P26">
    <cfRule type="cellIs" dxfId="6150" priority="145" operator="lessThan">
      <formula>50</formula>
    </cfRule>
  </conditionalFormatting>
  <conditionalFormatting sqref="H27:N27">
    <cfRule type="expression" dxfId="6149" priority="143">
      <formula>5</formula>
    </cfRule>
    <cfRule type="cellIs" dxfId="6148" priority="144" operator="lessThan">
      <formula>5</formula>
    </cfRule>
  </conditionalFormatting>
  <conditionalFormatting sqref="H27:N27">
    <cfRule type="cellIs" dxfId="6147" priority="142" operator="lessThan">
      <formula>50</formula>
    </cfRule>
  </conditionalFormatting>
  <conditionalFormatting sqref="P27">
    <cfRule type="cellIs" dxfId="6146" priority="141" operator="lessThan">
      <formula>50</formula>
    </cfRule>
  </conditionalFormatting>
  <conditionalFormatting sqref="H28:N28">
    <cfRule type="expression" dxfId="6145" priority="139">
      <formula>5</formula>
    </cfRule>
    <cfRule type="cellIs" dxfId="6144" priority="140" operator="lessThan">
      <formula>5</formula>
    </cfRule>
  </conditionalFormatting>
  <conditionalFormatting sqref="H28:N28">
    <cfRule type="cellIs" dxfId="6143" priority="138" operator="lessThan">
      <formula>50</formula>
    </cfRule>
  </conditionalFormatting>
  <conditionalFormatting sqref="P28">
    <cfRule type="cellIs" dxfId="6142" priority="137" operator="lessThan">
      <formula>50</formula>
    </cfRule>
  </conditionalFormatting>
  <conditionalFormatting sqref="H29:N29">
    <cfRule type="expression" dxfId="6141" priority="135">
      <formula>5</formula>
    </cfRule>
    <cfRule type="cellIs" dxfId="6140" priority="136" operator="lessThan">
      <formula>5</formula>
    </cfRule>
  </conditionalFormatting>
  <conditionalFormatting sqref="H29:N29">
    <cfRule type="cellIs" dxfId="6139" priority="134" operator="lessThan">
      <formula>50</formula>
    </cfRule>
  </conditionalFormatting>
  <conditionalFormatting sqref="P29">
    <cfRule type="cellIs" dxfId="6138" priority="133" operator="lessThan">
      <formula>50</formula>
    </cfRule>
  </conditionalFormatting>
  <conditionalFormatting sqref="H30:N30">
    <cfRule type="expression" dxfId="6137" priority="131">
      <formula>5</formula>
    </cfRule>
    <cfRule type="cellIs" dxfId="6136" priority="132" operator="lessThan">
      <formula>5</formula>
    </cfRule>
  </conditionalFormatting>
  <conditionalFormatting sqref="H30:N30">
    <cfRule type="cellIs" dxfId="6135" priority="130" operator="lessThan">
      <formula>50</formula>
    </cfRule>
  </conditionalFormatting>
  <conditionalFormatting sqref="P30">
    <cfRule type="cellIs" dxfId="6134" priority="129" operator="lessThan">
      <formula>50</formula>
    </cfRule>
  </conditionalFormatting>
  <conditionalFormatting sqref="H31:N31">
    <cfRule type="expression" dxfId="6133" priority="127">
      <formula>5</formula>
    </cfRule>
    <cfRule type="cellIs" dxfId="6132" priority="128" operator="lessThan">
      <formula>5</formula>
    </cfRule>
  </conditionalFormatting>
  <conditionalFormatting sqref="H31:N31">
    <cfRule type="cellIs" dxfId="6131" priority="126" operator="lessThan">
      <formula>50</formula>
    </cfRule>
  </conditionalFormatting>
  <conditionalFormatting sqref="P31">
    <cfRule type="cellIs" dxfId="6130" priority="125" operator="lessThan">
      <formula>50</formula>
    </cfRule>
  </conditionalFormatting>
  <conditionalFormatting sqref="H32:N32">
    <cfRule type="expression" dxfId="6129" priority="123">
      <formula>5</formula>
    </cfRule>
    <cfRule type="cellIs" dxfId="6128" priority="124" operator="lessThan">
      <formula>5</formula>
    </cfRule>
  </conditionalFormatting>
  <conditionalFormatting sqref="H32:N32">
    <cfRule type="cellIs" dxfId="6127" priority="122" operator="lessThan">
      <formula>50</formula>
    </cfRule>
  </conditionalFormatting>
  <conditionalFormatting sqref="P32">
    <cfRule type="cellIs" dxfId="6126" priority="121" operator="lessThan">
      <formula>50</formula>
    </cfRule>
  </conditionalFormatting>
  <conditionalFormatting sqref="H33:N33">
    <cfRule type="expression" dxfId="6125" priority="119">
      <formula>5</formula>
    </cfRule>
    <cfRule type="cellIs" dxfId="6124" priority="120" operator="lessThan">
      <formula>5</formula>
    </cfRule>
  </conditionalFormatting>
  <conditionalFormatting sqref="H33:N33">
    <cfRule type="cellIs" dxfId="6123" priority="118" operator="lessThan">
      <formula>50</formula>
    </cfRule>
  </conditionalFormatting>
  <conditionalFormatting sqref="P33">
    <cfRule type="cellIs" dxfId="6122" priority="117" operator="lessThan">
      <formula>50</formula>
    </cfRule>
  </conditionalFormatting>
  <conditionalFormatting sqref="H34:N34">
    <cfRule type="expression" dxfId="6121" priority="115">
      <formula>5</formula>
    </cfRule>
    <cfRule type="cellIs" dxfId="6120" priority="116" operator="lessThan">
      <formula>5</formula>
    </cfRule>
  </conditionalFormatting>
  <conditionalFormatting sqref="H34:N34">
    <cfRule type="cellIs" dxfId="6119" priority="114" operator="lessThan">
      <formula>50</formula>
    </cfRule>
  </conditionalFormatting>
  <conditionalFormatting sqref="P34">
    <cfRule type="cellIs" dxfId="6118" priority="113" operator="lessThan">
      <formula>50</formula>
    </cfRule>
  </conditionalFormatting>
  <conditionalFormatting sqref="H35:N35">
    <cfRule type="expression" dxfId="6117" priority="111">
      <formula>5</formula>
    </cfRule>
    <cfRule type="cellIs" dxfId="6116" priority="112" operator="lessThan">
      <formula>5</formula>
    </cfRule>
  </conditionalFormatting>
  <conditionalFormatting sqref="H35:N35">
    <cfRule type="cellIs" dxfId="6115" priority="110" operator="lessThan">
      <formula>50</formula>
    </cfRule>
  </conditionalFormatting>
  <conditionalFormatting sqref="P35">
    <cfRule type="cellIs" dxfId="6114" priority="109" operator="lessThan">
      <formula>50</formula>
    </cfRule>
  </conditionalFormatting>
  <conditionalFormatting sqref="H36:N36">
    <cfRule type="expression" dxfId="6113" priority="107">
      <formula>5</formula>
    </cfRule>
    <cfRule type="cellIs" dxfId="6112" priority="108" operator="lessThan">
      <formula>5</formula>
    </cfRule>
  </conditionalFormatting>
  <conditionalFormatting sqref="H36:N36">
    <cfRule type="cellIs" dxfId="6111" priority="106" operator="lessThan">
      <formula>50</formula>
    </cfRule>
  </conditionalFormatting>
  <conditionalFormatting sqref="P36">
    <cfRule type="cellIs" dxfId="6110" priority="105" operator="lessThan">
      <formula>50</formula>
    </cfRule>
  </conditionalFormatting>
  <conditionalFormatting sqref="H37:N37">
    <cfRule type="expression" dxfId="6109" priority="103">
      <formula>5</formula>
    </cfRule>
    <cfRule type="cellIs" dxfId="6108" priority="104" operator="lessThan">
      <formula>5</formula>
    </cfRule>
  </conditionalFormatting>
  <conditionalFormatting sqref="H37:N37">
    <cfRule type="cellIs" dxfId="6107" priority="102" operator="lessThan">
      <formula>50</formula>
    </cfRule>
  </conditionalFormatting>
  <conditionalFormatting sqref="P37">
    <cfRule type="cellIs" dxfId="6106" priority="101" operator="lessThan">
      <formula>50</formula>
    </cfRule>
  </conditionalFormatting>
  <conditionalFormatting sqref="H38:N38">
    <cfRule type="expression" dxfId="6105" priority="99">
      <formula>5</formula>
    </cfRule>
    <cfRule type="cellIs" dxfId="6104" priority="100" operator="lessThan">
      <formula>5</formula>
    </cfRule>
  </conditionalFormatting>
  <conditionalFormatting sqref="H38:N38">
    <cfRule type="cellIs" dxfId="6103" priority="98" operator="lessThan">
      <formula>50</formula>
    </cfRule>
  </conditionalFormatting>
  <conditionalFormatting sqref="P38">
    <cfRule type="cellIs" dxfId="6102" priority="97" operator="lessThan">
      <formula>50</formula>
    </cfRule>
  </conditionalFormatting>
  <conditionalFormatting sqref="H39:N39">
    <cfRule type="expression" dxfId="6101" priority="95">
      <formula>5</formula>
    </cfRule>
    <cfRule type="cellIs" dxfId="6100" priority="96" operator="lessThan">
      <formula>5</formula>
    </cfRule>
  </conditionalFormatting>
  <conditionalFormatting sqref="H39:N39">
    <cfRule type="cellIs" dxfId="6099" priority="94" operator="lessThan">
      <formula>50</formula>
    </cfRule>
  </conditionalFormatting>
  <conditionalFormatting sqref="P39">
    <cfRule type="cellIs" dxfId="6098" priority="93" operator="lessThan">
      <formula>50</formula>
    </cfRule>
  </conditionalFormatting>
  <conditionalFormatting sqref="H40:N40">
    <cfRule type="expression" dxfId="6097" priority="91">
      <formula>5</formula>
    </cfRule>
    <cfRule type="cellIs" dxfId="6096" priority="92" operator="lessThan">
      <formula>5</formula>
    </cfRule>
  </conditionalFormatting>
  <conditionalFormatting sqref="H40:N40">
    <cfRule type="cellIs" dxfId="6095" priority="90" operator="lessThan">
      <formula>50</formula>
    </cfRule>
  </conditionalFormatting>
  <conditionalFormatting sqref="P40">
    <cfRule type="cellIs" dxfId="6094" priority="89" operator="lessThan">
      <formula>50</formula>
    </cfRule>
  </conditionalFormatting>
  <conditionalFormatting sqref="H41:N41">
    <cfRule type="expression" dxfId="6093" priority="87">
      <formula>5</formula>
    </cfRule>
    <cfRule type="cellIs" dxfId="6092" priority="88" operator="lessThan">
      <formula>5</formula>
    </cfRule>
  </conditionalFormatting>
  <conditionalFormatting sqref="H41:N41">
    <cfRule type="cellIs" dxfId="6091" priority="86" operator="lessThan">
      <formula>50</formula>
    </cfRule>
  </conditionalFormatting>
  <conditionalFormatting sqref="P41">
    <cfRule type="cellIs" dxfId="6090" priority="85" operator="lessThan">
      <formula>50</formula>
    </cfRule>
  </conditionalFormatting>
  <conditionalFormatting sqref="H42:N42">
    <cfRule type="expression" dxfId="6089" priority="83">
      <formula>5</formula>
    </cfRule>
    <cfRule type="cellIs" dxfId="6088" priority="84" operator="lessThan">
      <formula>5</formula>
    </cfRule>
  </conditionalFormatting>
  <conditionalFormatting sqref="H42:N42">
    <cfRule type="cellIs" dxfId="6087" priority="82" operator="lessThan">
      <formula>50</formula>
    </cfRule>
  </conditionalFormatting>
  <conditionalFormatting sqref="P42">
    <cfRule type="cellIs" dxfId="6086" priority="81" operator="lessThan">
      <formula>50</formula>
    </cfRule>
  </conditionalFormatting>
  <conditionalFormatting sqref="H43:N43">
    <cfRule type="expression" dxfId="6085" priority="79">
      <formula>5</formula>
    </cfRule>
    <cfRule type="cellIs" dxfId="6084" priority="80" operator="lessThan">
      <formula>5</formula>
    </cfRule>
  </conditionalFormatting>
  <conditionalFormatting sqref="H43:N43">
    <cfRule type="cellIs" dxfId="6083" priority="78" operator="lessThan">
      <formula>50</formula>
    </cfRule>
  </conditionalFormatting>
  <conditionalFormatting sqref="P43">
    <cfRule type="cellIs" dxfId="6082" priority="77" operator="lessThan">
      <formula>50</formula>
    </cfRule>
  </conditionalFormatting>
  <conditionalFormatting sqref="H44:N44">
    <cfRule type="expression" dxfId="6081" priority="75">
      <formula>5</formula>
    </cfRule>
    <cfRule type="cellIs" dxfId="6080" priority="76" operator="lessThan">
      <formula>5</formula>
    </cfRule>
  </conditionalFormatting>
  <conditionalFormatting sqref="H44:N44">
    <cfRule type="cellIs" dxfId="6079" priority="74" operator="lessThan">
      <formula>50</formula>
    </cfRule>
  </conditionalFormatting>
  <conditionalFormatting sqref="P44">
    <cfRule type="cellIs" dxfId="6078" priority="73" operator="lessThan">
      <formula>50</formula>
    </cfRule>
  </conditionalFormatting>
  <conditionalFormatting sqref="H45:N45">
    <cfRule type="expression" dxfId="6077" priority="71">
      <formula>5</formula>
    </cfRule>
    <cfRule type="cellIs" dxfId="6076" priority="72" operator="lessThan">
      <formula>5</formula>
    </cfRule>
  </conditionalFormatting>
  <conditionalFormatting sqref="H45:N45">
    <cfRule type="cellIs" dxfId="6075" priority="70" operator="lessThan">
      <formula>50</formula>
    </cfRule>
  </conditionalFormatting>
  <conditionalFormatting sqref="P45">
    <cfRule type="cellIs" dxfId="6074" priority="69" operator="lessThan">
      <formula>50</formula>
    </cfRule>
  </conditionalFormatting>
  <conditionalFormatting sqref="H46:N46">
    <cfRule type="expression" dxfId="6073" priority="67">
      <formula>5</formula>
    </cfRule>
    <cfRule type="cellIs" dxfId="6072" priority="68" operator="lessThan">
      <formula>5</formula>
    </cfRule>
  </conditionalFormatting>
  <conditionalFormatting sqref="H46:N46">
    <cfRule type="cellIs" dxfId="6071" priority="66" operator="lessThan">
      <formula>50</formula>
    </cfRule>
  </conditionalFormatting>
  <conditionalFormatting sqref="P46">
    <cfRule type="cellIs" dxfId="6070" priority="65" operator="lessThan">
      <formula>50</formula>
    </cfRule>
  </conditionalFormatting>
  <conditionalFormatting sqref="H47:N47">
    <cfRule type="expression" dxfId="6069" priority="63">
      <formula>5</formula>
    </cfRule>
    <cfRule type="cellIs" dxfId="6068" priority="64" operator="lessThan">
      <formula>5</formula>
    </cfRule>
  </conditionalFormatting>
  <conditionalFormatting sqref="H47:N47">
    <cfRule type="cellIs" dxfId="6067" priority="62" operator="lessThan">
      <formula>50</formula>
    </cfRule>
  </conditionalFormatting>
  <conditionalFormatting sqref="P47">
    <cfRule type="cellIs" dxfId="6066" priority="61" operator="lessThan">
      <formula>50</formula>
    </cfRule>
  </conditionalFormatting>
  <conditionalFormatting sqref="H48:N48">
    <cfRule type="expression" dxfId="6065" priority="59">
      <formula>5</formula>
    </cfRule>
    <cfRule type="cellIs" dxfId="6064" priority="60" operator="lessThan">
      <formula>5</formula>
    </cfRule>
  </conditionalFormatting>
  <conditionalFormatting sqref="H48:N48">
    <cfRule type="cellIs" dxfId="6063" priority="58" operator="lessThan">
      <formula>50</formula>
    </cfRule>
  </conditionalFormatting>
  <conditionalFormatting sqref="P48">
    <cfRule type="cellIs" dxfId="6062" priority="57" operator="lessThan">
      <formula>50</formula>
    </cfRule>
  </conditionalFormatting>
  <conditionalFormatting sqref="H49:N49">
    <cfRule type="expression" dxfId="6061" priority="55">
      <formula>5</formula>
    </cfRule>
    <cfRule type="cellIs" dxfId="6060" priority="56" operator="lessThan">
      <formula>5</formula>
    </cfRule>
  </conditionalFormatting>
  <conditionalFormatting sqref="H49:N49">
    <cfRule type="cellIs" dxfId="6059" priority="54" operator="lessThan">
      <formula>50</formula>
    </cfRule>
  </conditionalFormatting>
  <conditionalFormatting sqref="P49">
    <cfRule type="cellIs" dxfId="6058" priority="53" operator="lessThan">
      <formula>50</formula>
    </cfRule>
  </conditionalFormatting>
  <conditionalFormatting sqref="H50:N50">
    <cfRule type="expression" dxfId="6057" priority="51">
      <formula>5</formula>
    </cfRule>
    <cfRule type="cellIs" dxfId="6056" priority="52" operator="lessThan">
      <formula>5</formula>
    </cfRule>
  </conditionalFormatting>
  <conditionalFormatting sqref="H50:N50">
    <cfRule type="cellIs" dxfId="6055" priority="50" operator="lessThan">
      <formula>50</formula>
    </cfRule>
  </conditionalFormatting>
  <conditionalFormatting sqref="P50">
    <cfRule type="cellIs" dxfId="6054" priority="49" operator="lessThan">
      <formula>50</formula>
    </cfRule>
  </conditionalFormatting>
  <conditionalFormatting sqref="H51:N51">
    <cfRule type="expression" dxfId="6053" priority="47">
      <formula>5</formula>
    </cfRule>
    <cfRule type="cellIs" dxfId="6052" priority="48" operator="lessThan">
      <formula>5</formula>
    </cfRule>
  </conditionalFormatting>
  <conditionalFormatting sqref="H51:N51">
    <cfRule type="cellIs" dxfId="6051" priority="46" operator="lessThan">
      <formula>50</formula>
    </cfRule>
  </conditionalFormatting>
  <conditionalFormatting sqref="P51">
    <cfRule type="cellIs" dxfId="6050" priority="45" operator="lessThan">
      <formula>50</formula>
    </cfRule>
  </conditionalFormatting>
  <conditionalFormatting sqref="H52:N52">
    <cfRule type="expression" dxfId="6049" priority="43">
      <formula>5</formula>
    </cfRule>
    <cfRule type="cellIs" dxfId="6048" priority="44" operator="lessThan">
      <formula>5</formula>
    </cfRule>
  </conditionalFormatting>
  <conditionalFormatting sqref="H52:N52">
    <cfRule type="cellIs" dxfId="6047" priority="42" operator="lessThan">
      <formula>50</formula>
    </cfRule>
  </conditionalFormatting>
  <conditionalFormatting sqref="P52">
    <cfRule type="cellIs" dxfId="6046" priority="41" operator="lessThan">
      <formula>50</formula>
    </cfRule>
  </conditionalFormatting>
  <conditionalFormatting sqref="H53:N53">
    <cfRule type="expression" dxfId="6045" priority="39">
      <formula>5</formula>
    </cfRule>
    <cfRule type="cellIs" dxfId="6044" priority="40" operator="lessThan">
      <formula>5</formula>
    </cfRule>
  </conditionalFormatting>
  <conditionalFormatting sqref="H53:N53">
    <cfRule type="cellIs" dxfId="6043" priority="38" operator="lessThan">
      <formula>50</formula>
    </cfRule>
  </conditionalFormatting>
  <conditionalFormatting sqref="P53">
    <cfRule type="cellIs" dxfId="6042" priority="37" operator="lessThan">
      <formula>50</formula>
    </cfRule>
  </conditionalFormatting>
  <conditionalFormatting sqref="H54:N54">
    <cfRule type="expression" dxfId="6041" priority="35">
      <formula>5</formula>
    </cfRule>
    <cfRule type="cellIs" dxfId="6040" priority="36" operator="lessThan">
      <formula>5</formula>
    </cfRule>
  </conditionalFormatting>
  <conditionalFormatting sqref="H54:N54">
    <cfRule type="cellIs" dxfId="6039" priority="34" operator="lessThan">
      <formula>50</formula>
    </cfRule>
  </conditionalFormatting>
  <conditionalFormatting sqref="P54">
    <cfRule type="cellIs" dxfId="6038" priority="33" operator="lessThan">
      <formula>50</formula>
    </cfRule>
  </conditionalFormatting>
  <conditionalFormatting sqref="H55:N55">
    <cfRule type="expression" dxfId="6037" priority="31">
      <formula>5</formula>
    </cfRule>
    <cfRule type="cellIs" dxfId="6036" priority="32" operator="lessThan">
      <formula>5</formula>
    </cfRule>
  </conditionalFormatting>
  <conditionalFormatting sqref="H55:N55">
    <cfRule type="cellIs" dxfId="6035" priority="30" operator="lessThan">
      <formula>50</formula>
    </cfRule>
  </conditionalFormatting>
  <conditionalFormatting sqref="P55">
    <cfRule type="cellIs" dxfId="6034" priority="29" operator="lessThan">
      <formula>50</formula>
    </cfRule>
  </conditionalFormatting>
  <conditionalFormatting sqref="H56:N56">
    <cfRule type="expression" dxfId="6033" priority="27">
      <formula>5</formula>
    </cfRule>
    <cfRule type="cellIs" dxfId="6032" priority="28" operator="lessThan">
      <formula>5</formula>
    </cfRule>
  </conditionalFormatting>
  <conditionalFormatting sqref="H56:N56">
    <cfRule type="cellIs" dxfId="6031" priority="26" operator="lessThan">
      <formula>50</formula>
    </cfRule>
  </conditionalFormatting>
  <conditionalFormatting sqref="P56">
    <cfRule type="cellIs" dxfId="6030" priority="25" operator="lessThan">
      <formula>50</formula>
    </cfRule>
  </conditionalFormatting>
  <conditionalFormatting sqref="H57:N57">
    <cfRule type="expression" dxfId="6029" priority="23">
      <formula>5</formula>
    </cfRule>
    <cfRule type="cellIs" dxfId="6028" priority="24" operator="lessThan">
      <formula>5</formula>
    </cfRule>
  </conditionalFormatting>
  <conditionalFormatting sqref="H57:N57">
    <cfRule type="cellIs" dxfId="6027" priority="22" operator="lessThan">
      <formula>50</formula>
    </cfRule>
  </conditionalFormatting>
  <conditionalFormatting sqref="P57">
    <cfRule type="cellIs" dxfId="6026" priority="21" operator="lessThan">
      <formula>50</formula>
    </cfRule>
  </conditionalFormatting>
  <conditionalFormatting sqref="H58:N58">
    <cfRule type="expression" dxfId="6025" priority="19">
      <formula>5</formula>
    </cfRule>
    <cfRule type="cellIs" dxfId="6024" priority="20" operator="lessThan">
      <formula>5</formula>
    </cfRule>
  </conditionalFormatting>
  <conditionalFormatting sqref="H58:N58">
    <cfRule type="cellIs" dxfId="6023" priority="18" operator="lessThan">
      <formula>50</formula>
    </cfRule>
  </conditionalFormatting>
  <conditionalFormatting sqref="P58">
    <cfRule type="cellIs" dxfId="6022" priority="17" operator="lessThan">
      <formula>50</formula>
    </cfRule>
  </conditionalFormatting>
  <conditionalFormatting sqref="H59:N59">
    <cfRule type="expression" dxfId="6021" priority="15">
      <formula>5</formula>
    </cfRule>
    <cfRule type="cellIs" dxfId="6020" priority="16" operator="lessThan">
      <formula>5</formula>
    </cfRule>
  </conditionalFormatting>
  <conditionalFormatting sqref="H59:N59">
    <cfRule type="cellIs" dxfId="6019" priority="14" operator="lessThan">
      <formula>50</formula>
    </cfRule>
  </conditionalFormatting>
  <conditionalFormatting sqref="P59">
    <cfRule type="cellIs" dxfId="6018" priority="13" operator="lessThan">
      <formula>50</formula>
    </cfRule>
  </conditionalFormatting>
  <conditionalFormatting sqref="H60:N60">
    <cfRule type="expression" dxfId="6017" priority="11">
      <formula>5</formula>
    </cfRule>
    <cfRule type="cellIs" dxfId="6016" priority="12" operator="lessThan">
      <formula>5</formula>
    </cfRule>
  </conditionalFormatting>
  <conditionalFormatting sqref="H60:N60">
    <cfRule type="cellIs" dxfId="6015" priority="10" operator="lessThan">
      <formula>50</formula>
    </cfRule>
  </conditionalFormatting>
  <conditionalFormatting sqref="P60">
    <cfRule type="cellIs" dxfId="6014" priority="9" operator="lessThan">
      <formula>50</formula>
    </cfRule>
  </conditionalFormatting>
  <conditionalFormatting sqref="H61:N61">
    <cfRule type="expression" dxfId="6013" priority="7">
      <formula>5</formula>
    </cfRule>
    <cfRule type="cellIs" dxfId="6012" priority="8" operator="lessThan">
      <formula>5</formula>
    </cfRule>
  </conditionalFormatting>
  <conditionalFormatting sqref="H61:N61">
    <cfRule type="cellIs" dxfId="6011" priority="6" operator="lessThan">
      <formula>50</formula>
    </cfRule>
  </conditionalFormatting>
  <conditionalFormatting sqref="P61">
    <cfRule type="cellIs" dxfId="6010" priority="5" operator="lessThan">
      <formula>50</formula>
    </cfRule>
  </conditionalFormatting>
  <conditionalFormatting sqref="H62:N62">
    <cfRule type="expression" dxfId="6009" priority="3">
      <formula>5</formula>
    </cfRule>
    <cfRule type="cellIs" dxfId="6008" priority="4" operator="lessThan">
      <formula>5</formula>
    </cfRule>
  </conditionalFormatting>
  <conditionalFormatting sqref="H62:N62">
    <cfRule type="cellIs" dxfId="6007" priority="2" operator="lessThan">
      <formula>50</formula>
    </cfRule>
  </conditionalFormatting>
  <conditionalFormatting sqref="P62">
    <cfRule type="cellIs" dxfId="6006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1:E18 D28:E28 D32:E32 D34:E38 D44:E45" xr:uid="{F37432D3-6845-4AC4-BFD1-4B546786D6B1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A7CF-7CEC-4C94-BDA3-6D893844ACA4}">
  <sheetPr codeName="Sheet98"/>
  <dimension ref="A1:Q62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6" width="4.7109375" style="44" customWidth="1"/>
    <col min="17" max="17" width="4.7109375" customWidth="1"/>
  </cols>
  <sheetData>
    <row r="1" spans="1:17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42"/>
      <c r="Q4" s="11"/>
    </row>
    <row r="5" spans="1:17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42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7</v>
      </c>
      <c r="I6" s="39" t="s">
        <v>11</v>
      </c>
      <c r="J6" s="39" t="s">
        <v>12</v>
      </c>
      <c r="K6" s="39" t="s">
        <v>2</v>
      </c>
      <c r="L6" s="39" t="s">
        <v>5319</v>
      </c>
      <c r="M6" s="39" t="s">
        <v>10</v>
      </c>
      <c r="N6" s="39" t="s">
        <v>3</v>
      </c>
      <c r="O6" s="39" t="s">
        <v>5320</v>
      </c>
      <c r="P6" s="53" t="s">
        <v>5321</v>
      </c>
      <c r="Q6" s="39" t="s">
        <v>5324</v>
      </c>
    </row>
    <row r="7" spans="1:17" ht="18" customHeight="1" thickTop="1">
      <c r="A7" s="19">
        <v>1</v>
      </c>
      <c r="B7" s="2" t="s">
        <v>2322</v>
      </c>
      <c r="C7" s="1" t="s">
        <v>2323</v>
      </c>
      <c r="D7" s="3" t="s">
        <v>2324</v>
      </c>
      <c r="E7" s="1" t="s">
        <v>73</v>
      </c>
      <c r="F7" s="10" t="s">
        <v>2261</v>
      </c>
      <c r="G7" s="2">
        <v>30</v>
      </c>
      <c r="H7" s="6">
        <v>100</v>
      </c>
      <c r="I7" s="6">
        <v>100</v>
      </c>
      <c r="J7" s="6">
        <v>92</v>
      </c>
      <c r="K7" s="6">
        <v>92</v>
      </c>
      <c r="L7" s="6">
        <v>100</v>
      </c>
      <c r="M7" s="6">
        <v>100</v>
      </c>
      <c r="N7" s="6">
        <v>96</v>
      </c>
      <c r="O7" s="1">
        <f t="shared" ref="O7:O38" si="0">SUBTOTAL(9,H7:N7)</f>
        <v>680</v>
      </c>
      <c r="P7" s="14">
        <f t="shared" ref="P7:P38" si="1">O7/7</f>
        <v>97.142857142857139</v>
      </c>
      <c r="Q7" s="20">
        <f t="shared" ref="Q7:Q38" si="2">RANK(P7,P$7:P$286,0)</f>
        <v>1</v>
      </c>
    </row>
    <row r="8" spans="1:17" ht="18" customHeight="1">
      <c r="A8" s="19">
        <v>2</v>
      </c>
      <c r="B8" s="2" t="s">
        <v>2408</v>
      </c>
      <c r="C8" s="1">
        <v>311260933</v>
      </c>
      <c r="D8" s="3" t="s">
        <v>2409</v>
      </c>
      <c r="E8" s="1" t="s">
        <v>59</v>
      </c>
      <c r="F8" s="10" t="s">
        <v>2261</v>
      </c>
      <c r="G8" s="2">
        <v>31</v>
      </c>
      <c r="H8" s="6">
        <v>96</v>
      </c>
      <c r="I8" s="6">
        <v>86</v>
      </c>
      <c r="J8" s="6">
        <v>82</v>
      </c>
      <c r="K8" s="6">
        <v>80</v>
      </c>
      <c r="L8" s="6">
        <v>100</v>
      </c>
      <c r="M8" s="6">
        <v>96</v>
      </c>
      <c r="N8" s="6">
        <v>96</v>
      </c>
      <c r="O8" s="1">
        <f t="shared" si="0"/>
        <v>636</v>
      </c>
      <c r="P8" s="14">
        <f t="shared" si="1"/>
        <v>90.857142857142861</v>
      </c>
      <c r="Q8" s="20">
        <f t="shared" si="2"/>
        <v>2</v>
      </c>
    </row>
    <row r="9" spans="1:17" ht="18" customHeight="1">
      <c r="A9" s="19">
        <v>3</v>
      </c>
      <c r="B9" s="2" t="s">
        <v>2339</v>
      </c>
      <c r="C9" s="1" t="s">
        <v>2340</v>
      </c>
      <c r="D9" s="3" t="s">
        <v>2341</v>
      </c>
      <c r="E9" s="1" t="s">
        <v>84</v>
      </c>
      <c r="F9" s="10" t="s">
        <v>2261</v>
      </c>
      <c r="G9" s="2">
        <v>30</v>
      </c>
      <c r="H9" s="6">
        <v>100</v>
      </c>
      <c r="I9" s="6">
        <v>96</v>
      </c>
      <c r="J9" s="6">
        <v>68</v>
      </c>
      <c r="K9" s="6">
        <v>84</v>
      </c>
      <c r="L9" s="6">
        <v>96</v>
      </c>
      <c r="M9" s="6">
        <v>76</v>
      </c>
      <c r="N9" s="6">
        <v>81</v>
      </c>
      <c r="O9" s="1">
        <f t="shared" si="0"/>
        <v>601</v>
      </c>
      <c r="P9" s="14">
        <f t="shared" si="1"/>
        <v>85.857142857142861</v>
      </c>
      <c r="Q9" s="20">
        <f t="shared" si="2"/>
        <v>3</v>
      </c>
    </row>
    <row r="10" spans="1:17" ht="18" customHeight="1">
      <c r="A10" s="19">
        <v>4</v>
      </c>
      <c r="B10" s="2" t="s">
        <v>2268</v>
      </c>
      <c r="C10" s="1" t="s">
        <v>2269</v>
      </c>
      <c r="D10" s="3" t="s">
        <v>2270</v>
      </c>
      <c r="E10" s="1" t="s">
        <v>69</v>
      </c>
      <c r="F10" s="10" t="s">
        <v>2261</v>
      </c>
      <c r="G10" s="2">
        <v>29</v>
      </c>
      <c r="H10" s="6">
        <v>90</v>
      </c>
      <c r="I10" s="6">
        <v>68</v>
      </c>
      <c r="J10" s="6">
        <v>80</v>
      </c>
      <c r="K10" s="6">
        <v>88</v>
      </c>
      <c r="L10" s="6">
        <v>90</v>
      </c>
      <c r="M10" s="6">
        <v>92</v>
      </c>
      <c r="N10" s="6">
        <v>77</v>
      </c>
      <c r="O10" s="1">
        <f t="shared" si="0"/>
        <v>585</v>
      </c>
      <c r="P10" s="14">
        <f t="shared" si="1"/>
        <v>83.571428571428569</v>
      </c>
      <c r="Q10" s="20">
        <f t="shared" si="2"/>
        <v>4</v>
      </c>
    </row>
    <row r="11" spans="1:17" ht="18" customHeight="1">
      <c r="A11" s="19">
        <v>5</v>
      </c>
      <c r="B11" s="2" t="s">
        <v>2369</v>
      </c>
      <c r="C11" s="1" t="s">
        <v>2370</v>
      </c>
      <c r="D11" s="3" t="s">
        <v>2371</v>
      </c>
      <c r="E11" s="1" t="s">
        <v>90</v>
      </c>
      <c r="F11" s="10" t="s">
        <v>2261</v>
      </c>
      <c r="G11" s="2">
        <v>31</v>
      </c>
      <c r="H11" s="6">
        <v>100</v>
      </c>
      <c r="I11" s="6">
        <v>78</v>
      </c>
      <c r="J11" s="6">
        <v>92</v>
      </c>
      <c r="K11" s="6">
        <v>76</v>
      </c>
      <c r="L11" s="6">
        <v>92</v>
      </c>
      <c r="M11" s="6">
        <v>100</v>
      </c>
      <c r="N11" s="6">
        <v>47</v>
      </c>
      <c r="O11" s="1">
        <f t="shared" si="0"/>
        <v>585</v>
      </c>
      <c r="P11" s="14">
        <f t="shared" si="1"/>
        <v>83.571428571428569</v>
      </c>
      <c r="Q11" s="20">
        <f t="shared" si="2"/>
        <v>4</v>
      </c>
    </row>
    <row r="12" spans="1:17" ht="18" customHeight="1">
      <c r="A12" s="19">
        <v>6</v>
      </c>
      <c r="B12" s="2" t="s">
        <v>2282</v>
      </c>
      <c r="C12" s="1" t="s">
        <v>2283</v>
      </c>
      <c r="D12" s="3" t="s">
        <v>2284</v>
      </c>
      <c r="E12" s="1" t="s">
        <v>79</v>
      </c>
      <c r="F12" s="10" t="s">
        <v>2261</v>
      </c>
      <c r="G12" s="2">
        <v>29</v>
      </c>
      <c r="H12" s="6">
        <v>78</v>
      </c>
      <c r="I12" s="6">
        <v>80</v>
      </c>
      <c r="J12" s="6">
        <v>96</v>
      </c>
      <c r="K12" s="6">
        <v>62</v>
      </c>
      <c r="L12" s="6">
        <v>100</v>
      </c>
      <c r="M12" s="6">
        <v>88</v>
      </c>
      <c r="N12" s="6">
        <v>66</v>
      </c>
      <c r="O12" s="1">
        <f t="shared" si="0"/>
        <v>570</v>
      </c>
      <c r="P12" s="14">
        <f t="shared" si="1"/>
        <v>81.428571428571431</v>
      </c>
      <c r="Q12" s="20">
        <f t="shared" si="2"/>
        <v>6</v>
      </c>
    </row>
    <row r="13" spans="1:17" ht="18" customHeight="1">
      <c r="A13" s="19">
        <v>7</v>
      </c>
      <c r="B13" s="2" t="s">
        <v>2336</v>
      </c>
      <c r="C13" s="1" t="s">
        <v>2337</v>
      </c>
      <c r="D13" s="3" t="s">
        <v>2338</v>
      </c>
      <c r="E13" s="1" t="s">
        <v>77</v>
      </c>
      <c r="F13" s="10" t="s">
        <v>2261</v>
      </c>
      <c r="G13" s="2">
        <v>30</v>
      </c>
      <c r="H13" s="6">
        <v>92</v>
      </c>
      <c r="I13" s="6">
        <v>63</v>
      </c>
      <c r="J13" s="6">
        <v>70</v>
      </c>
      <c r="K13" s="6">
        <v>62</v>
      </c>
      <c r="L13" s="6">
        <v>96</v>
      </c>
      <c r="M13" s="6">
        <v>84</v>
      </c>
      <c r="N13" s="6">
        <v>62</v>
      </c>
      <c r="O13" s="1">
        <f t="shared" si="0"/>
        <v>529</v>
      </c>
      <c r="P13" s="14">
        <f t="shared" si="1"/>
        <v>75.571428571428569</v>
      </c>
      <c r="Q13" s="20">
        <f t="shared" si="2"/>
        <v>7</v>
      </c>
    </row>
    <row r="14" spans="1:17" ht="18" customHeight="1">
      <c r="A14" s="19">
        <v>8</v>
      </c>
      <c r="B14" s="2" t="s">
        <v>2410</v>
      </c>
      <c r="C14" s="1">
        <v>311260934</v>
      </c>
      <c r="D14" s="3" t="s">
        <v>2411</v>
      </c>
      <c r="E14" s="1" t="s">
        <v>74</v>
      </c>
      <c r="F14" s="10" t="s">
        <v>2261</v>
      </c>
      <c r="G14" s="2">
        <v>31</v>
      </c>
      <c r="H14" s="6">
        <v>84</v>
      </c>
      <c r="I14" s="6">
        <v>82</v>
      </c>
      <c r="J14" s="6">
        <v>74</v>
      </c>
      <c r="K14" s="6">
        <v>58</v>
      </c>
      <c r="L14" s="6">
        <v>88</v>
      </c>
      <c r="M14" s="6">
        <v>92</v>
      </c>
      <c r="N14" s="6">
        <v>43</v>
      </c>
      <c r="O14" s="1">
        <f t="shared" si="0"/>
        <v>521</v>
      </c>
      <c r="P14" s="14">
        <f t="shared" si="1"/>
        <v>74.428571428571431</v>
      </c>
      <c r="Q14" s="20">
        <f t="shared" si="2"/>
        <v>8</v>
      </c>
    </row>
    <row r="15" spans="1:17" ht="18" customHeight="1">
      <c r="A15" s="19">
        <v>9</v>
      </c>
      <c r="B15" s="2" t="s">
        <v>2304</v>
      </c>
      <c r="C15" s="1" t="s">
        <v>2305</v>
      </c>
      <c r="D15" s="3" t="s">
        <v>2306</v>
      </c>
      <c r="E15" s="1" t="s">
        <v>58</v>
      </c>
      <c r="F15" s="10" t="s">
        <v>2261</v>
      </c>
      <c r="G15" s="2">
        <v>30</v>
      </c>
      <c r="H15" s="6">
        <v>100</v>
      </c>
      <c r="I15" s="6">
        <v>52</v>
      </c>
      <c r="J15" s="6">
        <v>88</v>
      </c>
      <c r="K15" s="6">
        <v>52</v>
      </c>
      <c r="L15" s="6">
        <v>66</v>
      </c>
      <c r="M15" s="6">
        <v>86</v>
      </c>
      <c r="N15" s="6">
        <v>73</v>
      </c>
      <c r="O15" s="1">
        <f t="shared" si="0"/>
        <v>517</v>
      </c>
      <c r="P15" s="14">
        <f t="shared" si="1"/>
        <v>73.857142857142861</v>
      </c>
      <c r="Q15" s="20">
        <f t="shared" si="2"/>
        <v>9</v>
      </c>
    </row>
    <row r="16" spans="1:17" ht="18" customHeight="1">
      <c r="A16" s="19">
        <v>10</v>
      </c>
      <c r="B16" s="2" t="s">
        <v>2351</v>
      </c>
      <c r="C16" s="1" t="s">
        <v>2352</v>
      </c>
      <c r="D16" s="3" t="s">
        <v>2353</v>
      </c>
      <c r="E16" s="1" t="s">
        <v>64</v>
      </c>
      <c r="F16" s="10" t="s">
        <v>2261</v>
      </c>
      <c r="G16" s="2">
        <v>30</v>
      </c>
      <c r="H16" s="6">
        <v>48</v>
      </c>
      <c r="I16" s="6">
        <v>78</v>
      </c>
      <c r="J16" s="6">
        <v>78</v>
      </c>
      <c r="K16" s="6">
        <v>49</v>
      </c>
      <c r="L16" s="6">
        <v>92</v>
      </c>
      <c r="M16" s="6">
        <v>76</v>
      </c>
      <c r="N16" s="6">
        <v>85</v>
      </c>
      <c r="O16" s="1">
        <f t="shared" si="0"/>
        <v>506</v>
      </c>
      <c r="P16" s="14">
        <f t="shared" si="1"/>
        <v>72.285714285714292</v>
      </c>
      <c r="Q16" s="20">
        <f t="shared" si="2"/>
        <v>10</v>
      </c>
    </row>
    <row r="17" spans="1:17" ht="18" customHeight="1">
      <c r="A17" s="19">
        <v>11</v>
      </c>
      <c r="B17" s="2" t="s">
        <v>2375</v>
      </c>
      <c r="C17" s="1" t="s">
        <v>2376</v>
      </c>
      <c r="D17" s="3" t="s">
        <v>2377</v>
      </c>
      <c r="E17" s="1" t="s">
        <v>65</v>
      </c>
      <c r="F17" s="10" t="s">
        <v>2261</v>
      </c>
      <c r="G17" s="2">
        <v>31</v>
      </c>
      <c r="H17" s="6">
        <v>86</v>
      </c>
      <c r="I17" s="6">
        <v>52</v>
      </c>
      <c r="J17" s="6">
        <v>72</v>
      </c>
      <c r="K17" s="6">
        <v>74</v>
      </c>
      <c r="L17" s="6">
        <v>82</v>
      </c>
      <c r="M17" s="6">
        <v>96</v>
      </c>
      <c r="N17" s="6">
        <v>35</v>
      </c>
      <c r="O17" s="1">
        <f t="shared" si="0"/>
        <v>497</v>
      </c>
      <c r="P17" s="14">
        <f t="shared" si="1"/>
        <v>71</v>
      </c>
      <c r="Q17" s="20">
        <f t="shared" si="2"/>
        <v>11</v>
      </c>
    </row>
    <row r="18" spans="1:17" ht="18" customHeight="1">
      <c r="A18" s="19">
        <v>12</v>
      </c>
      <c r="B18" s="2" t="s">
        <v>2345</v>
      </c>
      <c r="C18" s="1" t="s">
        <v>2346</v>
      </c>
      <c r="D18" s="3" t="s">
        <v>2347</v>
      </c>
      <c r="E18" s="1" t="s">
        <v>64</v>
      </c>
      <c r="F18" s="10" t="s">
        <v>2261</v>
      </c>
      <c r="G18" s="2">
        <v>30</v>
      </c>
      <c r="H18" s="6">
        <v>60</v>
      </c>
      <c r="I18" s="6">
        <v>82</v>
      </c>
      <c r="J18" s="6">
        <v>62</v>
      </c>
      <c r="K18" s="6">
        <v>66</v>
      </c>
      <c r="L18" s="6">
        <v>86</v>
      </c>
      <c r="M18" s="6">
        <v>76</v>
      </c>
      <c r="N18" s="6">
        <v>47</v>
      </c>
      <c r="O18" s="1">
        <f t="shared" si="0"/>
        <v>479</v>
      </c>
      <c r="P18" s="14">
        <f t="shared" si="1"/>
        <v>68.428571428571431</v>
      </c>
      <c r="Q18" s="20">
        <f t="shared" si="2"/>
        <v>12</v>
      </c>
    </row>
    <row r="19" spans="1:17" ht="18" customHeight="1">
      <c r="A19" s="19">
        <v>13</v>
      </c>
      <c r="B19" s="2" t="s">
        <v>2342</v>
      </c>
      <c r="C19" s="1" t="s">
        <v>2343</v>
      </c>
      <c r="D19" s="3" t="s">
        <v>2344</v>
      </c>
      <c r="E19" s="1" t="s">
        <v>84</v>
      </c>
      <c r="F19" s="10" t="s">
        <v>2261</v>
      </c>
      <c r="G19" s="2">
        <v>30</v>
      </c>
      <c r="H19" s="6">
        <v>86</v>
      </c>
      <c r="I19" s="6">
        <v>44</v>
      </c>
      <c r="J19" s="6">
        <v>74</v>
      </c>
      <c r="K19" s="6">
        <v>58</v>
      </c>
      <c r="L19" s="6">
        <v>82</v>
      </c>
      <c r="M19" s="6">
        <v>82</v>
      </c>
      <c r="N19" s="6">
        <v>51</v>
      </c>
      <c r="O19" s="1">
        <f t="shared" si="0"/>
        <v>477</v>
      </c>
      <c r="P19" s="14">
        <f t="shared" si="1"/>
        <v>68.142857142857139</v>
      </c>
      <c r="Q19" s="20">
        <f t="shared" si="2"/>
        <v>13</v>
      </c>
    </row>
    <row r="20" spans="1:17" ht="18" customHeight="1">
      <c r="A20" s="19">
        <v>14</v>
      </c>
      <c r="B20" s="2" t="s">
        <v>2402</v>
      </c>
      <c r="C20" s="1">
        <v>311260312</v>
      </c>
      <c r="D20" s="3" t="s">
        <v>2403</v>
      </c>
      <c r="E20" s="1" t="s">
        <v>60</v>
      </c>
      <c r="F20" s="10" t="s">
        <v>2261</v>
      </c>
      <c r="G20" s="2">
        <v>31</v>
      </c>
      <c r="H20" s="6">
        <v>74</v>
      </c>
      <c r="I20" s="6">
        <v>29</v>
      </c>
      <c r="J20" s="6">
        <v>74</v>
      </c>
      <c r="K20" s="6">
        <v>44</v>
      </c>
      <c r="L20" s="6">
        <v>77</v>
      </c>
      <c r="M20" s="6">
        <v>88</v>
      </c>
      <c r="N20" s="6">
        <v>66</v>
      </c>
      <c r="O20" s="1">
        <f t="shared" si="0"/>
        <v>452</v>
      </c>
      <c r="P20" s="14">
        <f t="shared" si="1"/>
        <v>64.571428571428569</v>
      </c>
      <c r="Q20" s="20">
        <f t="shared" si="2"/>
        <v>14</v>
      </c>
    </row>
    <row r="21" spans="1:17" ht="18" customHeight="1">
      <c r="A21" s="19">
        <v>15</v>
      </c>
      <c r="B21" s="2" t="s">
        <v>2333</v>
      </c>
      <c r="C21" s="1" t="s">
        <v>2334</v>
      </c>
      <c r="D21" s="3" t="s">
        <v>2335</v>
      </c>
      <c r="E21" s="1" t="s">
        <v>77</v>
      </c>
      <c r="F21" s="10" t="s">
        <v>2261</v>
      </c>
      <c r="G21" s="2">
        <v>30</v>
      </c>
      <c r="H21" s="6">
        <v>82</v>
      </c>
      <c r="I21" s="6">
        <v>43</v>
      </c>
      <c r="J21" s="6">
        <v>41</v>
      </c>
      <c r="K21" s="6">
        <v>54</v>
      </c>
      <c r="L21" s="6">
        <v>92</v>
      </c>
      <c r="M21" s="6">
        <v>80</v>
      </c>
      <c r="N21" s="6">
        <v>43</v>
      </c>
      <c r="O21" s="1">
        <f t="shared" si="0"/>
        <v>435</v>
      </c>
      <c r="P21" s="14">
        <f t="shared" si="1"/>
        <v>62.142857142857146</v>
      </c>
      <c r="Q21" s="20">
        <f t="shared" si="2"/>
        <v>15</v>
      </c>
    </row>
    <row r="22" spans="1:17" ht="18" customHeight="1">
      <c r="A22" s="19">
        <v>16</v>
      </c>
      <c r="B22" s="2" t="s">
        <v>2404</v>
      </c>
      <c r="C22" s="1">
        <v>311260313</v>
      </c>
      <c r="D22" s="3" t="s">
        <v>2405</v>
      </c>
      <c r="E22" s="1" t="s">
        <v>76</v>
      </c>
      <c r="F22" s="10" t="s">
        <v>2261</v>
      </c>
      <c r="G22" s="2">
        <v>31</v>
      </c>
      <c r="H22" s="6">
        <v>88</v>
      </c>
      <c r="I22" s="6">
        <v>20</v>
      </c>
      <c r="J22" s="6">
        <v>74</v>
      </c>
      <c r="K22" s="6">
        <v>50</v>
      </c>
      <c r="L22" s="6">
        <v>70</v>
      </c>
      <c r="M22" s="6">
        <v>66</v>
      </c>
      <c r="N22" s="6">
        <v>66</v>
      </c>
      <c r="O22" s="1">
        <f t="shared" si="0"/>
        <v>434</v>
      </c>
      <c r="P22" s="14">
        <f t="shared" si="1"/>
        <v>62</v>
      </c>
      <c r="Q22" s="20">
        <f t="shared" si="2"/>
        <v>16</v>
      </c>
    </row>
    <row r="23" spans="1:17" ht="18" customHeight="1">
      <c r="A23" s="19">
        <v>17</v>
      </c>
      <c r="B23" s="2" t="s">
        <v>2296</v>
      </c>
      <c r="C23" s="1" t="s">
        <v>2297</v>
      </c>
      <c r="D23" s="3" t="s">
        <v>2298</v>
      </c>
      <c r="E23" s="1" t="s">
        <v>57</v>
      </c>
      <c r="F23" s="10" t="s">
        <v>2261</v>
      </c>
      <c r="G23" s="2">
        <v>29</v>
      </c>
      <c r="H23" s="6">
        <v>68</v>
      </c>
      <c r="I23" s="6">
        <v>80</v>
      </c>
      <c r="J23" s="6">
        <v>74</v>
      </c>
      <c r="K23" s="6">
        <v>56</v>
      </c>
      <c r="L23" s="6">
        <v>64</v>
      </c>
      <c r="M23" s="6">
        <v>54</v>
      </c>
      <c r="N23" s="6">
        <v>28</v>
      </c>
      <c r="O23" s="1">
        <f t="shared" si="0"/>
        <v>424</v>
      </c>
      <c r="P23" s="14">
        <f t="shared" si="1"/>
        <v>60.571428571428569</v>
      </c>
      <c r="Q23" s="20">
        <f t="shared" si="2"/>
        <v>17</v>
      </c>
    </row>
    <row r="24" spans="1:17" ht="18" customHeight="1">
      <c r="A24" s="19">
        <v>18</v>
      </c>
      <c r="B24" s="2" t="s">
        <v>2325</v>
      </c>
      <c r="C24" s="1" t="s">
        <v>2326</v>
      </c>
      <c r="D24" s="3" t="s">
        <v>2327</v>
      </c>
      <c r="E24" s="1" t="s">
        <v>73</v>
      </c>
      <c r="F24" s="10" t="s">
        <v>2261</v>
      </c>
      <c r="G24" s="2">
        <v>30</v>
      </c>
      <c r="H24" s="6">
        <v>70</v>
      </c>
      <c r="I24" s="6">
        <v>31</v>
      </c>
      <c r="J24" s="6">
        <v>72</v>
      </c>
      <c r="K24" s="6">
        <v>72</v>
      </c>
      <c r="L24" s="6">
        <v>53</v>
      </c>
      <c r="M24" s="6">
        <v>76</v>
      </c>
      <c r="N24" s="6">
        <v>47</v>
      </c>
      <c r="O24" s="1">
        <f t="shared" si="0"/>
        <v>421</v>
      </c>
      <c r="P24" s="14">
        <f t="shared" si="1"/>
        <v>60.142857142857146</v>
      </c>
      <c r="Q24" s="20">
        <f t="shared" si="2"/>
        <v>18</v>
      </c>
    </row>
    <row r="25" spans="1:17" ht="18" customHeight="1">
      <c r="A25" s="19">
        <v>19</v>
      </c>
      <c r="B25" s="2" t="s">
        <v>2390</v>
      </c>
      <c r="C25" s="1" t="s">
        <v>2391</v>
      </c>
      <c r="D25" s="3" t="s">
        <v>2392</v>
      </c>
      <c r="E25" s="1" t="s">
        <v>67</v>
      </c>
      <c r="F25" s="10" t="s">
        <v>2261</v>
      </c>
      <c r="G25" s="2">
        <v>31</v>
      </c>
      <c r="H25" s="6">
        <v>78</v>
      </c>
      <c r="I25" s="6">
        <v>45</v>
      </c>
      <c r="J25" s="6">
        <v>52</v>
      </c>
      <c r="K25" s="6">
        <v>47</v>
      </c>
      <c r="L25" s="6">
        <v>69</v>
      </c>
      <c r="M25" s="6">
        <v>73</v>
      </c>
      <c r="N25" s="6">
        <v>28</v>
      </c>
      <c r="O25" s="1">
        <f t="shared" si="0"/>
        <v>392</v>
      </c>
      <c r="P25" s="14">
        <f t="shared" si="1"/>
        <v>56</v>
      </c>
      <c r="Q25" s="20">
        <f t="shared" si="2"/>
        <v>19</v>
      </c>
    </row>
    <row r="26" spans="1:17" ht="18" customHeight="1">
      <c r="A26" s="19">
        <v>20</v>
      </c>
      <c r="B26" s="2" t="s">
        <v>2262</v>
      </c>
      <c r="C26" s="1" t="s">
        <v>2263</v>
      </c>
      <c r="D26" s="3" t="s">
        <v>2264</v>
      </c>
      <c r="E26" s="1" t="s">
        <v>84</v>
      </c>
      <c r="F26" s="10" t="s">
        <v>2261</v>
      </c>
      <c r="G26" s="2">
        <v>29</v>
      </c>
      <c r="H26" s="6">
        <v>72</v>
      </c>
      <c r="I26" s="6">
        <v>17</v>
      </c>
      <c r="J26" s="6">
        <v>52</v>
      </c>
      <c r="K26" s="6">
        <v>54</v>
      </c>
      <c r="L26" s="6">
        <v>55</v>
      </c>
      <c r="M26" s="6">
        <v>70</v>
      </c>
      <c r="N26" s="6">
        <v>58</v>
      </c>
      <c r="O26" s="1">
        <f t="shared" si="0"/>
        <v>378</v>
      </c>
      <c r="P26" s="14">
        <f t="shared" si="1"/>
        <v>54</v>
      </c>
      <c r="Q26" s="20">
        <f t="shared" si="2"/>
        <v>20</v>
      </c>
    </row>
    <row r="27" spans="1:17" ht="18" customHeight="1">
      <c r="A27" s="19">
        <v>21</v>
      </c>
      <c r="B27" s="2" t="s">
        <v>2277</v>
      </c>
      <c r="C27" s="1">
        <v>311240376</v>
      </c>
      <c r="D27" s="3" t="s">
        <v>2278</v>
      </c>
      <c r="E27" s="1" t="s">
        <v>55</v>
      </c>
      <c r="F27" s="10" t="s">
        <v>2261</v>
      </c>
      <c r="G27" s="2">
        <v>29</v>
      </c>
      <c r="H27" s="6">
        <v>78</v>
      </c>
      <c r="I27" s="6">
        <v>35</v>
      </c>
      <c r="J27" s="6">
        <v>60</v>
      </c>
      <c r="K27" s="6">
        <v>46</v>
      </c>
      <c r="L27" s="6">
        <v>56</v>
      </c>
      <c r="M27" s="6">
        <v>77</v>
      </c>
      <c r="N27" s="6">
        <v>20</v>
      </c>
      <c r="O27" s="1">
        <f t="shared" si="0"/>
        <v>372</v>
      </c>
      <c r="P27" s="14">
        <f t="shared" si="1"/>
        <v>53.142857142857146</v>
      </c>
      <c r="Q27" s="20">
        <f t="shared" si="2"/>
        <v>21</v>
      </c>
    </row>
    <row r="28" spans="1:17" ht="18" customHeight="1">
      <c r="A28" s="19">
        <v>22</v>
      </c>
      <c r="B28" s="2" t="s">
        <v>2393</v>
      </c>
      <c r="C28" s="1" t="s">
        <v>2394</v>
      </c>
      <c r="D28" s="3" t="s">
        <v>2395</v>
      </c>
      <c r="E28" s="1" t="s">
        <v>353</v>
      </c>
      <c r="F28" s="10" t="s">
        <v>2261</v>
      </c>
      <c r="G28" s="2">
        <v>31</v>
      </c>
      <c r="H28" s="6">
        <v>33</v>
      </c>
      <c r="I28" s="6">
        <v>40</v>
      </c>
      <c r="J28" s="6">
        <v>62</v>
      </c>
      <c r="K28" s="6">
        <v>60</v>
      </c>
      <c r="L28" s="6">
        <v>74</v>
      </c>
      <c r="M28" s="6">
        <v>43</v>
      </c>
      <c r="N28" s="6">
        <v>58</v>
      </c>
      <c r="O28" s="1">
        <f t="shared" si="0"/>
        <v>370</v>
      </c>
      <c r="P28" s="14">
        <f t="shared" si="1"/>
        <v>52.857142857142854</v>
      </c>
      <c r="Q28" s="20">
        <f t="shared" si="2"/>
        <v>22</v>
      </c>
    </row>
    <row r="29" spans="1:17" ht="18" customHeight="1">
      <c r="A29" s="19">
        <v>23</v>
      </c>
      <c r="B29" s="2" t="s">
        <v>2316</v>
      </c>
      <c r="C29" s="1" t="s">
        <v>2317</v>
      </c>
      <c r="D29" s="3" t="s">
        <v>2318</v>
      </c>
      <c r="E29" s="1" t="s">
        <v>62</v>
      </c>
      <c r="F29" s="10" t="s">
        <v>2261</v>
      </c>
      <c r="G29" s="2">
        <v>30</v>
      </c>
      <c r="H29" s="6">
        <v>88</v>
      </c>
      <c r="I29" s="6">
        <v>43</v>
      </c>
      <c r="J29" s="6">
        <v>47</v>
      </c>
      <c r="K29" s="6">
        <v>45</v>
      </c>
      <c r="L29" s="6">
        <v>54</v>
      </c>
      <c r="M29" s="6">
        <v>70</v>
      </c>
      <c r="N29" s="6">
        <v>16</v>
      </c>
      <c r="O29" s="1">
        <f t="shared" si="0"/>
        <v>363</v>
      </c>
      <c r="P29" s="14">
        <f t="shared" si="1"/>
        <v>51.857142857142854</v>
      </c>
      <c r="Q29" s="20">
        <f t="shared" si="2"/>
        <v>23</v>
      </c>
    </row>
    <row r="30" spans="1:17" ht="18" customHeight="1">
      <c r="A30" s="19">
        <v>24</v>
      </c>
      <c r="B30" s="2" t="s">
        <v>2310</v>
      </c>
      <c r="C30" s="1" t="s">
        <v>2311</v>
      </c>
      <c r="D30" s="3" t="s">
        <v>2312</v>
      </c>
      <c r="E30" s="1" t="s">
        <v>59</v>
      </c>
      <c r="F30" s="10" t="s">
        <v>2261</v>
      </c>
      <c r="G30" s="2">
        <v>30</v>
      </c>
      <c r="H30" s="6">
        <v>56</v>
      </c>
      <c r="I30" s="6">
        <v>58</v>
      </c>
      <c r="J30" s="6">
        <v>33</v>
      </c>
      <c r="K30" s="6">
        <v>52</v>
      </c>
      <c r="L30" s="6">
        <v>64</v>
      </c>
      <c r="M30" s="6">
        <v>62</v>
      </c>
      <c r="N30" s="6">
        <v>35</v>
      </c>
      <c r="O30" s="1">
        <f t="shared" si="0"/>
        <v>360</v>
      </c>
      <c r="P30" s="14">
        <f t="shared" si="1"/>
        <v>51.428571428571431</v>
      </c>
      <c r="Q30" s="20">
        <f t="shared" si="2"/>
        <v>24</v>
      </c>
    </row>
    <row r="31" spans="1:17" ht="18" customHeight="1">
      <c r="A31" s="19">
        <v>25</v>
      </c>
      <c r="B31" s="2" t="s">
        <v>2384</v>
      </c>
      <c r="C31" s="1" t="s">
        <v>2385</v>
      </c>
      <c r="D31" s="3" t="s">
        <v>2386</v>
      </c>
      <c r="E31" s="1" t="s">
        <v>66</v>
      </c>
      <c r="F31" s="10" t="s">
        <v>2261</v>
      </c>
      <c r="G31" s="2">
        <v>31</v>
      </c>
      <c r="H31" s="6">
        <v>66</v>
      </c>
      <c r="I31" s="6">
        <v>48</v>
      </c>
      <c r="J31" s="6">
        <v>42</v>
      </c>
      <c r="K31" s="6">
        <v>30</v>
      </c>
      <c r="L31" s="6">
        <v>58</v>
      </c>
      <c r="M31" s="6">
        <v>64</v>
      </c>
      <c r="N31" s="6">
        <v>35</v>
      </c>
      <c r="O31" s="1">
        <f t="shared" si="0"/>
        <v>343</v>
      </c>
      <c r="P31" s="14">
        <f t="shared" si="1"/>
        <v>49</v>
      </c>
      <c r="Q31" s="20">
        <f t="shared" si="2"/>
        <v>25</v>
      </c>
    </row>
    <row r="32" spans="1:17" ht="18" customHeight="1">
      <c r="A32" s="19">
        <v>26</v>
      </c>
      <c r="B32" s="2" t="s">
        <v>2279</v>
      </c>
      <c r="C32" s="1" t="s">
        <v>2280</v>
      </c>
      <c r="D32" s="3" t="s">
        <v>2281</v>
      </c>
      <c r="E32" s="1" t="s">
        <v>79</v>
      </c>
      <c r="F32" s="10" t="s">
        <v>2261</v>
      </c>
      <c r="G32" s="2">
        <v>29</v>
      </c>
      <c r="H32" s="6">
        <v>54</v>
      </c>
      <c r="I32" s="6">
        <v>40</v>
      </c>
      <c r="J32" s="6">
        <v>43</v>
      </c>
      <c r="K32" s="6">
        <v>62</v>
      </c>
      <c r="L32" s="6">
        <v>37</v>
      </c>
      <c r="M32" s="6">
        <v>77</v>
      </c>
      <c r="N32" s="6">
        <v>28</v>
      </c>
      <c r="O32" s="1">
        <f t="shared" si="0"/>
        <v>341</v>
      </c>
      <c r="P32" s="14">
        <f t="shared" si="1"/>
        <v>48.714285714285715</v>
      </c>
      <c r="Q32" s="20">
        <f t="shared" si="2"/>
        <v>26</v>
      </c>
    </row>
    <row r="33" spans="1:17" ht="18" customHeight="1">
      <c r="A33" s="19">
        <v>27</v>
      </c>
      <c r="B33" s="2" t="s">
        <v>2271</v>
      </c>
      <c r="C33" s="1" t="s">
        <v>2272</v>
      </c>
      <c r="D33" s="3" t="s">
        <v>2273</v>
      </c>
      <c r="E33" s="1" t="s">
        <v>69</v>
      </c>
      <c r="F33" s="10" t="s">
        <v>2261</v>
      </c>
      <c r="G33" s="2">
        <v>29</v>
      </c>
      <c r="H33" s="6">
        <v>66</v>
      </c>
      <c r="I33" s="6">
        <v>13</v>
      </c>
      <c r="J33" s="6">
        <v>92</v>
      </c>
      <c r="K33" s="6">
        <v>48</v>
      </c>
      <c r="L33" s="6">
        <v>30</v>
      </c>
      <c r="M33" s="6">
        <v>62</v>
      </c>
      <c r="N33" s="6">
        <v>24</v>
      </c>
      <c r="O33" s="1">
        <f t="shared" si="0"/>
        <v>335</v>
      </c>
      <c r="P33" s="14">
        <f t="shared" si="1"/>
        <v>47.857142857142854</v>
      </c>
      <c r="Q33" s="20">
        <f t="shared" si="2"/>
        <v>27</v>
      </c>
    </row>
    <row r="34" spans="1:17" ht="18" customHeight="1">
      <c r="A34" s="19">
        <v>28</v>
      </c>
      <c r="B34" s="2" t="s">
        <v>2348</v>
      </c>
      <c r="C34" s="1" t="s">
        <v>2349</v>
      </c>
      <c r="D34" s="3" t="s">
        <v>2350</v>
      </c>
      <c r="E34" s="1" t="s">
        <v>64</v>
      </c>
      <c r="F34" s="10" t="s">
        <v>2261</v>
      </c>
      <c r="G34" s="2">
        <v>30</v>
      </c>
      <c r="H34" s="6">
        <v>82</v>
      </c>
      <c r="I34" s="6">
        <v>50</v>
      </c>
      <c r="J34" s="6">
        <v>28</v>
      </c>
      <c r="K34" s="6">
        <v>43</v>
      </c>
      <c r="L34" s="6">
        <v>34</v>
      </c>
      <c r="M34" s="6">
        <v>74</v>
      </c>
      <c r="N34" s="6">
        <v>24</v>
      </c>
      <c r="O34" s="1">
        <f t="shared" si="0"/>
        <v>335</v>
      </c>
      <c r="P34" s="14">
        <f t="shared" si="1"/>
        <v>47.857142857142854</v>
      </c>
      <c r="Q34" s="20">
        <f t="shared" si="2"/>
        <v>27</v>
      </c>
    </row>
    <row r="35" spans="1:17" ht="18" customHeight="1">
      <c r="A35" s="19">
        <v>29</v>
      </c>
      <c r="B35" s="2" t="s">
        <v>2396</v>
      </c>
      <c r="C35" s="1" t="s">
        <v>2397</v>
      </c>
      <c r="D35" s="3" t="s">
        <v>2398</v>
      </c>
      <c r="E35" s="1" t="s">
        <v>353</v>
      </c>
      <c r="F35" s="10" t="s">
        <v>2261</v>
      </c>
      <c r="G35" s="2">
        <v>31</v>
      </c>
      <c r="H35" s="6">
        <v>76</v>
      </c>
      <c r="I35" s="6">
        <v>21</v>
      </c>
      <c r="J35" s="6">
        <v>55</v>
      </c>
      <c r="K35" s="6">
        <v>34</v>
      </c>
      <c r="L35" s="6">
        <v>38</v>
      </c>
      <c r="M35" s="6">
        <v>34</v>
      </c>
      <c r="N35" s="6">
        <v>77</v>
      </c>
      <c r="O35" s="1">
        <f t="shared" si="0"/>
        <v>335</v>
      </c>
      <c r="P35" s="14">
        <f t="shared" si="1"/>
        <v>47.857142857142854</v>
      </c>
      <c r="Q35" s="20">
        <f t="shared" si="2"/>
        <v>27</v>
      </c>
    </row>
    <row r="36" spans="1:17" ht="18" customHeight="1">
      <c r="A36" s="19">
        <v>30</v>
      </c>
      <c r="B36" s="2" t="s">
        <v>2331</v>
      </c>
      <c r="C36" s="1">
        <v>311240379</v>
      </c>
      <c r="D36" s="3" t="s">
        <v>2332</v>
      </c>
      <c r="E36" s="1" t="s">
        <v>73</v>
      </c>
      <c r="F36" s="10" t="s">
        <v>2261</v>
      </c>
      <c r="G36" s="2">
        <v>30</v>
      </c>
      <c r="H36" s="6">
        <v>64</v>
      </c>
      <c r="I36" s="6">
        <v>13</v>
      </c>
      <c r="J36" s="6">
        <v>33</v>
      </c>
      <c r="K36" s="6">
        <v>38</v>
      </c>
      <c r="L36" s="6">
        <v>41</v>
      </c>
      <c r="M36" s="6">
        <v>68</v>
      </c>
      <c r="N36" s="6">
        <v>73</v>
      </c>
      <c r="O36" s="1">
        <f t="shared" si="0"/>
        <v>330</v>
      </c>
      <c r="P36" s="14">
        <f t="shared" si="1"/>
        <v>47.142857142857146</v>
      </c>
      <c r="Q36" s="20">
        <f t="shared" si="2"/>
        <v>30</v>
      </c>
    </row>
    <row r="37" spans="1:17" ht="18" customHeight="1">
      <c r="A37" s="19">
        <v>31</v>
      </c>
      <c r="B37" s="2" t="s">
        <v>2290</v>
      </c>
      <c r="C37" s="1" t="s">
        <v>2291</v>
      </c>
      <c r="D37" s="3" t="s">
        <v>2292</v>
      </c>
      <c r="E37" s="1" t="s">
        <v>56</v>
      </c>
      <c r="F37" s="10" t="s">
        <v>2261</v>
      </c>
      <c r="G37" s="2">
        <v>29</v>
      </c>
      <c r="H37" s="6">
        <v>74</v>
      </c>
      <c r="I37" s="6">
        <v>49</v>
      </c>
      <c r="J37" s="6">
        <v>20</v>
      </c>
      <c r="K37" s="6">
        <v>49</v>
      </c>
      <c r="L37" s="6">
        <v>43</v>
      </c>
      <c r="M37" s="6">
        <v>56</v>
      </c>
      <c r="N37" s="6">
        <v>35</v>
      </c>
      <c r="O37" s="1">
        <f t="shared" si="0"/>
        <v>326</v>
      </c>
      <c r="P37" s="14">
        <f t="shared" si="1"/>
        <v>46.571428571428569</v>
      </c>
      <c r="Q37" s="20">
        <f t="shared" si="2"/>
        <v>31</v>
      </c>
    </row>
    <row r="38" spans="1:17" ht="18" customHeight="1">
      <c r="A38" s="19">
        <v>32</v>
      </c>
      <c r="B38" s="2" t="s">
        <v>2412</v>
      </c>
      <c r="C38" s="1">
        <v>311260935</v>
      </c>
      <c r="D38" s="3" t="s">
        <v>2413</v>
      </c>
      <c r="E38" s="1" t="s">
        <v>90</v>
      </c>
      <c r="F38" s="10" t="s">
        <v>2261</v>
      </c>
      <c r="G38" s="2">
        <v>31</v>
      </c>
      <c r="H38" s="6">
        <v>80</v>
      </c>
      <c r="I38" s="6">
        <v>36</v>
      </c>
      <c r="J38" s="6">
        <v>58</v>
      </c>
      <c r="K38" s="6">
        <v>38</v>
      </c>
      <c r="L38" s="6">
        <v>56</v>
      </c>
      <c r="M38" s="6">
        <v>21</v>
      </c>
      <c r="N38" s="6">
        <v>24</v>
      </c>
      <c r="O38" s="1">
        <f t="shared" si="0"/>
        <v>313</v>
      </c>
      <c r="P38" s="14">
        <f t="shared" si="1"/>
        <v>44.714285714285715</v>
      </c>
      <c r="Q38" s="20">
        <f t="shared" si="2"/>
        <v>32</v>
      </c>
    </row>
    <row r="39" spans="1:17" ht="18" customHeight="1">
      <c r="A39" s="19">
        <v>33</v>
      </c>
      <c r="B39" s="2" t="s">
        <v>2313</v>
      </c>
      <c r="C39" s="1" t="s">
        <v>2314</v>
      </c>
      <c r="D39" s="3" t="s">
        <v>2315</v>
      </c>
      <c r="E39" s="1" t="s">
        <v>59</v>
      </c>
      <c r="F39" s="10" t="s">
        <v>2261</v>
      </c>
      <c r="G39" s="2">
        <v>30</v>
      </c>
      <c r="H39" s="6">
        <v>64</v>
      </c>
      <c r="I39" s="6">
        <v>53</v>
      </c>
      <c r="J39" s="6">
        <v>24</v>
      </c>
      <c r="K39" s="6">
        <v>35</v>
      </c>
      <c r="L39" s="6">
        <v>30</v>
      </c>
      <c r="M39" s="6">
        <v>92</v>
      </c>
      <c r="N39" s="6">
        <v>13</v>
      </c>
      <c r="O39" s="1">
        <f t="shared" ref="O39:O62" si="3">SUBTOTAL(9,H39:N39)</f>
        <v>311</v>
      </c>
      <c r="P39" s="14">
        <f t="shared" ref="P39:P62" si="4">O39/7</f>
        <v>44.428571428571431</v>
      </c>
      <c r="Q39" s="20">
        <f t="shared" ref="Q39:Q62" si="5">RANK(P39,P$7:P$286,0)</f>
        <v>33</v>
      </c>
    </row>
    <row r="40" spans="1:17" ht="18" customHeight="1">
      <c r="A40" s="19">
        <v>34</v>
      </c>
      <c r="B40" s="2" t="s">
        <v>2360</v>
      </c>
      <c r="C40" s="1" t="s">
        <v>2361</v>
      </c>
      <c r="D40" s="3" t="s">
        <v>2362</v>
      </c>
      <c r="E40" s="1" t="s">
        <v>78</v>
      </c>
      <c r="F40" s="10" t="s">
        <v>2261</v>
      </c>
      <c r="G40" s="2">
        <v>31</v>
      </c>
      <c r="H40" s="6">
        <v>54</v>
      </c>
      <c r="I40" s="6">
        <v>30</v>
      </c>
      <c r="J40" s="6">
        <v>60</v>
      </c>
      <c r="K40" s="6">
        <v>26</v>
      </c>
      <c r="L40" s="6">
        <v>69</v>
      </c>
      <c r="M40" s="6">
        <v>36</v>
      </c>
      <c r="N40" s="6">
        <v>28</v>
      </c>
      <c r="O40" s="1">
        <f t="shared" si="3"/>
        <v>303</v>
      </c>
      <c r="P40" s="14">
        <f t="shared" si="4"/>
        <v>43.285714285714285</v>
      </c>
      <c r="Q40" s="20">
        <f t="shared" si="5"/>
        <v>34</v>
      </c>
    </row>
    <row r="41" spans="1:17" ht="18" customHeight="1">
      <c r="A41" s="19">
        <v>35</v>
      </c>
      <c r="B41" s="2" t="s">
        <v>2357</v>
      </c>
      <c r="C41" s="1" t="s">
        <v>2358</v>
      </c>
      <c r="D41" s="3" t="s">
        <v>2359</v>
      </c>
      <c r="E41" s="1" t="s">
        <v>78</v>
      </c>
      <c r="F41" s="10" t="s">
        <v>2261</v>
      </c>
      <c r="G41" s="2">
        <v>30</v>
      </c>
      <c r="H41" s="6">
        <v>44</v>
      </c>
      <c r="I41" s="6">
        <v>44</v>
      </c>
      <c r="J41" s="6">
        <v>30</v>
      </c>
      <c r="K41" s="6">
        <v>41</v>
      </c>
      <c r="L41" s="6">
        <v>45</v>
      </c>
      <c r="M41" s="6">
        <v>70</v>
      </c>
      <c r="N41" s="6">
        <v>20</v>
      </c>
      <c r="O41" s="1">
        <f t="shared" si="3"/>
        <v>294</v>
      </c>
      <c r="P41" s="14">
        <f t="shared" si="4"/>
        <v>42</v>
      </c>
      <c r="Q41" s="20">
        <f t="shared" si="5"/>
        <v>35</v>
      </c>
    </row>
    <row r="42" spans="1:17" ht="18" customHeight="1">
      <c r="A42" s="19">
        <v>36</v>
      </c>
      <c r="B42" s="2" t="s">
        <v>2381</v>
      </c>
      <c r="C42" s="1" t="s">
        <v>2382</v>
      </c>
      <c r="D42" s="3" t="s">
        <v>2383</v>
      </c>
      <c r="E42" s="1" t="s">
        <v>66</v>
      </c>
      <c r="F42" s="10" t="s">
        <v>2261</v>
      </c>
      <c r="G42" s="2">
        <v>31</v>
      </c>
      <c r="H42" s="6">
        <v>60</v>
      </c>
      <c r="I42" s="6">
        <v>48</v>
      </c>
      <c r="J42" s="6">
        <v>42</v>
      </c>
      <c r="K42" s="6">
        <v>36</v>
      </c>
      <c r="L42" s="6">
        <v>55</v>
      </c>
      <c r="M42" s="6">
        <v>25</v>
      </c>
      <c r="N42" s="6">
        <v>20</v>
      </c>
      <c r="O42" s="1">
        <f t="shared" si="3"/>
        <v>286</v>
      </c>
      <c r="P42" s="14">
        <f t="shared" si="4"/>
        <v>40.857142857142854</v>
      </c>
      <c r="Q42" s="20">
        <f t="shared" si="5"/>
        <v>36</v>
      </c>
    </row>
    <row r="43" spans="1:17" ht="18" customHeight="1">
      <c r="A43" s="19">
        <v>37</v>
      </c>
      <c r="B43" s="2" t="s">
        <v>2274</v>
      </c>
      <c r="C43" s="1" t="s">
        <v>2275</v>
      </c>
      <c r="D43" s="3" t="s">
        <v>2276</v>
      </c>
      <c r="E43" s="1" t="s">
        <v>69</v>
      </c>
      <c r="F43" s="10" t="s">
        <v>2261</v>
      </c>
      <c r="G43" s="2">
        <v>29</v>
      </c>
      <c r="H43" s="6">
        <v>52</v>
      </c>
      <c r="I43" s="6">
        <v>22</v>
      </c>
      <c r="J43" s="6">
        <v>34</v>
      </c>
      <c r="K43" s="6">
        <v>44</v>
      </c>
      <c r="L43" s="6">
        <v>44</v>
      </c>
      <c r="M43" s="6">
        <v>58</v>
      </c>
      <c r="N43" s="6">
        <v>20</v>
      </c>
      <c r="O43" s="1">
        <f t="shared" si="3"/>
        <v>274</v>
      </c>
      <c r="P43" s="14">
        <f t="shared" si="4"/>
        <v>39.142857142857146</v>
      </c>
      <c r="Q43" s="20">
        <f t="shared" si="5"/>
        <v>37</v>
      </c>
    </row>
    <row r="44" spans="1:17" ht="18" customHeight="1">
      <c r="A44" s="19">
        <v>38</v>
      </c>
      <c r="B44" s="2" t="s">
        <v>2299</v>
      </c>
      <c r="C44" s="1">
        <v>311220573</v>
      </c>
      <c r="D44" s="3" t="s">
        <v>2300</v>
      </c>
      <c r="E44" s="1" t="s">
        <v>72</v>
      </c>
      <c r="F44" s="10" t="s">
        <v>2261</v>
      </c>
      <c r="G44" s="2">
        <v>30</v>
      </c>
      <c r="H44" s="6">
        <v>58</v>
      </c>
      <c r="I44" s="6">
        <v>46</v>
      </c>
      <c r="J44" s="6">
        <v>22</v>
      </c>
      <c r="K44" s="6">
        <v>36</v>
      </c>
      <c r="L44" s="6">
        <v>26</v>
      </c>
      <c r="M44" s="6">
        <v>60</v>
      </c>
      <c r="N44" s="6">
        <v>24</v>
      </c>
      <c r="O44" s="1">
        <f t="shared" si="3"/>
        <v>272</v>
      </c>
      <c r="P44" s="14">
        <f t="shared" si="4"/>
        <v>38.857142857142854</v>
      </c>
      <c r="Q44" s="20">
        <f t="shared" si="5"/>
        <v>38</v>
      </c>
    </row>
    <row r="45" spans="1:17" ht="18" customHeight="1">
      <c r="A45" s="19">
        <v>39</v>
      </c>
      <c r="B45" s="2" t="s">
        <v>2366</v>
      </c>
      <c r="C45" s="1" t="s">
        <v>2367</v>
      </c>
      <c r="D45" s="3" t="s">
        <v>2368</v>
      </c>
      <c r="E45" s="1" t="s">
        <v>90</v>
      </c>
      <c r="F45" s="10" t="s">
        <v>2261</v>
      </c>
      <c r="G45" s="2">
        <v>31</v>
      </c>
      <c r="H45" s="6">
        <v>70</v>
      </c>
      <c r="I45" s="6">
        <v>31</v>
      </c>
      <c r="J45" s="6">
        <v>28</v>
      </c>
      <c r="K45" s="6">
        <v>34</v>
      </c>
      <c r="L45" s="6">
        <v>39</v>
      </c>
      <c r="M45" s="6">
        <v>40</v>
      </c>
      <c r="N45" s="6">
        <v>24</v>
      </c>
      <c r="O45" s="1">
        <f t="shared" si="3"/>
        <v>266</v>
      </c>
      <c r="P45" s="14">
        <f t="shared" si="4"/>
        <v>38</v>
      </c>
      <c r="Q45" s="20">
        <f t="shared" si="5"/>
        <v>39</v>
      </c>
    </row>
    <row r="46" spans="1:17" ht="18" customHeight="1">
      <c r="A46" s="19">
        <v>40</v>
      </c>
      <c r="B46" s="2" t="s">
        <v>2363</v>
      </c>
      <c r="C46" s="1" t="s">
        <v>2364</v>
      </c>
      <c r="D46" s="3" t="s">
        <v>2365</v>
      </c>
      <c r="E46" s="1" t="s">
        <v>78</v>
      </c>
      <c r="F46" s="10" t="s">
        <v>2261</v>
      </c>
      <c r="G46" s="2">
        <v>31</v>
      </c>
      <c r="H46" s="6">
        <v>48</v>
      </c>
      <c r="I46" s="6">
        <v>40</v>
      </c>
      <c r="J46" s="6">
        <v>26</v>
      </c>
      <c r="K46" s="6">
        <v>45</v>
      </c>
      <c r="L46" s="6">
        <v>38</v>
      </c>
      <c r="M46" s="6">
        <v>40</v>
      </c>
      <c r="N46" s="6">
        <v>28</v>
      </c>
      <c r="O46" s="1">
        <f t="shared" si="3"/>
        <v>265</v>
      </c>
      <c r="P46" s="14">
        <f t="shared" si="4"/>
        <v>37.857142857142854</v>
      </c>
      <c r="Q46" s="20">
        <f t="shared" si="5"/>
        <v>40</v>
      </c>
    </row>
    <row r="47" spans="1:17" ht="18" customHeight="1">
      <c r="A47" s="19">
        <v>41</v>
      </c>
      <c r="B47" s="2" t="s">
        <v>2328</v>
      </c>
      <c r="C47" s="1" t="s">
        <v>2329</v>
      </c>
      <c r="D47" s="3" t="s">
        <v>2330</v>
      </c>
      <c r="E47" s="1" t="s">
        <v>73</v>
      </c>
      <c r="F47" s="10" t="s">
        <v>2261</v>
      </c>
      <c r="G47" s="2">
        <v>30</v>
      </c>
      <c r="H47" s="6">
        <v>62</v>
      </c>
      <c r="I47" s="6">
        <v>21</v>
      </c>
      <c r="J47" s="6">
        <v>34</v>
      </c>
      <c r="K47" s="6">
        <v>17</v>
      </c>
      <c r="L47" s="6">
        <v>51</v>
      </c>
      <c r="M47" s="6">
        <v>48</v>
      </c>
      <c r="N47" s="6">
        <v>24</v>
      </c>
      <c r="O47" s="1">
        <f t="shared" si="3"/>
        <v>257</v>
      </c>
      <c r="P47" s="14">
        <f t="shared" si="4"/>
        <v>36.714285714285715</v>
      </c>
      <c r="Q47" s="20">
        <f t="shared" si="5"/>
        <v>41</v>
      </c>
    </row>
    <row r="48" spans="1:17" ht="18" customHeight="1">
      <c r="A48" s="19">
        <v>42</v>
      </c>
      <c r="B48" s="2" t="s">
        <v>2265</v>
      </c>
      <c r="C48" s="1" t="s">
        <v>2266</v>
      </c>
      <c r="D48" s="3" t="s">
        <v>2267</v>
      </c>
      <c r="E48" s="1" t="s">
        <v>85</v>
      </c>
      <c r="F48" s="10" t="s">
        <v>2261</v>
      </c>
      <c r="G48" s="2">
        <v>29</v>
      </c>
      <c r="H48" s="6">
        <v>44</v>
      </c>
      <c r="I48" s="6">
        <v>24</v>
      </c>
      <c r="J48" s="6">
        <v>28</v>
      </c>
      <c r="K48" s="6">
        <v>22</v>
      </c>
      <c r="L48" s="6">
        <v>45</v>
      </c>
      <c r="M48" s="6">
        <v>54</v>
      </c>
      <c r="N48" s="6">
        <v>39</v>
      </c>
      <c r="O48" s="1">
        <f t="shared" si="3"/>
        <v>256</v>
      </c>
      <c r="P48" s="14">
        <f t="shared" si="4"/>
        <v>36.571428571428569</v>
      </c>
      <c r="Q48" s="20">
        <f t="shared" si="5"/>
        <v>42</v>
      </c>
    </row>
    <row r="49" spans="1:17" ht="18" customHeight="1">
      <c r="A49" s="19">
        <v>43</v>
      </c>
      <c r="B49" s="2" t="s">
        <v>2301</v>
      </c>
      <c r="C49" s="1" t="s">
        <v>2302</v>
      </c>
      <c r="D49" s="3" t="s">
        <v>2303</v>
      </c>
      <c r="E49" s="1" t="s">
        <v>58</v>
      </c>
      <c r="F49" s="10" t="s">
        <v>2261</v>
      </c>
      <c r="G49" s="2">
        <v>30</v>
      </c>
      <c r="H49" s="6">
        <v>40</v>
      </c>
      <c r="I49" s="6">
        <v>16</v>
      </c>
      <c r="J49" s="6">
        <v>39</v>
      </c>
      <c r="K49" s="6">
        <v>18</v>
      </c>
      <c r="L49" s="6">
        <v>58</v>
      </c>
      <c r="M49" s="6">
        <v>66</v>
      </c>
      <c r="N49" s="6">
        <v>8</v>
      </c>
      <c r="O49" s="1">
        <f t="shared" si="3"/>
        <v>245</v>
      </c>
      <c r="P49" s="14">
        <f t="shared" si="4"/>
        <v>35</v>
      </c>
      <c r="Q49" s="20">
        <f t="shared" si="5"/>
        <v>43</v>
      </c>
    </row>
    <row r="50" spans="1:17" ht="18" customHeight="1">
      <c r="A50" s="19">
        <v>44</v>
      </c>
      <c r="B50" s="2" t="s">
        <v>2354</v>
      </c>
      <c r="C50" s="1" t="s">
        <v>2355</v>
      </c>
      <c r="D50" s="3" t="s">
        <v>2356</v>
      </c>
      <c r="E50" s="1" t="s">
        <v>78</v>
      </c>
      <c r="F50" s="10" t="s">
        <v>2261</v>
      </c>
      <c r="G50" s="2">
        <v>30</v>
      </c>
      <c r="H50" s="6">
        <v>46</v>
      </c>
      <c r="I50" s="6">
        <v>36</v>
      </c>
      <c r="J50" s="6">
        <v>18</v>
      </c>
      <c r="K50" s="6">
        <v>31</v>
      </c>
      <c r="L50" s="6">
        <v>38</v>
      </c>
      <c r="M50" s="6">
        <v>34</v>
      </c>
      <c r="N50" s="6">
        <v>24</v>
      </c>
      <c r="O50" s="1">
        <f t="shared" si="3"/>
        <v>227</v>
      </c>
      <c r="P50" s="14">
        <f t="shared" si="4"/>
        <v>32.428571428571431</v>
      </c>
      <c r="Q50" s="20">
        <f t="shared" si="5"/>
        <v>44</v>
      </c>
    </row>
    <row r="51" spans="1:17" ht="18" customHeight="1">
      <c r="A51" s="19">
        <v>45</v>
      </c>
      <c r="B51" s="2" t="s">
        <v>2307</v>
      </c>
      <c r="C51" s="1" t="s">
        <v>2308</v>
      </c>
      <c r="D51" s="3" t="s">
        <v>2309</v>
      </c>
      <c r="E51" s="1" t="s">
        <v>59</v>
      </c>
      <c r="F51" s="10" t="s">
        <v>2261</v>
      </c>
      <c r="G51" s="2">
        <v>30</v>
      </c>
      <c r="H51" s="6">
        <v>32</v>
      </c>
      <c r="I51" s="6">
        <v>20</v>
      </c>
      <c r="J51" s="6">
        <v>12</v>
      </c>
      <c r="K51" s="6">
        <v>40</v>
      </c>
      <c r="L51" s="6">
        <v>58</v>
      </c>
      <c r="M51" s="6">
        <v>26</v>
      </c>
      <c r="N51" s="6">
        <v>32</v>
      </c>
      <c r="O51" s="1">
        <f t="shared" si="3"/>
        <v>220</v>
      </c>
      <c r="P51" s="14">
        <f t="shared" si="4"/>
        <v>31.428571428571427</v>
      </c>
      <c r="Q51" s="20">
        <f t="shared" si="5"/>
        <v>45</v>
      </c>
    </row>
    <row r="52" spans="1:17" ht="18" customHeight="1">
      <c r="A52" s="19">
        <v>46</v>
      </c>
      <c r="B52" s="2" t="s">
        <v>2387</v>
      </c>
      <c r="C52" s="1" t="s">
        <v>2388</v>
      </c>
      <c r="D52" s="3" t="s">
        <v>2389</v>
      </c>
      <c r="E52" s="1" t="s">
        <v>66</v>
      </c>
      <c r="F52" s="10" t="s">
        <v>2261</v>
      </c>
      <c r="G52" s="2">
        <v>31</v>
      </c>
      <c r="H52" s="6">
        <v>60</v>
      </c>
      <c r="I52" s="6">
        <v>27</v>
      </c>
      <c r="J52" s="6">
        <v>16</v>
      </c>
      <c r="K52" s="6">
        <v>30</v>
      </c>
      <c r="L52" s="6">
        <v>47</v>
      </c>
      <c r="M52" s="6">
        <v>27</v>
      </c>
      <c r="N52" s="6">
        <v>5</v>
      </c>
      <c r="O52" s="1">
        <f t="shared" si="3"/>
        <v>212</v>
      </c>
      <c r="P52" s="14">
        <f t="shared" si="4"/>
        <v>30.285714285714285</v>
      </c>
      <c r="Q52" s="20">
        <f t="shared" si="5"/>
        <v>46</v>
      </c>
    </row>
    <row r="53" spans="1:17" ht="18" customHeight="1">
      <c r="A53" s="19">
        <v>47</v>
      </c>
      <c r="B53" s="2" t="s">
        <v>2399</v>
      </c>
      <c r="C53" s="1" t="s">
        <v>2400</v>
      </c>
      <c r="D53" s="3" t="s">
        <v>2401</v>
      </c>
      <c r="E53" s="1" t="s">
        <v>75</v>
      </c>
      <c r="F53" s="10" t="s">
        <v>2261</v>
      </c>
      <c r="G53" s="2">
        <v>31</v>
      </c>
      <c r="H53" s="6">
        <v>34</v>
      </c>
      <c r="I53" s="6">
        <v>21</v>
      </c>
      <c r="J53" s="6">
        <v>32</v>
      </c>
      <c r="K53" s="6">
        <v>16</v>
      </c>
      <c r="L53" s="6">
        <v>34</v>
      </c>
      <c r="M53" s="6">
        <v>24</v>
      </c>
      <c r="N53" s="6">
        <v>51</v>
      </c>
      <c r="O53" s="1">
        <f t="shared" si="3"/>
        <v>212</v>
      </c>
      <c r="P53" s="14">
        <f t="shared" si="4"/>
        <v>30.285714285714285</v>
      </c>
      <c r="Q53" s="20">
        <f t="shared" si="5"/>
        <v>46</v>
      </c>
    </row>
    <row r="54" spans="1:17" ht="18" customHeight="1">
      <c r="A54" s="19">
        <v>48</v>
      </c>
      <c r="B54" s="2" t="s">
        <v>2372</v>
      </c>
      <c r="C54" s="1" t="s">
        <v>2373</v>
      </c>
      <c r="D54" s="3" t="s">
        <v>2374</v>
      </c>
      <c r="E54" s="1" t="s">
        <v>65</v>
      </c>
      <c r="F54" s="10" t="s">
        <v>2261</v>
      </c>
      <c r="G54" s="2">
        <v>31</v>
      </c>
      <c r="H54" s="6">
        <v>42</v>
      </c>
      <c r="I54" s="6">
        <v>21</v>
      </c>
      <c r="J54" s="6">
        <v>8</v>
      </c>
      <c r="K54" s="6">
        <v>28</v>
      </c>
      <c r="L54" s="6">
        <v>43</v>
      </c>
      <c r="M54" s="6">
        <v>29</v>
      </c>
      <c r="N54" s="6">
        <v>28</v>
      </c>
      <c r="O54" s="1">
        <f t="shared" si="3"/>
        <v>199</v>
      </c>
      <c r="P54" s="14">
        <f t="shared" si="4"/>
        <v>28.428571428571427</v>
      </c>
      <c r="Q54" s="20">
        <f t="shared" si="5"/>
        <v>48</v>
      </c>
    </row>
    <row r="55" spans="1:17" ht="18" customHeight="1">
      <c r="A55" s="19">
        <v>49</v>
      </c>
      <c r="B55" s="2" t="s">
        <v>2378</v>
      </c>
      <c r="C55" s="1" t="s">
        <v>2379</v>
      </c>
      <c r="D55" s="3" t="s">
        <v>2380</v>
      </c>
      <c r="E55" s="1" t="s">
        <v>65</v>
      </c>
      <c r="F55" s="10" t="s">
        <v>2261</v>
      </c>
      <c r="G55" s="2">
        <v>31</v>
      </c>
      <c r="H55" s="6">
        <v>34</v>
      </c>
      <c r="I55" s="6">
        <v>14</v>
      </c>
      <c r="J55" s="6">
        <v>20</v>
      </c>
      <c r="K55" s="6">
        <v>44</v>
      </c>
      <c r="L55" s="6">
        <v>35</v>
      </c>
      <c r="M55" s="6">
        <v>30</v>
      </c>
      <c r="N55" s="6">
        <v>20</v>
      </c>
      <c r="O55" s="1">
        <f t="shared" si="3"/>
        <v>197</v>
      </c>
      <c r="P55" s="14">
        <f t="shared" si="4"/>
        <v>28.142857142857142</v>
      </c>
      <c r="Q55" s="20">
        <f t="shared" si="5"/>
        <v>49</v>
      </c>
    </row>
    <row r="56" spans="1:17" ht="18" customHeight="1">
      <c r="A56" s="19">
        <v>50</v>
      </c>
      <c r="B56" s="2" t="s">
        <v>2288</v>
      </c>
      <c r="C56" s="1">
        <v>311240384</v>
      </c>
      <c r="D56" s="3" t="s">
        <v>2289</v>
      </c>
      <c r="E56" s="1" t="s">
        <v>70</v>
      </c>
      <c r="F56" s="10" t="s">
        <v>2261</v>
      </c>
      <c r="G56" s="2">
        <v>29</v>
      </c>
      <c r="H56" s="6">
        <v>48</v>
      </c>
      <c r="I56" s="6">
        <v>4</v>
      </c>
      <c r="J56" s="6">
        <v>14</v>
      </c>
      <c r="K56" s="6">
        <v>24</v>
      </c>
      <c r="L56" s="6">
        <v>39</v>
      </c>
      <c r="M56" s="6">
        <v>20</v>
      </c>
      <c r="N56" s="6">
        <v>32</v>
      </c>
      <c r="O56" s="1">
        <f t="shared" si="3"/>
        <v>181</v>
      </c>
      <c r="P56" s="14">
        <f t="shared" si="4"/>
        <v>25.857142857142858</v>
      </c>
      <c r="Q56" s="20">
        <f t="shared" si="5"/>
        <v>50</v>
      </c>
    </row>
    <row r="57" spans="1:17" ht="18" customHeight="1">
      <c r="A57" s="19">
        <v>51</v>
      </c>
      <c r="B57" s="2" t="s">
        <v>2285</v>
      </c>
      <c r="C57" s="1" t="s">
        <v>2286</v>
      </c>
      <c r="D57" s="3" t="s">
        <v>2287</v>
      </c>
      <c r="E57" s="1" t="s">
        <v>70</v>
      </c>
      <c r="F57" s="10" t="s">
        <v>2261</v>
      </c>
      <c r="G57" s="2">
        <v>29</v>
      </c>
      <c r="H57" s="6">
        <v>47</v>
      </c>
      <c r="I57" s="6">
        <v>4</v>
      </c>
      <c r="J57" s="6">
        <v>23</v>
      </c>
      <c r="K57" s="6">
        <v>39</v>
      </c>
      <c r="L57" s="6">
        <v>26</v>
      </c>
      <c r="M57" s="6">
        <v>36</v>
      </c>
      <c r="N57" s="6">
        <v>5</v>
      </c>
      <c r="O57" s="1">
        <f t="shared" si="3"/>
        <v>180</v>
      </c>
      <c r="P57" s="14">
        <f t="shared" si="4"/>
        <v>25.714285714285715</v>
      </c>
      <c r="Q57" s="20">
        <f t="shared" si="5"/>
        <v>51</v>
      </c>
    </row>
    <row r="58" spans="1:17" ht="18" customHeight="1">
      <c r="A58" s="19">
        <v>52</v>
      </c>
      <c r="B58" s="2" t="s">
        <v>2414</v>
      </c>
      <c r="C58" s="1">
        <v>311260936</v>
      </c>
      <c r="D58" s="3" t="s">
        <v>2415</v>
      </c>
      <c r="E58" s="1" t="s">
        <v>90</v>
      </c>
      <c r="F58" s="10" t="s">
        <v>2261</v>
      </c>
      <c r="G58" s="2">
        <v>31</v>
      </c>
      <c r="H58" s="6">
        <v>39</v>
      </c>
      <c r="I58" s="6">
        <v>30</v>
      </c>
      <c r="J58" s="6">
        <v>16</v>
      </c>
      <c r="K58" s="6">
        <v>21</v>
      </c>
      <c r="L58" s="6">
        <v>35</v>
      </c>
      <c r="M58" s="6">
        <v>12</v>
      </c>
      <c r="N58" s="6">
        <v>24</v>
      </c>
      <c r="O58" s="1">
        <f t="shared" si="3"/>
        <v>177</v>
      </c>
      <c r="P58" s="14">
        <f t="shared" si="4"/>
        <v>25.285714285714285</v>
      </c>
      <c r="Q58" s="20">
        <f t="shared" si="5"/>
        <v>52</v>
      </c>
    </row>
    <row r="59" spans="1:17" ht="18" customHeight="1">
      <c r="A59" s="19">
        <v>53</v>
      </c>
      <c r="B59" s="2" t="s">
        <v>2293</v>
      </c>
      <c r="C59" s="1" t="s">
        <v>2294</v>
      </c>
      <c r="D59" s="3" t="s">
        <v>2295</v>
      </c>
      <c r="E59" s="1" t="s">
        <v>56</v>
      </c>
      <c r="F59" s="10" t="s">
        <v>2261</v>
      </c>
      <c r="G59" s="2">
        <v>29</v>
      </c>
      <c r="H59" s="6">
        <v>34</v>
      </c>
      <c r="I59" s="6">
        <v>13</v>
      </c>
      <c r="J59" s="6">
        <v>26</v>
      </c>
      <c r="K59" s="6">
        <v>21</v>
      </c>
      <c r="L59" s="6">
        <v>12</v>
      </c>
      <c r="M59" s="6">
        <v>23</v>
      </c>
      <c r="N59" s="6">
        <v>5</v>
      </c>
      <c r="O59" s="1">
        <f t="shared" si="3"/>
        <v>134</v>
      </c>
      <c r="P59" s="14">
        <f t="shared" si="4"/>
        <v>19.142857142857142</v>
      </c>
      <c r="Q59" s="20">
        <f t="shared" si="5"/>
        <v>53</v>
      </c>
    </row>
    <row r="60" spans="1:17" ht="18" customHeight="1">
      <c r="A60" s="19">
        <v>54</v>
      </c>
      <c r="B60" s="2" t="s">
        <v>2319</v>
      </c>
      <c r="C60" s="1" t="s">
        <v>2320</v>
      </c>
      <c r="D60" s="3" t="s">
        <v>2321</v>
      </c>
      <c r="E60" s="1" t="s">
        <v>62</v>
      </c>
      <c r="F60" s="10" t="s">
        <v>2261</v>
      </c>
      <c r="G60" s="2">
        <v>30</v>
      </c>
      <c r="H60" s="6">
        <v>42</v>
      </c>
      <c r="I60" s="6">
        <v>5</v>
      </c>
      <c r="J60" s="6">
        <v>14</v>
      </c>
      <c r="K60" s="6">
        <v>21</v>
      </c>
      <c r="L60" s="6">
        <v>19</v>
      </c>
      <c r="M60" s="6">
        <v>21</v>
      </c>
      <c r="N60" s="6">
        <v>8</v>
      </c>
      <c r="O60" s="1">
        <f t="shared" si="3"/>
        <v>130</v>
      </c>
      <c r="P60" s="14">
        <f t="shared" si="4"/>
        <v>18.571428571428573</v>
      </c>
      <c r="Q60" s="20">
        <f t="shared" si="5"/>
        <v>54</v>
      </c>
    </row>
    <row r="61" spans="1:17" ht="18" customHeight="1">
      <c r="A61" s="19">
        <v>55</v>
      </c>
      <c r="B61" s="2" t="s">
        <v>2259</v>
      </c>
      <c r="C61" s="1">
        <v>4232608</v>
      </c>
      <c r="D61" s="3" t="s">
        <v>2260</v>
      </c>
      <c r="E61" s="1" t="s">
        <v>56</v>
      </c>
      <c r="F61" s="10" t="s">
        <v>2261</v>
      </c>
      <c r="G61" s="2">
        <v>29</v>
      </c>
      <c r="H61" s="6">
        <v>18</v>
      </c>
      <c r="I61" s="6">
        <v>18</v>
      </c>
      <c r="J61" s="6">
        <v>8</v>
      </c>
      <c r="K61" s="6">
        <v>18</v>
      </c>
      <c r="L61" s="6">
        <v>21</v>
      </c>
      <c r="M61" s="6">
        <v>18</v>
      </c>
      <c r="N61" s="6">
        <v>5</v>
      </c>
      <c r="O61" s="1">
        <f t="shared" si="3"/>
        <v>106</v>
      </c>
      <c r="P61" s="14">
        <f t="shared" si="4"/>
        <v>15.142857142857142</v>
      </c>
      <c r="Q61" s="20">
        <f t="shared" si="5"/>
        <v>55</v>
      </c>
    </row>
    <row r="62" spans="1:17" ht="18" customHeight="1">
      <c r="A62" s="19">
        <v>56</v>
      </c>
      <c r="B62" s="28" t="s">
        <v>2406</v>
      </c>
      <c r="C62" s="29">
        <v>311260932</v>
      </c>
      <c r="D62" s="30" t="s">
        <v>2407</v>
      </c>
      <c r="E62" s="29" t="s">
        <v>69</v>
      </c>
      <c r="F62" s="31" t="s">
        <v>2261</v>
      </c>
      <c r="G62" s="28">
        <v>31</v>
      </c>
      <c r="H62" s="46"/>
      <c r="I62" s="46"/>
      <c r="J62" s="46"/>
      <c r="K62" s="46"/>
      <c r="L62" s="46"/>
      <c r="M62" s="46"/>
      <c r="N62" s="46"/>
      <c r="O62" s="29">
        <f t="shared" si="3"/>
        <v>0</v>
      </c>
      <c r="P62" s="41">
        <f t="shared" si="4"/>
        <v>0</v>
      </c>
      <c r="Q62" s="33">
        <f t="shared" si="5"/>
        <v>56</v>
      </c>
    </row>
  </sheetData>
  <mergeCells count="4">
    <mergeCell ref="A1:P1"/>
    <mergeCell ref="A2:P2"/>
    <mergeCell ref="A3:P3"/>
    <mergeCell ref="A5:B5"/>
  </mergeCells>
  <conditionalFormatting sqref="H7:N7">
    <cfRule type="expression" dxfId="5985" priority="223">
      <formula>5</formula>
    </cfRule>
    <cfRule type="cellIs" dxfId="5984" priority="224" operator="lessThan">
      <formula>5</formula>
    </cfRule>
  </conditionalFormatting>
  <conditionalFormatting sqref="H7:N7">
    <cfRule type="cellIs" dxfId="5983" priority="222" operator="lessThan">
      <formula>50</formula>
    </cfRule>
  </conditionalFormatting>
  <conditionalFormatting sqref="P7">
    <cfRule type="cellIs" dxfId="5982" priority="221" operator="lessThan">
      <formula>50</formula>
    </cfRule>
  </conditionalFormatting>
  <conditionalFormatting sqref="H8:N8">
    <cfRule type="expression" dxfId="5981" priority="219">
      <formula>5</formula>
    </cfRule>
    <cfRule type="cellIs" dxfId="5980" priority="220" operator="lessThan">
      <formula>5</formula>
    </cfRule>
  </conditionalFormatting>
  <conditionalFormatting sqref="H8:N8">
    <cfRule type="cellIs" dxfId="5979" priority="218" operator="lessThan">
      <formula>50</formula>
    </cfRule>
  </conditionalFormatting>
  <conditionalFormatting sqref="P8">
    <cfRule type="cellIs" dxfId="5978" priority="217" operator="lessThan">
      <formula>50</formula>
    </cfRule>
  </conditionalFormatting>
  <conditionalFormatting sqref="H9:N9">
    <cfRule type="expression" dxfId="5977" priority="215">
      <formula>5</formula>
    </cfRule>
    <cfRule type="cellIs" dxfId="5976" priority="216" operator="lessThan">
      <formula>5</formula>
    </cfRule>
  </conditionalFormatting>
  <conditionalFormatting sqref="H9:N9">
    <cfRule type="cellIs" dxfId="5975" priority="214" operator="lessThan">
      <formula>50</formula>
    </cfRule>
  </conditionalFormatting>
  <conditionalFormatting sqref="P9">
    <cfRule type="cellIs" dxfId="5974" priority="213" operator="lessThan">
      <formula>50</formula>
    </cfRule>
  </conditionalFormatting>
  <conditionalFormatting sqref="H10:N10">
    <cfRule type="expression" dxfId="5973" priority="211">
      <formula>5</formula>
    </cfRule>
    <cfRule type="cellIs" dxfId="5972" priority="212" operator="lessThan">
      <formula>5</formula>
    </cfRule>
  </conditionalFormatting>
  <conditionalFormatting sqref="H10:N10">
    <cfRule type="cellIs" dxfId="5971" priority="210" operator="lessThan">
      <formula>50</formula>
    </cfRule>
  </conditionalFormatting>
  <conditionalFormatting sqref="P10">
    <cfRule type="cellIs" dxfId="5970" priority="209" operator="lessThan">
      <formula>50</formula>
    </cfRule>
  </conditionalFormatting>
  <conditionalFormatting sqref="H11:N11">
    <cfRule type="expression" dxfId="5969" priority="207">
      <formula>5</formula>
    </cfRule>
    <cfRule type="cellIs" dxfId="5968" priority="208" operator="lessThan">
      <formula>5</formula>
    </cfRule>
  </conditionalFormatting>
  <conditionalFormatting sqref="H11:N11">
    <cfRule type="cellIs" dxfId="5967" priority="206" operator="lessThan">
      <formula>50</formula>
    </cfRule>
  </conditionalFormatting>
  <conditionalFormatting sqref="P11">
    <cfRule type="cellIs" dxfId="5966" priority="205" operator="lessThan">
      <formula>50</formula>
    </cfRule>
  </conditionalFormatting>
  <conditionalFormatting sqref="H12:N12">
    <cfRule type="expression" dxfId="5965" priority="203">
      <formula>5</formula>
    </cfRule>
    <cfRule type="cellIs" dxfId="5964" priority="204" operator="lessThan">
      <formula>5</formula>
    </cfRule>
  </conditionalFormatting>
  <conditionalFormatting sqref="H12:N12">
    <cfRule type="cellIs" dxfId="5963" priority="202" operator="lessThan">
      <formula>50</formula>
    </cfRule>
  </conditionalFormatting>
  <conditionalFormatting sqref="P12">
    <cfRule type="cellIs" dxfId="5962" priority="201" operator="lessThan">
      <formula>50</formula>
    </cfRule>
  </conditionalFormatting>
  <conditionalFormatting sqref="H13:N13">
    <cfRule type="expression" dxfId="5961" priority="199">
      <formula>5</formula>
    </cfRule>
    <cfRule type="cellIs" dxfId="5960" priority="200" operator="lessThan">
      <formula>5</formula>
    </cfRule>
  </conditionalFormatting>
  <conditionalFormatting sqref="H13:N13">
    <cfRule type="cellIs" dxfId="5959" priority="198" operator="lessThan">
      <formula>50</formula>
    </cfRule>
  </conditionalFormatting>
  <conditionalFormatting sqref="P13">
    <cfRule type="cellIs" dxfId="5958" priority="197" operator="lessThan">
      <formula>50</formula>
    </cfRule>
  </conditionalFormatting>
  <conditionalFormatting sqref="H14:N14">
    <cfRule type="expression" dxfId="5957" priority="195">
      <formula>5</formula>
    </cfRule>
    <cfRule type="cellIs" dxfId="5956" priority="196" operator="lessThan">
      <formula>5</formula>
    </cfRule>
  </conditionalFormatting>
  <conditionalFormatting sqref="H14:N14">
    <cfRule type="cellIs" dxfId="5955" priority="194" operator="lessThan">
      <formula>50</formula>
    </cfRule>
  </conditionalFormatting>
  <conditionalFormatting sqref="P14">
    <cfRule type="cellIs" dxfId="5954" priority="193" operator="lessThan">
      <formula>50</formula>
    </cfRule>
  </conditionalFormatting>
  <conditionalFormatting sqref="H15:N15">
    <cfRule type="expression" dxfId="5953" priority="191">
      <formula>5</formula>
    </cfRule>
    <cfRule type="cellIs" dxfId="5952" priority="192" operator="lessThan">
      <formula>5</formula>
    </cfRule>
  </conditionalFormatting>
  <conditionalFormatting sqref="H15:N15">
    <cfRule type="cellIs" dxfId="5951" priority="190" operator="lessThan">
      <formula>50</formula>
    </cfRule>
  </conditionalFormatting>
  <conditionalFormatting sqref="P15">
    <cfRule type="cellIs" dxfId="5950" priority="189" operator="lessThan">
      <formula>50</formula>
    </cfRule>
  </conditionalFormatting>
  <conditionalFormatting sqref="H16:N16">
    <cfRule type="expression" dxfId="5949" priority="187">
      <formula>5</formula>
    </cfRule>
    <cfRule type="cellIs" dxfId="5948" priority="188" operator="lessThan">
      <formula>5</formula>
    </cfRule>
  </conditionalFormatting>
  <conditionalFormatting sqref="H16:N16">
    <cfRule type="cellIs" dxfId="5947" priority="186" operator="lessThan">
      <formula>50</formula>
    </cfRule>
  </conditionalFormatting>
  <conditionalFormatting sqref="P16">
    <cfRule type="cellIs" dxfId="5946" priority="185" operator="lessThan">
      <formula>50</formula>
    </cfRule>
  </conditionalFormatting>
  <conditionalFormatting sqref="H17:N17">
    <cfRule type="expression" dxfId="5945" priority="183">
      <formula>5</formula>
    </cfRule>
    <cfRule type="cellIs" dxfId="5944" priority="184" operator="lessThan">
      <formula>5</formula>
    </cfRule>
  </conditionalFormatting>
  <conditionalFormatting sqref="H17:N17">
    <cfRule type="cellIs" dxfId="5943" priority="182" operator="lessThan">
      <formula>50</formula>
    </cfRule>
  </conditionalFormatting>
  <conditionalFormatting sqref="P17">
    <cfRule type="cellIs" dxfId="5942" priority="181" operator="lessThan">
      <formula>50</formula>
    </cfRule>
  </conditionalFormatting>
  <conditionalFormatting sqref="H18:N18">
    <cfRule type="expression" dxfId="5941" priority="179">
      <formula>5</formula>
    </cfRule>
    <cfRule type="cellIs" dxfId="5940" priority="180" operator="lessThan">
      <formula>5</formula>
    </cfRule>
  </conditionalFormatting>
  <conditionalFormatting sqref="H18:N18">
    <cfRule type="cellIs" dxfId="5939" priority="178" operator="lessThan">
      <formula>50</formula>
    </cfRule>
  </conditionalFormatting>
  <conditionalFormatting sqref="P18">
    <cfRule type="cellIs" dxfId="5938" priority="177" operator="lessThan">
      <formula>50</formula>
    </cfRule>
  </conditionalFormatting>
  <conditionalFormatting sqref="H19:N19">
    <cfRule type="expression" dxfId="5937" priority="175">
      <formula>5</formula>
    </cfRule>
    <cfRule type="cellIs" dxfId="5936" priority="176" operator="lessThan">
      <formula>5</formula>
    </cfRule>
  </conditionalFormatting>
  <conditionalFormatting sqref="H19:N19">
    <cfRule type="cellIs" dxfId="5935" priority="174" operator="lessThan">
      <formula>50</formula>
    </cfRule>
  </conditionalFormatting>
  <conditionalFormatting sqref="P19">
    <cfRule type="cellIs" dxfId="5934" priority="173" operator="lessThan">
      <formula>50</formula>
    </cfRule>
  </conditionalFormatting>
  <conditionalFormatting sqref="H20:N20">
    <cfRule type="expression" dxfId="5933" priority="171">
      <formula>5</formula>
    </cfRule>
    <cfRule type="cellIs" dxfId="5932" priority="172" operator="lessThan">
      <formula>5</formula>
    </cfRule>
  </conditionalFormatting>
  <conditionalFormatting sqref="H20:N20">
    <cfRule type="cellIs" dxfId="5931" priority="170" operator="lessThan">
      <formula>50</formula>
    </cfRule>
  </conditionalFormatting>
  <conditionalFormatting sqref="P20">
    <cfRule type="cellIs" dxfId="5930" priority="169" operator="lessThan">
      <formula>50</formula>
    </cfRule>
  </conditionalFormatting>
  <conditionalFormatting sqref="H21:N21">
    <cfRule type="expression" dxfId="5929" priority="167">
      <formula>5</formula>
    </cfRule>
    <cfRule type="cellIs" dxfId="5928" priority="168" operator="lessThan">
      <formula>5</formula>
    </cfRule>
  </conditionalFormatting>
  <conditionalFormatting sqref="H21:N21">
    <cfRule type="cellIs" dxfId="5927" priority="166" operator="lessThan">
      <formula>50</formula>
    </cfRule>
  </conditionalFormatting>
  <conditionalFormatting sqref="P21">
    <cfRule type="cellIs" dxfId="5926" priority="165" operator="lessThan">
      <formula>50</formula>
    </cfRule>
  </conditionalFormatting>
  <conditionalFormatting sqref="H22:N22">
    <cfRule type="expression" dxfId="5925" priority="163">
      <formula>5</formula>
    </cfRule>
    <cfRule type="cellIs" dxfId="5924" priority="164" operator="lessThan">
      <formula>5</formula>
    </cfRule>
  </conditionalFormatting>
  <conditionalFormatting sqref="H22:N22">
    <cfRule type="cellIs" dxfId="5923" priority="162" operator="lessThan">
      <formula>50</formula>
    </cfRule>
  </conditionalFormatting>
  <conditionalFormatting sqref="P22">
    <cfRule type="cellIs" dxfId="5922" priority="161" operator="lessThan">
      <formula>50</formula>
    </cfRule>
  </conditionalFormatting>
  <conditionalFormatting sqref="H23:N23">
    <cfRule type="expression" dxfId="5921" priority="159">
      <formula>5</formula>
    </cfRule>
    <cfRule type="cellIs" dxfId="5920" priority="160" operator="lessThan">
      <formula>5</formula>
    </cfRule>
  </conditionalFormatting>
  <conditionalFormatting sqref="H23:N23">
    <cfRule type="cellIs" dxfId="5919" priority="158" operator="lessThan">
      <formula>50</formula>
    </cfRule>
  </conditionalFormatting>
  <conditionalFormatting sqref="P23">
    <cfRule type="cellIs" dxfId="5918" priority="157" operator="lessThan">
      <formula>50</formula>
    </cfRule>
  </conditionalFormatting>
  <conditionalFormatting sqref="H24:N24">
    <cfRule type="expression" dxfId="5917" priority="155">
      <formula>5</formula>
    </cfRule>
    <cfRule type="cellIs" dxfId="5916" priority="156" operator="lessThan">
      <formula>5</formula>
    </cfRule>
  </conditionalFormatting>
  <conditionalFormatting sqref="H24:N24">
    <cfRule type="cellIs" dxfId="5915" priority="154" operator="lessThan">
      <formula>50</formula>
    </cfRule>
  </conditionalFormatting>
  <conditionalFormatting sqref="P24">
    <cfRule type="cellIs" dxfId="5914" priority="153" operator="lessThan">
      <formula>50</formula>
    </cfRule>
  </conditionalFormatting>
  <conditionalFormatting sqref="H25:N25">
    <cfRule type="expression" dxfId="5913" priority="151">
      <formula>5</formula>
    </cfRule>
    <cfRule type="cellIs" dxfId="5912" priority="152" operator="lessThan">
      <formula>5</formula>
    </cfRule>
  </conditionalFormatting>
  <conditionalFormatting sqref="H25:N25">
    <cfRule type="cellIs" dxfId="5911" priority="150" operator="lessThan">
      <formula>50</formula>
    </cfRule>
  </conditionalFormatting>
  <conditionalFormatting sqref="P25">
    <cfRule type="cellIs" dxfId="5910" priority="149" operator="lessThan">
      <formula>50</formula>
    </cfRule>
  </conditionalFormatting>
  <conditionalFormatting sqref="H26:N26">
    <cfRule type="expression" dxfId="5909" priority="147">
      <formula>5</formula>
    </cfRule>
    <cfRule type="cellIs" dxfId="5908" priority="148" operator="lessThan">
      <formula>5</formula>
    </cfRule>
  </conditionalFormatting>
  <conditionalFormatting sqref="H26:N26">
    <cfRule type="cellIs" dxfId="5907" priority="146" operator="lessThan">
      <formula>50</formula>
    </cfRule>
  </conditionalFormatting>
  <conditionalFormatting sqref="P26">
    <cfRule type="cellIs" dxfId="5906" priority="145" operator="lessThan">
      <formula>50</formula>
    </cfRule>
  </conditionalFormatting>
  <conditionalFormatting sqref="H27:N27">
    <cfRule type="expression" dxfId="5905" priority="143">
      <formula>5</formula>
    </cfRule>
    <cfRule type="cellIs" dxfId="5904" priority="144" operator="lessThan">
      <formula>5</formula>
    </cfRule>
  </conditionalFormatting>
  <conditionalFormatting sqref="H27:N27">
    <cfRule type="cellIs" dxfId="5903" priority="142" operator="lessThan">
      <formula>50</formula>
    </cfRule>
  </conditionalFormatting>
  <conditionalFormatting sqref="P27">
    <cfRule type="cellIs" dxfId="5902" priority="141" operator="lessThan">
      <formula>50</formula>
    </cfRule>
  </conditionalFormatting>
  <conditionalFormatting sqref="H28:N28">
    <cfRule type="expression" dxfId="5901" priority="139">
      <formula>5</formula>
    </cfRule>
    <cfRule type="cellIs" dxfId="5900" priority="140" operator="lessThan">
      <formula>5</formula>
    </cfRule>
  </conditionalFormatting>
  <conditionalFormatting sqref="H28:N28">
    <cfRule type="cellIs" dxfId="5899" priority="138" operator="lessThan">
      <formula>50</formula>
    </cfRule>
  </conditionalFormatting>
  <conditionalFormatting sqref="P28">
    <cfRule type="cellIs" dxfId="5898" priority="137" operator="lessThan">
      <formula>50</formula>
    </cfRule>
  </conditionalFormatting>
  <conditionalFormatting sqref="H29:N29">
    <cfRule type="expression" dxfId="5897" priority="135">
      <formula>5</formula>
    </cfRule>
    <cfRule type="cellIs" dxfId="5896" priority="136" operator="lessThan">
      <formula>5</formula>
    </cfRule>
  </conditionalFormatting>
  <conditionalFormatting sqref="H29:N29">
    <cfRule type="cellIs" dxfId="5895" priority="134" operator="lessThan">
      <formula>50</formula>
    </cfRule>
  </conditionalFormatting>
  <conditionalFormatting sqref="P29">
    <cfRule type="cellIs" dxfId="5894" priority="133" operator="lessThan">
      <formula>50</formula>
    </cfRule>
  </conditionalFormatting>
  <conditionalFormatting sqref="H30:N30">
    <cfRule type="expression" dxfId="5893" priority="131">
      <formula>5</formula>
    </cfRule>
    <cfRule type="cellIs" dxfId="5892" priority="132" operator="lessThan">
      <formula>5</formula>
    </cfRule>
  </conditionalFormatting>
  <conditionalFormatting sqref="H30:N30">
    <cfRule type="cellIs" dxfId="5891" priority="130" operator="lessThan">
      <formula>50</formula>
    </cfRule>
  </conditionalFormatting>
  <conditionalFormatting sqref="P30">
    <cfRule type="cellIs" dxfId="5890" priority="129" operator="lessThan">
      <formula>50</formula>
    </cfRule>
  </conditionalFormatting>
  <conditionalFormatting sqref="H31:N31">
    <cfRule type="expression" dxfId="5889" priority="127">
      <formula>5</formula>
    </cfRule>
    <cfRule type="cellIs" dxfId="5888" priority="128" operator="lessThan">
      <formula>5</formula>
    </cfRule>
  </conditionalFormatting>
  <conditionalFormatting sqref="H31:N31">
    <cfRule type="cellIs" dxfId="5887" priority="126" operator="lessThan">
      <formula>50</formula>
    </cfRule>
  </conditionalFormatting>
  <conditionalFormatting sqref="P31">
    <cfRule type="cellIs" dxfId="5886" priority="125" operator="lessThan">
      <formula>50</formula>
    </cfRule>
  </conditionalFormatting>
  <conditionalFormatting sqref="H32:N32">
    <cfRule type="expression" dxfId="5885" priority="123">
      <formula>5</formula>
    </cfRule>
    <cfRule type="cellIs" dxfId="5884" priority="124" operator="lessThan">
      <formula>5</formula>
    </cfRule>
  </conditionalFormatting>
  <conditionalFormatting sqref="H32:N32">
    <cfRule type="cellIs" dxfId="5883" priority="122" operator="lessThan">
      <formula>50</formula>
    </cfRule>
  </conditionalFormatting>
  <conditionalFormatting sqref="P32">
    <cfRule type="cellIs" dxfId="5882" priority="121" operator="lessThan">
      <formula>50</formula>
    </cfRule>
  </conditionalFormatting>
  <conditionalFormatting sqref="H33:N33">
    <cfRule type="expression" dxfId="5881" priority="119">
      <formula>5</formula>
    </cfRule>
    <cfRule type="cellIs" dxfId="5880" priority="120" operator="lessThan">
      <formula>5</formula>
    </cfRule>
  </conditionalFormatting>
  <conditionalFormatting sqref="H33:N33">
    <cfRule type="cellIs" dxfId="5879" priority="118" operator="lessThan">
      <formula>50</formula>
    </cfRule>
  </conditionalFormatting>
  <conditionalFormatting sqref="P33">
    <cfRule type="cellIs" dxfId="5878" priority="117" operator="lessThan">
      <formula>50</formula>
    </cfRule>
  </conditionalFormatting>
  <conditionalFormatting sqref="H34:N34">
    <cfRule type="expression" dxfId="5877" priority="115">
      <formula>5</formula>
    </cfRule>
    <cfRule type="cellIs" dxfId="5876" priority="116" operator="lessThan">
      <formula>5</formula>
    </cfRule>
  </conditionalFormatting>
  <conditionalFormatting sqref="H34:N34">
    <cfRule type="cellIs" dxfId="5875" priority="114" operator="lessThan">
      <formula>50</formula>
    </cfRule>
  </conditionalFormatting>
  <conditionalFormatting sqref="P34">
    <cfRule type="cellIs" dxfId="5874" priority="113" operator="lessThan">
      <formula>50</formula>
    </cfRule>
  </conditionalFormatting>
  <conditionalFormatting sqref="H35:N35">
    <cfRule type="expression" dxfId="5873" priority="111">
      <formula>5</formula>
    </cfRule>
    <cfRule type="cellIs" dxfId="5872" priority="112" operator="lessThan">
      <formula>5</formula>
    </cfRule>
  </conditionalFormatting>
  <conditionalFormatting sqref="H35:N35">
    <cfRule type="cellIs" dxfId="5871" priority="110" operator="lessThan">
      <formula>50</formula>
    </cfRule>
  </conditionalFormatting>
  <conditionalFormatting sqref="P35">
    <cfRule type="cellIs" dxfId="5870" priority="109" operator="lessThan">
      <formula>50</formula>
    </cfRule>
  </conditionalFormatting>
  <conditionalFormatting sqref="H36:N36">
    <cfRule type="expression" dxfId="5869" priority="107">
      <formula>5</formula>
    </cfRule>
    <cfRule type="cellIs" dxfId="5868" priority="108" operator="lessThan">
      <formula>5</formula>
    </cfRule>
  </conditionalFormatting>
  <conditionalFormatting sqref="H36:N36">
    <cfRule type="cellIs" dxfId="5867" priority="106" operator="lessThan">
      <formula>50</formula>
    </cfRule>
  </conditionalFormatting>
  <conditionalFormatting sqref="P36">
    <cfRule type="cellIs" dxfId="5866" priority="105" operator="lessThan">
      <formula>50</formula>
    </cfRule>
  </conditionalFormatting>
  <conditionalFormatting sqref="H37:N37">
    <cfRule type="expression" dxfId="5865" priority="103">
      <formula>5</formula>
    </cfRule>
    <cfRule type="cellIs" dxfId="5864" priority="104" operator="lessThan">
      <formula>5</formula>
    </cfRule>
  </conditionalFormatting>
  <conditionalFormatting sqref="H37:N37">
    <cfRule type="cellIs" dxfId="5863" priority="102" operator="lessThan">
      <formula>50</formula>
    </cfRule>
  </conditionalFormatting>
  <conditionalFormatting sqref="P37">
    <cfRule type="cellIs" dxfId="5862" priority="101" operator="lessThan">
      <formula>50</formula>
    </cfRule>
  </conditionalFormatting>
  <conditionalFormatting sqref="H38:N38">
    <cfRule type="expression" dxfId="5861" priority="99">
      <formula>5</formula>
    </cfRule>
    <cfRule type="cellIs" dxfId="5860" priority="100" operator="lessThan">
      <formula>5</formula>
    </cfRule>
  </conditionalFormatting>
  <conditionalFormatting sqref="H38:N38">
    <cfRule type="cellIs" dxfId="5859" priority="98" operator="lessThan">
      <formula>50</formula>
    </cfRule>
  </conditionalFormatting>
  <conditionalFormatting sqref="P38">
    <cfRule type="cellIs" dxfId="5858" priority="97" operator="lessThan">
      <formula>50</formula>
    </cfRule>
  </conditionalFormatting>
  <conditionalFormatting sqref="H39:N39">
    <cfRule type="expression" dxfId="5857" priority="95">
      <formula>5</formula>
    </cfRule>
    <cfRule type="cellIs" dxfId="5856" priority="96" operator="lessThan">
      <formula>5</formula>
    </cfRule>
  </conditionalFormatting>
  <conditionalFormatting sqref="H39:N39">
    <cfRule type="cellIs" dxfId="5855" priority="94" operator="lessThan">
      <formula>50</formula>
    </cfRule>
  </conditionalFormatting>
  <conditionalFormatting sqref="P39">
    <cfRule type="cellIs" dxfId="5854" priority="93" operator="lessThan">
      <formula>50</formula>
    </cfRule>
  </conditionalFormatting>
  <conditionalFormatting sqref="H40:N40">
    <cfRule type="expression" dxfId="5853" priority="91">
      <formula>5</formula>
    </cfRule>
    <cfRule type="cellIs" dxfId="5852" priority="92" operator="lessThan">
      <formula>5</formula>
    </cfRule>
  </conditionalFormatting>
  <conditionalFormatting sqref="H40:N40">
    <cfRule type="cellIs" dxfId="5851" priority="90" operator="lessThan">
      <formula>50</formula>
    </cfRule>
  </conditionalFormatting>
  <conditionalFormatting sqref="P40">
    <cfRule type="cellIs" dxfId="5850" priority="89" operator="lessThan">
      <formula>50</formula>
    </cfRule>
  </conditionalFormatting>
  <conditionalFormatting sqref="H41:N41">
    <cfRule type="expression" dxfId="5849" priority="87">
      <formula>5</formula>
    </cfRule>
    <cfRule type="cellIs" dxfId="5848" priority="88" operator="lessThan">
      <formula>5</formula>
    </cfRule>
  </conditionalFormatting>
  <conditionalFormatting sqref="H41:N41">
    <cfRule type="cellIs" dxfId="5847" priority="86" operator="lessThan">
      <formula>50</formula>
    </cfRule>
  </conditionalFormatting>
  <conditionalFormatting sqref="P41">
    <cfRule type="cellIs" dxfId="5846" priority="85" operator="lessThan">
      <formula>50</formula>
    </cfRule>
  </conditionalFormatting>
  <conditionalFormatting sqref="H42:N42">
    <cfRule type="expression" dxfId="5845" priority="83">
      <formula>5</formula>
    </cfRule>
    <cfRule type="cellIs" dxfId="5844" priority="84" operator="lessThan">
      <formula>5</formula>
    </cfRule>
  </conditionalFormatting>
  <conditionalFormatting sqref="H42:N42">
    <cfRule type="cellIs" dxfId="5843" priority="82" operator="lessThan">
      <formula>50</formula>
    </cfRule>
  </conditionalFormatting>
  <conditionalFormatting sqref="P42">
    <cfRule type="cellIs" dxfId="5842" priority="81" operator="lessThan">
      <formula>50</formula>
    </cfRule>
  </conditionalFormatting>
  <conditionalFormatting sqref="H43:N43">
    <cfRule type="expression" dxfId="5841" priority="79">
      <formula>5</formula>
    </cfRule>
    <cfRule type="cellIs" dxfId="5840" priority="80" operator="lessThan">
      <formula>5</formula>
    </cfRule>
  </conditionalFormatting>
  <conditionalFormatting sqref="H43:N43">
    <cfRule type="cellIs" dxfId="5839" priority="78" operator="lessThan">
      <formula>50</formula>
    </cfRule>
  </conditionalFormatting>
  <conditionalFormatting sqref="P43">
    <cfRule type="cellIs" dxfId="5838" priority="77" operator="lessThan">
      <formula>50</formula>
    </cfRule>
  </conditionalFormatting>
  <conditionalFormatting sqref="H44:N44">
    <cfRule type="expression" dxfId="5837" priority="75">
      <formula>5</formula>
    </cfRule>
    <cfRule type="cellIs" dxfId="5836" priority="76" operator="lessThan">
      <formula>5</formula>
    </cfRule>
  </conditionalFormatting>
  <conditionalFormatting sqref="H44:N44">
    <cfRule type="cellIs" dxfId="5835" priority="74" operator="lessThan">
      <formula>50</formula>
    </cfRule>
  </conditionalFormatting>
  <conditionalFormatting sqref="P44">
    <cfRule type="cellIs" dxfId="5834" priority="73" operator="lessThan">
      <formula>50</formula>
    </cfRule>
  </conditionalFormatting>
  <conditionalFormatting sqref="H45:N45">
    <cfRule type="expression" dxfId="5833" priority="71">
      <formula>5</formula>
    </cfRule>
    <cfRule type="cellIs" dxfId="5832" priority="72" operator="lessThan">
      <formula>5</formula>
    </cfRule>
  </conditionalFormatting>
  <conditionalFormatting sqref="H45:N45">
    <cfRule type="cellIs" dxfId="5831" priority="70" operator="lessThan">
      <formula>50</formula>
    </cfRule>
  </conditionalFormatting>
  <conditionalFormatting sqref="P45">
    <cfRule type="cellIs" dxfId="5830" priority="69" operator="lessThan">
      <formula>50</formula>
    </cfRule>
  </conditionalFormatting>
  <conditionalFormatting sqref="H46:N46">
    <cfRule type="expression" dxfId="5829" priority="67">
      <formula>5</formula>
    </cfRule>
    <cfRule type="cellIs" dxfId="5828" priority="68" operator="lessThan">
      <formula>5</formula>
    </cfRule>
  </conditionalFormatting>
  <conditionalFormatting sqref="H46:N46">
    <cfRule type="cellIs" dxfId="5827" priority="66" operator="lessThan">
      <formula>50</formula>
    </cfRule>
  </conditionalFormatting>
  <conditionalFormatting sqref="P46">
    <cfRule type="cellIs" dxfId="5826" priority="65" operator="lessThan">
      <formula>50</formula>
    </cfRule>
  </conditionalFormatting>
  <conditionalFormatting sqref="H47:N47">
    <cfRule type="expression" dxfId="5825" priority="63">
      <formula>5</formula>
    </cfRule>
    <cfRule type="cellIs" dxfId="5824" priority="64" operator="lessThan">
      <formula>5</formula>
    </cfRule>
  </conditionalFormatting>
  <conditionalFormatting sqref="H47:N47">
    <cfRule type="cellIs" dxfId="5823" priority="62" operator="lessThan">
      <formula>50</formula>
    </cfRule>
  </conditionalFormatting>
  <conditionalFormatting sqref="P47">
    <cfRule type="cellIs" dxfId="5822" priority="61" operator="lessThan">
      <formula>50</formula>
    </cfRule>
  </conditionalFormatting>
  <conditionalFormatting sqref="H48:N48">
    <cfRule type="expression" dxfId="5821" priority="59">
      <formula>5</formula>
    </cfRule>
    <cfRule type="cellIs" dxfId="5820" priority="60" operator="lessThan">
      <formula>5</formula>
    </cfRule>
  </conditionalFormatting>
  <conditionalFormatting sqref="H48:N48">
    <cfRule type="cellIs" dxfId="5819" priority="58" operator="lessThan">
      <formula>50</formula>
    </cfRule>
  </conditionalFormatting>
  <conditionalFormatting sqref="P48">
    <cfRule type="cellIs" dxfId="5818" priority="57" operator="lessThan">
      <formula>50</formula>
    </cfRule>
  </conditionalFormatting>
  <conditionalFormatting sqref="H49:N49">
    <cfRule type="expression" dxfId="5817" priority="55">
      <formula>5</formula>
    </cfRule>
    <cfRule type="cellIs" dxfId="5816" priority="56" operator="lessThan">
      <formula>5</formula>
    </cfRule>
  </conditionalFormatting>
  <conditionalFormatting sqref="H49:N49">
    <cfRule type="cellIs" dxfId="5815" priority="54" operator="lessThan">
      <formula>50</formula>
    </cfRule>
  </conditionalFormatting>
  <conditionalFormatting sqref="P49">
    <cfRule type="cellIs" dxfId="5814" priority="53" operator="lessThan">
      <formula>50</formula>
    </cfRule>
  </conditionalFormatting>
  <conditionalFormatting sqref="H50:N50">
    <cfRule type="expression" dxfId="5813" priority="51">
      <formula>5</formula>
    </cfRule>
    <cfRule type="cellIs" dxfId="5812" priority="52" operator="lessThan">
      <formula>5</formula>
    </cfRule>
  </conditionalFormatting>
  <conditionalFormatting sqref="H50:N50">
    <cfRule type="cellIs" dxfId="5811" priority="50" operator="lessThan">
      <formula>50</formula>
    </cfRule>
  </conditionalFormatting>
  <conditionalFormatting sqref="P50">
    <cfRule type="cellIs" dxfId="5810" priority="49" operator="lessThan">
      <formula>50</formula>
    </cfRule>
  </conditionalFormatting>
  <conditionalFormatting sqref="H51:N51">
    <cfRule type="expression" dxfId="5809" priority="47">
      <formula>5</formula>
    </cfRule>
    <cfRule type="cellIs" dxfId="5808" priority="48" operator="lessThan">
      <formula>5</formula>
    </cfRule>
  </conditionalFormatting>
  <conditionalFormatting sqref="H51:N51">
    <cfRule type="cellIs" dxfId="5807" priority="46" operator="lessThan">
      <formula>50</formula>
    </cfRule>
  </conditionalFormatting>
  <conditionalFormatting sqref="P51">
    <cfRule type="cellIs" dxfId="5806" priority="45" operator="lessThan">
      <formula>50</formula>
    </cfRule>
  </conditionalFormatting>
  <conditionalFormatting sqref="H52:N52">
    <cfRule type="expression" dxfId="5805" priority="43">
      <formula>5</formula>
    </cfRule>
    <cfRule type="cellIs" dxfId="5804" priority="44" operator="lessThan">
      <formula>5</formula>
    </cfRule>
  </conditionalFormatting>
  <conditionalFormatting sqref="H52:N52">
    <cfRule type="cellIs" dxfId="5803" priority="42" operator="lessThan">
      <formula>50</formula>
    </cfRule>
  </conditionalFormatting>
  <conditionalFormatting sqref="P52">
    <cfRule type="cellIs" dxfId="5802" priority="41" operator="lessThan">
      <formula>50</formula>
    </cfRule>
  </conditionalFormatting>
  <conditionalFormatting sqref="H53:N53">
    <cfRule type="expression" dxfId="5801" priority="39">
      <formula>5</formula>
    </cfRule>
    <cfRule type="cellIs" dxfId="5800" priority="40" operator="lessThan">
      <formula>5</formula>
    </cfRule>
  </conditionalFormatting>
  <conditionalFormatting sqref="H53:N53">
    <cfRule type="cellIs" dxfId="5799" priority="38" operator="lessThan">
      <formula>50</formula>
    </cfRule>
  </conditionalFormatting>
  <conditionalFormatting sqref="P53">
    <cfRule type="cellIs" dxfId="5798" priority="37" operator="lessThan">
      <formula>50</formula>
    </cfRule>
  </conditionalFormatting>
  <conditionalFormatting sqref="H54:N54">
    <cfRule type="expression" dxfId="5797" priority="35">
      <formula>5</formula>
    </cfRule>
    <cfRule type="cellIs" dxfId="5796" priority="36" operator="lessThan">
      <formula>5</formula>
    </cfRule>
  </conditionalFormatting>
  <conditionalFormatting sqref="H54:N54">
    <cfRule type="cellIs" dxfId="5795" priority="34" operator="lessThan">
      <formula>50</formula>
    </cfRule>
  </conditionalFormatting>
  <conditionalFormatting sqref="P54">
    <cfRule type="cellIs" dxfId="5794" priority="33" operator="lessThan">
      <formula>50</formula>
    </cfRule>
  </conditionalFormatting>
  <conditionalFormatting sqref="H55:N55">
    <cfRule type="expression" dxfId="5793" priority="31">
      <formula>5</formula>
    </cfRule>
    <cfRule type="cellIs" dxfId="5792" priority="32" operator="lessThan">
      <formula>5</formula>
    </cfRule>
  </conditionalFormatting>
  <conditionalFormatting sqref="H55:N55">
    <cfRule type="cellIs" dxfId="5791" priority="30" operator="lessThan">
      <formula>50</formula>
    </cfRule>
  </conditionalFormatting>
  <conditionalFormatting sqref="P55">
    <cfRule type="cellIs" dxfId="5790" priority="29" operator="lessThan">
      <formula>50</formula>
    </cfRule>
  </conditionalFormatting>
  <conditionalFormatting sqref="H56:N56">
    <cfRule type="expression" dxfId="5789" priority="27">
      <formula>5</formula>
    </cfRule>
    <cfRule type="cellIs" dxfId="5788" priority="28" operator="lessThan">
      <formula>5</formula>
    </cfRule>
  </conditionalFormatting>
  <conditionalFormatting sqref="H56:N56">
    <cfRule type="cellIs" dxfId="5787" priority="26" operator="lessThan">
      <formula>50</formula>
    </cfRule>
  </conditionalFormatting>
  <conditionalFormatting sqref="P56">
    <cfRule type="cellIs" dxfId="5786" priority="25" operator="lessThan">
      <formula>50</formula>
    </cfRule>
  </conditionalFormatting>
  <conditionalFormatting sqref="H57:N57">
    <cfRule type="expression" dxfId="5785" priority="23">
      <formula>5</formula>
    </cfRule>
    <cfRule type="cellIs" dxfId="5784" priority="24" operator="lessThan">
      <formula>5</formula>
    </cfRule>
  </conditionalFormatting>
  <conditionalFormatting sqref="H57:N57">
    <cfRule type="cellIs" dxfId="5783" priority="22" operator="lessThan">
      <formula>50</formula>
    </cfRule>
  </conditionalFormatting>
  <conditionalFormatting sqref="P57">
    <cfRule type="cellIs" dxfId="5782" priority="21" operator="lessThan">
      <formula>50</formula>
    </cfRule>
  </conditionalFormatting>
  <conditionalFormatting sqref="H58:N58">
    <cfRule type="expression" dxfId="5781" priority="19">
      <formula>5</formula>
    </cfRule>
    <cfRule type="cellIs" dxfId="5780" priority="20" operator="lessThan">
      <formula>5</formula>
    </cfRule>
  </conditionalFormatting>
  <conditionalFormatting sqref="H58:N58">
    <cfRule type="cellIs" dxfId="5779" priority="18" operator="lessThan">
      <formula>50</formula>
    </cfRule>
  </conditionalFormatting>
  <conditionalFormatting sqref="P58">
    <cfRule type="cellIs" dxfId="5778" priority="17" operator="lessThan">
      <formula>50</formula>
    </cfRule>
  </conditionalFormatting>
  <conditionalFormatting sqref="H59:N59">
    <cfRule type="expression" dxfId="5777" priority="15">
      <formula>5</formula>
    </cfRule>
    <cfRule type="cellIs" dxfId="5776" priority="16" operator="lessThan">
      <formula>5</formula>
    </cfRule>
  </conditionalFormatting>
  <conditionalFormatting sqref="H59:N59">
    <cfRule type="cellIs" dxfId="5775" priority="14" operator="lessThan">
      <formula>50</formula>
    </cfRule>
  </conditionalFormatting>
  <conditionalFormatting sqref="P59">
    <cfRule type="cellIs" dxfId="5774" priority="13" operator="lessThan">
      <formula>50</formula>
    </cfRule>
  </conditionalFormatting>
  <conditionalFormatting sqref="H60:N60">
    <cfRule type="expression" dxfId="5773" priority="11">
      <formula>5</formula>
    </cfRule>
    <cfRule type="cellIs" dxfId="5772" priority="12" operator="lessThan">
      <formula>5</formula>
    </cfRule>
  </conditionalFormatting>
  <conditionalFormatting sqref="H60:N60">
    <cfRule type="cellIs" dxfId="5771" priority="10" operator="lessThan">
      <formula>50</formula>
    </cfRule>
  </conditionalFormatting>
  <conditionalFormatting sqref="P60">
    <cfRule type="cellIs" dxfId="5770" priority="9" operator="lessThan">
      <formula>50</formula>
    </cfRule>
  </conditionalFormatting>
  <conditionalFormatting sqref="H61:N61">
    <cfRule type="expression" dxfId="5769" priority="7">
      <formula>5</formula>
    </cfRule>
    <cfRule type="cellIs" dxfId="5768" priority="8" operator="lessThan">
      <formula>5</formula>
    </cfRule>
  </conditionalFormatting>
  <conditionalFormatting sqref="H61:N61">
    <cfRule type="cellIs" dxfId="5767" priority="6" operator="lessThan">
      <formula>50</formula>
    </cfRule>
  </conditionalFormatting>
  <conditionalFormatting sqref="P61">
    <cfRule type="cellIs" dxfId="5766" priority="5" operator="lessThan">
      <formula>50</formula>
    </cfRule>
  </conditionalFormatting>
  <conditionalFormatting sqref="H62:N62">
    <cfRule type="expression" dxfId="5765" priority="3">
      <formula>5</formula>
    </cfRule>
    <cfRule type="cellIs" dxfId="5764" priority="4" operator="lessThan">
      <formula>5</formula>
    </cfRule>
  </conditionalFormatting>
  <conditionalFormatting sqref="H62:N62">
    <cfRule type="cellIs" dxfId="5763" priority="2" operator="lessThan">
      <formula>50</formula>
    </cfRule>
  </conditionalFormatting>
  <conditionalFormatting sqref="P62">
    <cfRule type="cellIs" dxfId="5762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7:E8 D11:E13 D28:E28 D30:E31 D34:E34 D43:E46" xr:uid="{38FB95B0-373B-4B58-B4AD-F462B070FAB1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D784-FDFA-4BC7-B43D-0286CE715FDA}">
  <sheetPr codeName="Sheet99"/>
  <dimension ref="A1:Q62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4" width="4.7109375" customWidth="1"/>
    <col min="15" max="15" width="6.7109375" customWidth="1"/>
    <col min="16" max="16" width="4.7109375" style="44" customWidth="1"/>
    <col min="17" max="17" width="4.7109375" customWidth="1"/>
  </cols>
  <sheetData>
    <row r="1" spans="1:17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</row>
    <row r="2" spans="1:17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</row>
    <row r="3" spans="1:17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</row>
    <row r="4" spans="1:17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42"/>
      <c r="Q4" s="11"/>
    </row>
    <row r="5" spans="1:17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42"/>
      <c r="Q5" s="13"/>
    </row>
    <row r="6" spans="1:17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7</v>
      </c>
      <c r="I6" s="39" t="s">
        <v>11</v>
      </c>
      <c r="J6" s="39" t="s">
        <v>12</v>
      </c>
      <c r="K6" s="39" t="s">
        <v>2</v>
      </c>
      <c r="L6" s="39" t="s">
        <v>5319</v>
      </c>
      <c r="M6" s="39" t="s">
        <v>10</v>
      </c>
      <c r="N6" s="39" t="s">
        <v>3</v>
      </c>
      <c r="O6" s="39" t="s">
        <v>5320</v>
      </c>
      <c r="P6" s="53" t="s">
        <v>5321</v>
      </c>
      <c r="Q6" s="39" t="s">
        <v>5324</v>
      </c>
    </row>
    <row r="7" spans="1:17" ht="18" customHeight="1" thickTop="1">
      <c r="A7" s="19">
        <v>28</v>
      </c>
      <c r="B7" s="2" t="s">
        <v>2485</v>
      </c>
      <c r="C7" s="1">
        <v>311240380</v>
      </c>
      <c r="D7" s="3" t="s">
        <v>2486</v>
      </c>
      <c r="E7" s="1" t="s">
        <v>77</v>
      </c>
      <c r="F7" s="10" t="s">
        <v>2419</v>
      </c>
      <c r="G7" s="2">
        <v>33</v>
      </c>
      <c r="H7" s="6">
        <v>96</v>
      </c>
      <c r="I7" s="6">
        <v>92</v>
      </c>
      <c r="J7" s="6">
        <v>92</v>
      </c>
      <c r="K7" s="6">
        <v>68</v>
      </c>
      <c r="L7" s="6">
        <v>90</v>
      </c>
      <c r="M7" s="6">
        <v>100</v>
      </c>
      <c r="N7" s="6">
        <v>92</v>
      </c>
      <c r="O7" s="1">
        <f t="shared" ref="O7:O38" si="0">SUBTOTAL(9,H7:N7)</f>
        <v>630</v>
      </c>
      <c r="P7" s="14">
        <f t="shared" ref="P7:P38" si="1">O7/7</f>
        <v>90</v>
      </c>
      <c r="Q7" s="20">
        <f t="shared" ref="Q7:Q38" si="2">RANK(P7,P$7:P$286,0)</f>
        <v>1</v>
      </c>
    </row>
    <row r="8" spans="1:17" ht="18" customHeight="1">
      <c r="A8" s="19">
        <v>49</v>
      </c>
      <c r="B8" s="2" t="s">
        <v>2528</v>
      </c>
      <c r="C8" s="1" t="s">
        <v>2529</v>
      </c>
      <c r="D8" s="3" t="s">
        <v>2530</v>
      </c>
      <c r="E8" s="1" t="s">
        <v>67</v>
      </c>
      <c r="F8" s="10" t="s">
        <v>2419</v>
      </c>
      <c r="G8" s="2">
        <v>33</v>
      </c>
      <c r="H8" s="6">
        <v>98</v>
      </c>
      <c r="I8" s="6">
        <v>88</v>
      </c>
      <c r="J8" s="6">
        <v>80</v>
      </c>
      <c r="K8" s="6">
        <v>66</v>
      </c>
      <c r="L8" s="6">
        <v>86</v>
      </c>
      <c r="M8" s="6">
        <v>96</v>
      </c>
      <c r="N8" s="6">
        <v>73</v>
      </c>
      <c r="O8" s="1">
        <f t="shared" si="0"/>
        <v>587</v>
      </c>
      <c r="P8" s="14">
        <f t="shared" si="1"/>
        <v>83.857142857142861</v>
      </c>
      <c r="Q8" s="20">
        <f t="shared" si="2"/>
        <v>2</v>
      </c>
    </row>
    <row r="9" spans="1:17" ht="18" customHeight="1">
      <c r="A9" s="19">
        <v>41</v>
      </c>
      <c r="B9" s="2" t="s">
        <v>2510</v>
      </c>
      <c r="C9" s="1" t="s">
        <v>2511</v>
      </c>
      <c r="D9" s="3" t="s">
        <v>2512</v>
      </c>
      <c r="E9" s="1" t="s">
        <v>88</v>
      </c>
      <c r="F9" s="10" t="s">
        <v>2419</v>
      </c>
      <c r="G9" s="2">
        <v>33</v>
      </c>
      <c r="H9" s="6">
        <v>66</v>
      </c>
      <c r="I9" s="6">
        <v>74</v>
      </c>
      <c r="J9" s="6">
        <v>74</v>
      </c>
      <c r="K9" s="6">
        <v>78</v>
      </c>
      <c r="L9" s="6">
        <v>88</v>
      </c>
      <c r="M9" s="6">
        <v>86</v>
      </c>
      <c r="N9" s="6">
        <v>96</v>
      </c>
      <c r="O9" s="1">
        <f t="shared" si="0"/>
        <v>562</v>
      </c>
      <c r="P9" s="14">
        <f t="shared" si="1"/>
        <v>80.285714285714292</v>
      </c>
      <c r="Q9" s="20">
        <f t="shared" si="2"/>
        <v>3</v>
      </c>
    </row>
    <row r="10" spans="1:17" ht="18" customHeight="1">
      <c r="A10" s="19">
        <v>23</v>
      </c>
      <c r="B10" s="2" t="s">
        <v>2553</v>
      </c>
      <c r="C10" s="1">
        <v>311260436</v>
      </c>
      <c r="D10" s="3" t="s">
        <v>2554</v>
      </c>
      <c r="E10" s="1" t="s">
        <v>62</v>
      </c>
      <c r="F10" s="10" t="s">
        <v>2419</v>
      </c>
      <c r="G10" s="2">
        <v>34</v>
      </c>
      <c r="H10" s="6">
        <v>88</v>
      </c>
      <c r="I10" s="6">
        <v>66</v>
      </c>
      <c r="J10" s="6">
        <v>80</v>
      </c>
      <c r="K10" s="6">
        <v>56</v>
      </c>
      <c r="L10" s="6">
        <v>65</v>
      </c>
      <c r="M10" s="6">
        <v>100</v>
      </c>
      <c r="N10" s="6">
        <v>85</v>
      </c>
      <c r="O10" s="1">
        <f t="shared" si="0"/>
        <v>540</v>
      </c>
      <c r="P10" s="14">
        <f t="shared" si="1"/>
        <v>77.142857142857139</v>
      </c>
      <c r="Q10" s="20">
        <f t="shared" si="2"/>
        <v>4</v>
      </c>
    </row>
    <row r="11" spans="1:17" ht="18" customHeight="1">
      <c r="A11" s="19">
        <v>7</v>
      </c>
      <c r="B11" s="2" t="s">
        <v>2445</v>
      </c>
      <c r="C11" s="1" t="s">
        <v>2446</v>
      </c>
      <c r="D11" s="3" t="s">
        <v>2447</v>
      </c>
      <c r="E11" s="1" t="s">
        <v>70</v>
      </c>
      <c r="F11" s="10" t="s">
        <v>2419</v>
      </c>
      <c r="G11" s="2">
        <v>32</v>
      </c>
      <c r="H11" s="6">
        <v>86</v>
      </c>
      <c r="I11" s="6">
        <v>55</v>
      </c>
      <c r="J11" s="6">
        <v>88</v>
      </c>
      <c r="K11" s="6">
        <v>58</v>
      </c>
      <c r="L11" s="6">
        <v>66</v>
      </c>
      <c r="M11" s="6">
        <v>84</v>
      </c>
      <c r="N11" s="6">
        <v>89</v>
      </c>
      <c r="O11" s="1">
        <f t="shared" si="0"/>
        <v>526</v>
      </c>
      <c r="P11" s="14">
        <f t="shared" si="1"/>
        <v>75.142857142857139</v>
      </c>
      <c r="Q11" s="20">
        <f t="shared" si="2"/>
        <v>5</v>
      </c>
    </row>
    <row r="12" spans="1:17" ht="18" customHeight="1">
      <c r="A12" s="19">
        <v>40</v>
      </c>
      <c r="B12" s="2" t="s">
        <v>2507</v>
      </c>
      <c r="C12" s="1" t="s">
        <v>2508</v>
      </c>
      <c r="D12" s="3" t="s">
        <v>2509</v>
      </c>
      <c r="E12" s="1" t="s">
        <v>90</v>
      </c>
      <c r="F12" s="10" t="s">
        <v>2419</v>
      </c>
      <c r="G12" s="2">
        <v>33</v>
      </c>
      <c r="H12" s="6">
        <v>86</v>
      </c>
      <c r="I12" s="6">
        <v>55</v>
      </c>
      <c r="J12" s="6">
        <v>88</v>
      </c>
      <c r="K12" s="6">
        <v>76</v>
      </c>
      <c r="L12" s="6">
        <v>65</v>
      </c>
      <c r="M12" s="6">
        <v>74</v>
      </c>
      <c r="N12" s="6">
        <v>77</v>
      </c>
      <c r="O12" s="1">
        <f t="shared" si="0"/>
        <v>521</v>
      </c>
      <c r="P12" s="14">
        <f t="shared" si="1"/>
        <v>74.428571428571431</v>
      </c>
      <c r="Q12" s="20">
        <f t="shared" si="2"/>
        <v>6</v>
      </c>
    </row>
    <row r="13" spans="1:17" ht="18" customHeight="1">
      <c r="A13" s="19">
        <v>54</v>
      </c>
      <c r="B13" s="2" t="s">
        <v>2420</v>
      </c>
      <c r="C13" s="1" t="s">
        <v>2421</v>
      </c>
      <c r="D13" s="3" t="s">
        <v>2422</v>
      </c>
      <c r="E13" s="1" t="s">
        <v>68</v>
      </c>
      <c r="F13" s="10" t="s">
        <v>2419</v>
      </c>
      <c r="G13" s="2">
        <v>32</v>
      </c>
      <c r="H13" s="6">
        <v>86</v>
      </c>
      <c r="I13" s="6">
        <v>59</v>
      </c>
      <c r="J13" s="6">
        <v>96</v>
      </c>
      <c r="K13" s="6">
        <v>50</v>
      </c>
      <c r="L13" s="6">
        <v>88</v>
      </c>
      <c r="M13" s="6">
        <v>66</v>
      </c>
      <c r="N13" s="6">
        <v>73</v>
      </c>
      <c r="O13" s="1">
        <f t="shared" si="0"/>
        <v>518</v>
      </c>
      <c r="P13" s="14">
        <f t="shared" si="1"/>
        <v>74</v>
      </c>
      <c r="Q13" s="20">
        <f t="shared" si="2"/>
        <v>7</v>
      </c>
    </row>
    <row r="14" spans="1:17" ht="18" customHeight="1">
      <c r="A14" s="19">
        <v>27</v>
      </c>
      <c r="B14" s="2" t="s">
        <v>2482</v>
      </c>
      <c r="C14" s="1" t="s">
        <v>2483</v>
      </c>
      <c r="D14" s="3" t="s">
        <v>2484</v>
      </c>
      <c r="E14" s="1" t="s">
        <v>77</v>
      </c>
      <c r="F14" s="10" t="s">
        <v>2419</v>
      </c>
      <c r="G14" s="2">
        <v>33</v>
      </c>
      <c r="H14" s="6">
        <v>86</v>
      </c>
      <c r="I14" s="6">
        <v>73</v>
      </c>
      <c r="J14" s="6">
        <v>66</v>
      </c>
      <c r="K14" s="6">
        <v>40</v>
      </c>
      <c r="L14" s="6">
        <v>76</v>
      </c>
      <c r="M14" s="6">
        <v>92</v>
      </c>
      <c r="N14" s="6">
        <v>70</v>
      </c>
      <c r="O14" s="1">
        <f t="shared" si="0"/>
        <v>503</v>
      </c>
      <c r="P14" s="14">
        <f t="shared" si="1"/>
        <v>71.857142857142861</v>
      </c>
      <c r="Q14" s="20">
        <f t="shared" si="2"/>
        <v>8</v>
      </c>
    </row>
    <row r="15" spans="1:17" ht="18" customHeight="1">
      <c r="A15" s="19">
        <v>51</v>
      </c>
      <c r="B15" s="2" t="s">
        <v>2534</v>
      </c>
      <c r="C15" s="1">
        <v>311240392</v>
      </c>
      <c r="D15" s="3" t="s">
        <v>2535</v>
      </c>
      <c r="E15" s="1" t="s">
        <v>353</v>
      </c>
      <c r="F15" s="10" t="s">
        <v>2419</v>
      </c>
      <c r="G15" s="2">
        <v>33</v>
      </c>
      <c r="H15" s="6">
        <v>88</v>
      </c>
      <c r="I15" s="6">
        <v>70</v>
      </c>
      <c r="J15" s="6">
        <v>70</v>
      </c>
      <c r="K15" s="6">
        <v>48</v>
      </c>
      <c r="L15" s="6">
        <v>70</v>
      </c>
      <c r="M15" s="6">
        <v>84</v>
      </c>
      <c r="N15" s="6">
        <v>70</v>
      </c>
      <c r="O15" s="1">
        <f t="shared" si="0"/>
        <v>500</v>
      </c>
      <c r="P15" s="14">
        <f t="shared" si="1"/>
        <v>71.428571428571431</v>
      </c>
      <c r="Q15" s="20">
        <f t="shared" si="2"/>
        <v>9</v>
      </c>
    </row>
    <row r="16" spans="1:17" ht="18" customHeight="1">
      <c r="A16" s="19">
        <v>55</v>
      </c>
      <c r="B16" s="2" t="s">
        <v>2542</v>
      </c>
      <c r="C16" s="1" t="s">
        <v>2543</v>
      </c>
      <c r="D16" s="3" t="s">
        <v>2544</v>
      </c>
      <c r="E16" s="1" t="s">
        <v>68</v>
      </c>
      <c r="F16" s="10" t="s">
        <v>2419</v>
      </c>
      <c r="G16" s="2">
        <v>34</v>
      </c>
      <c r="H16" s="6">
        <v>92</v>
      </c>
      <c r="I16" s="6">
        <v>78</v>
      </c>
      <c r="J16" s="6">
        <v>66</v>
      </c>
      <c r="K16" s="6">
        <v>58</v>
      </c>
      <c r="L16" s="6">
        <v>77</v>
      </c>
      <c r="M16" s="6">
        <v>64</v>
      </c>
      <c r="N16" s="6">
        <v>58</v>
      </c>
      <c r="O16" s="1">
        <f t="shared" si="0"/>
        <v>493</v>
      </c>
      <c r="P16" s="14">
        <f t="shared" si="1"/>
        <v>70.428571428571431</v>
      </c>
      <c r="Q16" s="20">
        <f t="shared" si="2"/>
        <v>10</v>
      </c>
    </row>
    <row r="17" spans="1:17" ht="18" customHeight="1">
      <c r="A17" s="19">
        <v>19</v>
      </c>
      <c r="B17" s="2" t="s">
        <v>2470</v>
      </c>
      <c r="C17" s="1" t="s">
        <v>2471</v>
      </c>
      <c r="D17" s="3" t="s">
        <v>2472</v>
      </c>
      <c r="E17" s="1" t="s">
        <v>61</v>
      </c>
      <c r="F17" s="10" t="s">
        <v>2419</v>
      </c>
      <c r="G17" s="2">
        <v>32</v>
      </c>
      <c r="H17" s="6">
        <v>96</v>
      </c>
      <c r="I17" s="6">
        <v>77</v>
      </c>
      <c r="J17" s="6">
        <v>78</v>
      </c>
      <c r="K17" s="6">
        <v>60</v>
      </c>
      <c r="L17" s="6">
        <v>64</v>
      </c>
      <c r="M17" s="6">
        <v>62</v>
      </c>
      <c r="N17" s="6">
        <v>47</v>
      </c>
      <c r="O17" s="1">
        <f t="shared" si="0"/>
        <v>484</v>
      </c>
      <c r="P17" s="14">
        <f t="shared" si="1"/>
        <v>69.142857142857139</v>
      </c>
      <c r="Q17" s="20">
        <f t="shared" si="2"/>
        <v>11</v>
      </c>
    </row>
    <row r="18" spans="1:17" ht="18" customHeight="1">
      <c r="A18" s="19">
        <v>44</v>
      </c>
      <c r="B18" s="2" t="s">
        <v>2516</v>
      </c>
      <c r="C18" s="1" t="s">
        <v>2517</v>
      </c>
      <c r="D18" s="3" t="s">
        <v>2518</v>
      </c>
      <c r="E18" s="1" t="s">
        <v>82</v>
      </c>
      <c r="F18" s="10" t="s">
        <v>2419</v>
      </c>
      <c r="G18" s="2">
        <v>33</v>
      </c>
      <c r="H18" s="6">
        <v>88</v>
      </c>
      <c r="I18" s="6">
        <v>55</v>
      </c>
      <c r="J18" s="6">
        <v>20</v>
      </c>
      <c r="K18" s="6">
        <v>60</v>
      </c>
      <c r="L18" s="6">
        <v>100</v>
      </c>
      <c r="M18" s="6">
        <v>86</v>
      </c>
      <c r="N18" s="6">
        <v>73</v>
      </c>
      <c r="O18" s="1">
        <f t="shared" si="0"/>
        <v>482</v>
      </c>
      <c r="P18" s="14">
        <f t="shared" si="1"/>
        <v>68.857142857142861</v>
      </c>
      <c r="Q18" s="20">
        <f t="shared" si="2"/>
        <v>12</v>
      </c>
    </row>
    <row r="19" spans="1:17" ht="18" customHeight="1">
      <c r="A19" s="19">
        <v>3</v>
      </c>
      <c r="B19" s="2" t="s">
        <v>2434</v>
      </c>
      <c r="C19" s="1" t="s">
        <v>2435</v>
      </c>
      <c r="D19" s="3" t="s">
        <v>2436</v>
      </c>
      <c r="E19" s="1" t="s">
        <v>55</v>
      </c>
      <c r="F19" s="10" t="s">
        <v>2419</v>
      </c>
      <c r="G19" s="2">
        <v>32</v>
      </c>
      <c r="H19" s="6">
        <v>74</v>
      </c>
      <c r="I19" s="6">
        <v>36</v>
      </c>
      <c r="J19" s="6">
        <v>84</v>
      </c>
      <c r="K19" s="6">
        <v>68</v>
      </c>
      <c r="L19" s="6">
        <v>92</v>
      </c>
      <c r="M19" s="6">
        <v>58</v>
      </c>
      <c r="N19" s="6">
        <v>66</v>
      </c>
      <c r="O19" s="1">
        <f t="shared" si="0"/>
        <v>478</v>
      </c>
      <c r="P19" s="14">
        <f t="shared" si="1"/>
        <v>68.285714285714292</v>
      </c>
      <c r="Q19" s="20">
        <f t="shared" si="2"/>
        <v>13</v>
      </c>
    </row>
    <row r="20" spans="1:17" ht="18" customHeight="1">
      <c r="A20" s="19">
        <v>45</v>
      </c>
      <c r="B20" s="2" t="s">
        <v>2519</v>
      </c>
      <c r="C20" s="1" t="s">
        <v>2520</v>
      </c>
      <c r="D20" s="3" t="s">
        <v>2521</v>
      </c>
      <c r="E20" s="1" t="s">
        <v>82</v>
      </c>
      <c r="F20" s="10" t="s">
        <v>2419</v>
      </c>
      <c r="G20" s="2">
        <v>33</v>
      </c>
      <c r="H20" s="6">
        <v>80</v>
      </c>
      <c r="I20" s="6">
        <v>57</v>
      </c>
      <c r="J20" s="6">
        <v>78</v>
      </c>
      <c r="K20" s="6">
        <v>40</v>
      </c>
      <c r="L20" s="6">
        <v>77</v>
      </c>
      <c r="M20" s="6">
        <v>29</v>
      </c>
      <c r="N20" s="6">
        <v>85</v>
      </c>
      <c r="O20" s="1">
        <f t="shared" si="0"/>
        <v>446</v>
      </c>
      <c r="P20" s="14">
        <f t="shared" si="1"/>
        <v>63.714285714285715</v>
      </c>
      <c r="Q20" s="20">
        <f t="shared" si="2"/>
        <v>14</v>
      </c>
    </row>
    <row r="21" spans="1:17" ht="18" customHeight="1">
      <c r="A21" s="19">
        <v>1</v>
      </c>
      <c r="B21" s="2" t="s">
        <v>2428</v>
      </c>
      <c r="C21" s="1" t="s">
        <v>2429</v>
      </c>
      <c r="D21" s="3" t="s">
        <v>2430</v>
      </c>
      <c r="E21" s="1" t="s">
        <v>69</v>
      </c>
      <c r="F21" s="10" t="s">
        <v>2419</v>
      </c>
      <c r="G21" s="2">
        <v>32</v>
      </c>
      <c r="H21" s="6">
        <v>86</v>
      </c>
      <c r="I21" s="6">
        <v>73</v>
      </c>
      <c r="J21" s="6">
        <v>52</v>
      </c>
      <c r="K21" s="6">
        <v>35</v>
      </c>
      <c r="L21" s="6">
        <v>68</v>
      </c>
      <c r="M21" s="6">
        <v>82</v>
      </c>
      <c r="N21" s="6">
        <v>47</v>
      </c>
      <c r="O21" s="1">
        <f t="shared" si="0"/>
        <v>443</v>
      </c>
      <c r="P21" s="14">
        <f t="shared" si="1"/>
        <v>63.285714285714285</v>
      </c>
      <c r="Q21" s="20">
        <f t="shared" si="2"/>
        <v>15</v>
      </c>
    </row>
    <row r="22" spans="1:17" ht="18" customHeight="1">
      <c r="A22" s="19">
        <v>17</v>
      </c>
      <c r="B22" s="2" t="s">
        <v>2549</v>
      </c>
      <c r="C22" s="1">
        <v>311260315</v>
      </c>
      <c r="D22" s="3" t="s">
        <v>2550</v>
      </c>
      <c r="E22" s="1" t="s">
        <v>60</v>
      </c>
      <c r="F22" s="10" t="s">
        <v>2419</v>
      </c>
      <c r="G22" s="2">
        <v>34</v>
      </c>
      <c r="H22" s="6">
        <v>62</v>
      </c>
      <c r="I22" s="6">
        <v>35</v>
      </c>
      <c r="J22" s="6">
        <v>84</v>
      </c>
      <c r="K22" s="6">
        <v>48</v>
      </c>
      <c r="L22" s="6">
        <v>65</v>
      </c>
      <c r="M22" s="6">
        <v>82</v>
      </c>
      <c r="N22" s="6">
        <v>62</v>
      </c>
      <c r="O22" s="1">
        <f t="shared" si="0"/>
        <v>438</v>
      </c>
      <c r="P22" s="14">
        <f t="shared" si="1"/>
        <v>62.571428571428569</v>
      </c>
      <c r="Q22" s="20">
        <f t="shared" si="2"/>
        <v>16</v>
      </c>
    </row>
    <row r="23" spans="1:17" ht="18" customHeight="1">
      <c r="A23" s="19">
        <v>53</v>
      </c>
      <c r="B23" s="2" t="s">
        <v>2539</v>
      </c>
      <c r="C23" s="1" t="s">
        <v>2540</v>
      </c>
      <c r="D23" s="3" t="s">
        <v>2541</v>
      </c>
      <c r="E23" s="1" t="s">
        <v>76</v>
      </c>
      <c r="F23" s="10" t="s">
        <v>2419</v>
      </c>
      <c r="G23" s="2">
        <v>34</v>
      </c>
      <c r="H23" s="6">
        <v>80</v>
      </c>
      <c r="I23" s="6">
        <v>42</v>
      </c>
      <c r="J23" s="6">
        <v>52</v>
      </c>
      <c r="K23" s="6">
        <v>56</v>
      </c>
      <c r="L23" s="6">
        <v>84</v>
      </c>
      <c r="M23" s="6">
        <v>82</v>
      </c>
      <c r="N23" s="6">
        <v>35</v>
      </c>
      <c r="O23" s="1">
        <f t="shared" si="0"/>
        <v>431</v>
      </c>
      <c r="P23" s="14">
        <f t="shared" si="1"/>
        <v>61.571428571428569</v>
      </c>
      <c r="Q23" s="20">
        <f t="shared" si="2"/>
        <v>17</v>
      </c>
    </row>
    <row r="24" spans="1:17" ht="18" customHeight="1">
      <c r="A24" s="19">
        <v>38</v>
      </c>
      <c r="B24" s="2" t="s">
        <v>2502</v>
      </c>
      <c r="C24" s="1" t="s">
        <v>2503</v>
      </c>
      <c r="D24" s="3" t="s">
        <v>2504</v>
      </c>
      <c r="E24" s="1" t="s">
        <v>78</v>
      </c>
      <c r="F24" s="10" t="s">
        <v>2419</v>
      </c>
      <c r="G24" s="2">
        <v>33</v>
      </c>
      <c r="H24" s="6">
        <v>80</v>
      </c>
      <c r="I24" s="6">
        <v>36</v>
      </c>
      <c r="J24" s="6">
        <v>70</v>
      </c>
      <c r="K24" s="6">
        <v>40</v>
      </c>
      <c r="L24" s="6">
        <v>54</v>
      </c>
      <c r="M24" s="6">
        <v>92</v>
      </c>
      <c r="N24" s="6">
        <v>51</v>
      </c>
      <c r="O24" s="1">
        <f t="shared" si="0"/>
        <v>423</v>
      </c>
      <c r="P24" s="14">
        <f t="shared" si="1"/>
        <v>60.428571428571431</v>
      </c>
      <c r="Q24" s="20">
        <f t="shared" si="2"/>
        <v>18</v>
      </c>
    </row>
    <row r="25" spans="1:17" ht="18" customHeight="1">
      <c r="A25" s="19">
        <v>13</v>
      </c>
      <c r="B25" s="2" t="s">
        <v>2460</v>
      </c>
      <c r="C25" s="1" t="s">
        <v>2086</v>
      </c>
      <c r="D25" s="3" t="s">
        <v>2461</v>
      </c>
      <c r="E25" s="1" t="s">
        <v>71</v>
      </c>
      <c r="F25" s="10" t="s">
        <v>2419</v>
      </c>
      <c r="G25" s="2">
        <v>32</v>
      </c>
      <c r="H25" s="6">
        <v>75</v>
      </c>
      <c r="I25" s="6">
        <v>68</v>
      </c>
      <c r="J25" s="6">
        <v>84</v>
      </c>
      <c r="K25" s="6">
        <v>31</v>
      </c>
      <c r="L25" s="6">
        <v>46</v>
      </c>
      <c r="M25" s="6">
        <v>64</v>
      </c>
      <c r="N25" s="6">
        <v>47</v>
      </c>
      <c r="O25" s="1">
        <f t="shared" si="0"/>
        <v>415</v>
      </c>
      <c r="P25" s="14">
        <f t="shared" si="1"/>
        <v>59.285714285714285</v>
      </c>
      <c r="Q25" s="20">
        <f t="shared" si="2"/>
        <v>19</v>
      </c>
    </row>
    <row r="26" spans="1:17" ht="18" customHeight="1">
      <c r="A26" s="19">
        <v>30</v>
      </c>
      <c r="B26" s="2" t="s">
        <v>2490</v>
      </c>
      <c r="C26" s="1" t="s">
        <v>2491</v>
      </c>
      <c r="D26" s="3" t="s">
        <v>2492</v>
      </c>
      <c r="E26" s="1" t="s">
        <v>84</v>
      </c>
      <c r="F26" s="10" t="s">
        <v>2419</v>
      </c>
      <c r="G26" s="2">
        <v>33</v>
      </c>
      <c r="H26" s="6">
        <v>74</v>
      </c>
      <c r="I26" s="6">
        <v>49</v>
      </c>
      <c r="J26" s="6">
        <v>48</v>
      </c>
      <c r="K26" s="6">
        <v>48</v>
      </c>
      <c r="L26" s="6">
        <v>69</v>
      </c>
      <c r="M26" s="6">
        <v>84</v>
      </c>
      <c r="N26" s="6">
        <v>43</v>
      </c>
      <c r="O26" s="1">
        <f t="shared" si="0"/>
        <v>415</v>
      </c>
      <c r="P26" s="14">
        <f t="shared" si="1"/>
        <v>59.285714285714285</v>
      </c>
      <c r="Q26" s="20">
        <f t="shared" si="2"/>
        <v>19</v>
      </c>
    </row>
    <row r="27" spans="1:17" ht="18" customHeight="1">
      <c r="A27" s="19">
        <v>48</v>
      </c>
      <c r="B27" s="2" t="s">
        <v>2525</v>
      </c>
      <c r="C27" s="1" t="s">
        <v>2526</v>
      </c>
      <c r="D27" s="3" t="s">
        <v>2527</v>
      </c>
      <c r="E27" s="1" t="s">
        <v>67</v>
      </c>
      <c r="F27" s="10" t="s">
        <v>2419</v>
      </c>
      <c r="G27" s="2">
        <v>33</v>
      </c>
      <c r="H27" s="6">
        <v>59</v>
      </c>
      <c r="I27" s="6">
        <v>61</v>
      </c>
      <c r="J27" s="6">
        <v>60</v>
      </c>
      <c r="K27" s="6">
        <v>46</v>
      </c>
      <c r="L27" s="6">
        <v>60</v>
      </c>
      <c r="M27" s="6">
        <v>56</v>
      </c>
      <c r="N27" s="6">
        <v>62</v>
      </c>
      <c r="O27" s="1">
        <f t="shared" si="0"/>
        <v>404</v>
      </c>
      <c r="P27" s="14">
        <f t="shared" si="1"/>
        <v>57.714285714285715</v>
      </c>
      <c r="Q27" s="20">
        <f t="shared" si="2"/>
        <v>21</v>
      </c>
    </row>
    <row r="28" spans="1:17" ht="18" customHeight="1">
      <c r="A28" s="19">
        <v>52</v>
      </c>
      <c r="B28" s="2" t="s">
        <v>2536</v>
      </c>
      <c r="C28" s="1" t="s">
        <v>2537</v>
      </c>
      <c r="D28" s="3" t="s">
        <v>2538</v>
      </c>
      <c r="E28" s="1" t="s">
        <v>76</v>
      </c>
      <c r="F28" s="10" t="s">
        <v>2419</v>
      </c>
      <c r="G28" s="2">
        <v>33</v>
      </c>
      <c r="H28" s="6">
        <v>64</v>
      </c>
      <c r="I28" s="6">
        <v>43</v>
      </c>
      <c r="J28" s="6">
        <v>44</v>
      </c>
      <c r="K28" s="6">
        <v>44</v>
      </c>
      <c r="L28" s="6">
        <v>88</v>
      </c>
      <c r="M28" s="6">
        <v>74</v>
      </c>
      <c r="N28" s="6">
        <v>43</v>
      </c>
      <c r="O28" s="1">
        <f t="shared" si="0"/>
        <v>400</v>
      </c>
      <c r="P28" s="14">
        <f t="shared" si="1"/>
        <v>57.142857142857146</v>
      </c>
      <c r="Q28" s="20">
        <f t="shared" si="2"/>
        <v>22</v>
      </c>
    </row>
    <row r="29" spans="1:17" ht="18" customHeight="1">
      <c r="A29" s="19">
        <v>18</v>
      </c>
      <c r="B29" s="2" t="s">
        <v>2468</v>
      </c>
      <c r="C29" s="1">
        <v>311240395</v>
      </c>
      <c r="D29" s="3" t="s">
        <v>2469</v>
      </c>
      <c r="E29" s="1" t="s">
        <v>61</v>
      </c>
      <c r="F29" s="10" t="s">
        <v>2419</v>
      </c>
      <c r="G29" s="2">
        <v>32</v>
      </c>
      <c r="H29" s="6">
        <v>80</v>
      </c>
      <c r="I29" s="6">
        <v>46</v>
      </c>
      <c r="J29" s="6">
        <v>78</v>
      </c>
      <c r="K29" s="6">
        <v>53</v>
      </c>
      <c r="L29" s="6">
        <v>26</v>
      </c>
      <c r="M29" s="6">
        <v>58</v>
      </c>
      <c r="N29" s="6">
        <v>58</v>
      </c>
      <c r="O29" s="1">
        <f t="shared" si="0"/>
        <v>399</v>
      </c>
      <c r="P29" s="14">
        <f t="shared" si="1"/>
        <v>57</v>
      </c>
      <c r="Q29" s="20">
        <f t="shared" si="2"/>
        <v>23</v>
      </c>
    </row>
    <row r="30" spans="1:17" ht="18" customHeight="1">
      <c r="A30" s="19">
        <v>33</v>
      </c>
      <c r="B30" s="2" t="s">
        <v>2425</v>
      </c>
      <c r="C30" s="1">
        <v>311240390</v>
      </c>
      <c r="D30" s="3" t="s">
        <v>2426</v>
      </c>
      <c r="E30" s="1" t="s">
        <v>74</v>
      </c>
      <c r="F30" s="10" t="s">
        <v>2419</v>
      </c>
      <c r="G30" s="2">
        <v>32</v>
      </c>
      <c r="H30" s="6">
        <v>92</v>
      </c>
      <c r="I30" s="6">
        <v>52</v>
      </c>
      <c r="J30" s="6">
        <v>65</v>
      </c>
      <c r="K30" s="6">
        <v>41</v>
      </c>
      <c r="L30" s="6">
        <v>51</v>
      </c>
      <c r="M30" s="6">
        <v>30</v>
      </c>
      <c r="N30" s="6">
        <v>66</v>
      </c>
      <c r="O30" s="1">
        <f t="shared" si="0"/>
        <v>397</v>
      </c>
      <c r="P30" s="14">
        <f t="shared" si="1"/>
        <v>56.714285714285715</v>
      </c>
      <c r="Q30" s="20">
        <f t="shared" si="2"/>
        <v>24</v>
      </c>
    </row>
    <row r="31" spans="1:17" ht="18" customHeight="1">
      <c r="A31" s="19">
        <v>34</v>
      </c>
      <c r="B31" s="2" t="s">
        <v>2557</v>
      </c>
      <c r="C31" s="1">
        <v>311260438</v>
      </c>
      <c r="D31" s="3" t="s">
        <v>2558</v>
      </c>
      <c r="E31" s="1" t="s">
        <v>74</v>
      </c>
      <c r="F31" s="10" t="s">
        <v>2419</v>
      </c>
      <c r="G31" s="2">
        <v>34</v>
      </c>
      <c r="H31" s="6">
        <v>64</v>
      </c>
      <c r="I31" s="6">
        <v>62</v>
      </c>
      <c r="J31" s="6">
        <v>82</v>
      </c>
      <c r="K31" s="6">
        <v>41</v>
      </c>
      <c r="L31" s="6">
        <v>51</v>
      </c>
      <c r="M31" s="6">
        <v>46</v>
      </c>
      <c r="N31" s="6">
        <v>47</v>
      </c>
      <c r="O31" s="1">
        <f t="shared" si="0"/>
        <v>393</v>
      </c>
      <c r="P31" s="14">
        <f t="shared" si="1"/>
        <v>56.142857142857146</v>
      </c>
      <c r="Q31" s="20">
        <f t="shared" si="2"/>
        <v>25</v>
      </c>
    </row>
    <row r="32" spans="1:17" ht="18" customHeight="1">
      <c r="A32" s="19">
        <v>9</v>
      </c>
      <c r="B32" s="2" t="s">
        <v>2451</v>
      </c>
      <c r="C32" s="1" t="s">
        <v>2452</v>
      </c>
      <c r="D32" s="3" t="s">
        <v>2453</v>
      </c>
      <c r="E32" s="1" t="s">
        <v>56</v>
      </c>
      <c r="F32" s="10" t="s">
        <v>2419</v>
      </c>
      <c r="G32" s="2">
        <v>32</v>
      </c>
      <c r="H32" s="6">
        <v>96</v>
      </c>
      <c r="I32" s="6">
        <v>48</v>
      </c>
      <c r="J32" s="6">
        <v>63</v>
      </c>
      <c r="K32" s="6">
        <v>64</v>
      </c>
      <c r="L32" s="6">
        <v>59</v>
      </c>
      <c r="M32" s="6">
        <v>27</v>
      </c>
      <c r="N32" s="6">
        <v>32</v>
      </c>
      <c r="O32" s="1">
        <f t="shared" si="0"/>
        <v>389</v>
      </c>
      <c r="P32" s="14">
        <f t="shared" si="1"/>
        <v>55.571428571428569</v>
      </c>
      <c r="Q32" s="20">
        <f t="shared" si="2"/>
        <v>26</v>
      </c>
    </row>
    <row r="33" spans="1:17" ht="18" customHeight="1">
      <c r="A33" s="19">
        <v>26</v>
      </c>
      <c r="B33" s="2" t="s">
        <v>2479</v>
      </c>
      <c r="C33" s="1" t="s">
        <v>2480</v>
      </c>
      <c r="D33" s="3" t="s">
        <v>2481</v>
      </c>
      <c r="E33" s="1" t="s">
        <v>81</v>
      </c>
      <c r="F33" s="10" t="s">
        <v>2419</v>
      </c>
      <c r="G33" s="2">
        <v>33</v>
      </c>
      <c r="H33" s="6">
        <v>60</v>
      </c>
      <c r="I33" s="6">
        <v>56</v>
      </c>
      <c r="J33" s="6">
        <v>70</v>
      </c>
      <c r="K33" s="6">
        <v>36</v>
      </c>
      <c r="L33" s="6">
        <v>39</v>
      </c>
      <c r="M33" s="6">
        <v>62</v>
      </c>
      <c r="N33" s="6">
        <v>66</v>
      </c>
      <c r="O33" s="1">
        <f t="shared" si="0"/>
        <v>389</v>
      </c>
      <c r="P33" s="14">
        <f t="shared" si="1"/>
        <v>55.571428571428569</v>
      </c>
      <c r="Q33" s="20">
        <f t="shared" si="2"/>
        <v>26</v>
      </c>
    </row>
    <row r="34" spans="1:17" ht="18" customHeight="1">
      <c r="A34" s="19">
        <v>37</v>
      </c>
      <c r="B34" s="2" t="s">
        <v>2499</v>
      </c>
      <c r="C34" s="1" t="s">
        <v>2500</v>
      </c>
      <c r="D34" s="3" t="s">
        <v>2501</v>
      </c>
      <c r="E34" s="1" t="s">
        <v>78</v>
      </c>
      <c r="F34" s="10" t="s">
        <v>2419</v>
      </c>
      <c r="G34" s="2">
        <v>33</v>
      </c>
      <c r="H34" s="6">
        <v>70</v>
      </c>
      <c r="I34" s="6">
        <v>37</v>
      </c>
      <c r="J34" s="6">
        <v>78</v>
      </c>
      <c r="K34" s="6">
        <v>40</v>
      </c>
      <c r="L34" s="6">
        <v>48</v>
      </c>
      <c r="M34" s="6">
        <v>88</v>
      </c>
      <c r="N34" s="6">
        <v>28</v>
      </c>
      <c r="O34" s="1">
        <f t="shared" si="0"/>
        <v>389</v>
      </c>
      <c r="P34" s="14">
        <f t="shared" si="1"/>
        <v>55.571428571428569</v>
      </c>
      <c r="Q34" s="20">
        <f t="shared" si="2"/>
        <v>26</v>
      </c>
    </row>
    <row r="35" spans="1:17" ht="18" customHeight="1">
      <c r="A35" s="19">
        <v>24</v>
      </c>
      <c r="B35" s="2" t="s">
        <v>2555</v>
      </c>
      <c r="C35" s="1">
        <v>311260437</v>
      </c>
      <c r="D35" s="3" t="s">
        <v>2556</v>
      </c>
      <c r="E35" s="1" t="s">
        <v>80</v>
      </c>
      <c r="F35" s="10" t="s">
        <v>2419</v>
      </c>
      <c r="G35" s="2">
        <v>34</v>
      </c>
      <c r="H35" s="6">
        <v>58</v>
      </c>
      <c r="I35" s="6">
        <v>26</v>
      </c>
      <c r="J35" s="6">
        <v>48</v>
      </c>
      <c r="K35" s="6">
        <v>47</v>
      </c>
      <c r="L35" s="6">
        <v>74</v>
      </c>
      <c r="M35" s="6">
        <v>60</v>
      </c>
      <c r="N35" s="6">
        <v>51</v>
      </c>
      <c r="O35" s="1">
        <f t="shared" si="0"/>
        <v>364</v>
      </c>
      <c r="P35" s="14">
        <f t="shared" si="1"/>
        <v>52</v>
      </c>
      <c r="Q35" s="20">
        <f t="shared" si="2"/>
        <v>29</v>
      </c>
    </row>
    <row r="36" spans="1:17" ht="18" customHeight="1">
      <c r="A36" s="19">
        <v>6</v>
      </c>
      <c r="B36" s="2" t="s">
        <v>2442</v>
      </c>
      <c r="C36" s="1" t="s">
        <v>2443</v>
      </c>
      <c r="D36" s="3" t="s">
        <v>2444</v>
      </c>
      <c r="E36" s="1" t="s">
        <v>70</v>
      </c>
      <c r="F36" s="10" t="s">
        <v>2419</v>
      </c>
      <c r="G36" s="2">
        <v>32</v>
      </c>
      <c r="H36" s="6">
        <v>80</v>
      </c>
      <c r="I36" s="6">
        <v>31</v>
      </c>
      <c r="J36" s="6">
        <v>51</v>
      </c>
      <c r="K36" s="6">
        <v>49</v>
      </c>
      <c r="L36" s="6">
        <v>43</v>
      </c>
      <c r="M36" s="6">
        <v>80</v>
      </c>
      <c r="N36" s="6">
        <v>20</v>
      </c>
      <c r="O36" s="1">
        <f t="shared" si="0"/>
        <v>354</v>
      </c>
      <c r="P36" s="14">
        <f t="shared" si="1"/>
        <v>50.571428571428569</v>
      </c>
      <c r="Q36" s="20">
        <f t="shared" si="2"/>
        <v>30</v>
      </c>
    </row>
    <row r="37" spans="1:17" ht="18" customHeight="1">
      <c r="A37" s="19">
        <v>11</v>
      </c>
      <c r="B37" s="2" t="s">
        <v>2454</v>
      </c>
      <c r="C37" s="1" t="s">
        <v>2455</v>
      </c>
      <c r="D37" s="3" t="s">
        <v>2456</v>
      </c>
      <c r="E37" s="1" t="s">
        <v>57</v>
      </c>
      <c r="F37" s="10" t="s">
        <v>2419</v>
      </c>
      <c r="G37" s="2">
        <v>32</v>
      </c>
      <c r="H37" s="6">
        <v>76</v>
      </c>
      <c r="I37" s="6">
        <v>48</v>
      </c>
      <c r="J37" s="6">
        <v>52</v>
      </c>
      <c r="K37" s="6">
        <v>40</v>
      </c>
      <c r="L37" s="6">
        <v>59</v>
      </c>
      <c r="M37" s="6">
        <v>48</v>
      </c>
      <c r="N37" s="6">
        <v>16</v>
      </c>
      <c r="O37" s="1">
        <f t="shared" si="0"/>
        <v>339</v>
      </c>
      <c r="P37" s="14">
        <f t="shared" si="1"/>
        <v>48.428571428571431</v>
      </c>
      <c r="Q37" s="20">
        <f t="shared" si="2"/>
        <v>31</v>
      </c>
    </row>
    <row r="38" spans="1:17" ht="18" customHeight="1">
      <c r="A38" s="19">
        <v>36</v>
      </c>
      <c r="B38" s="2" t="s">
        <v>2562</v>
      </c>
      <c r="C38" s="1">
        <v>311260937</v>
      </c>
      <c r="D38" s="3" t="s">
        <v>2563</v>
      </c>
      <c r="E38" s="1" t="s">
        <v>64</v>
      </c>
      <c r="F38" s="10" t="s">
        <v>2419</v>
      </c>
      <c r="G38" s="2">
        <v>34</v>
      </c>
      <c r="H38" s="6">
        <v>56</v>
      </c>
      <c r="I38" s="6">
        <v>34</v>
      </c>
      <c r="J38" s="6">
        <v>8</v>
      </c>
      <c r="K38" s="6">
        <v>48</v>
      </c>
      <c r="L38" s="6">
        <v>62</v>
      </c>
      <c r="M38" s="6">
        <v>84</v>
      </c>
      <c r="N38" s="6">
        <v>43</v>
      </c>
      <c r="O38" s="1">
        <f t="shared" si="0"/>
        <v>335</v>
      </c>
      <c r="P38" s="14">
        <f t="shared" si="1"/>
        <v>47.857142857142854</v>
      </c>
      <c r="Q38" s="20">
        <f t="shared" si="2"/>
        <v>32</v>
      </c>
    </row>
    <row r="39" spans="1:17" ht="18" customHeight="1">
      <c r="A39" s="19">
        <v>32</v>
      </c>
      <c r="B39" s="2" t="s">
        <v>2496</v>
      </c>
      <c r="C39" s="1" t="s">
        <v>2497</v>
      </c>
      <c r="D39" s="3" t="s">
        <v>2498</v>
      </c>
      <c r="E39" s="1" t="s">
        <v>63</v>
      </c>
      <c r="F39" s="10" t="s">
        <v>2419</v>
      </c>
      <c r="G39" s="2">
        <v>33</v>
      </c>
      <c r="H39" s="6">
        <v>78</v>
      </c>
      <c r="I39" s="6">
        <v>17</v>
      </c>
      <c r="J39" s="6">
        <v>35</v>
      </c>
      <c r="K39" s="6">
        <v>22</v>
      </c>
      <c r="L39" s="6">
        <v>42</v>
      </c>
      <c r="M39" s="6">
        <v>88</v>
      </c>
      <c r="N39" s="6">
        <v>51</v>
      </c>
      <c r="O39" s="1">
        <f t="shared" ref="O39:O62" si="3">SUBTOTAL(9,H39:N39)</f>
        <v>333</v>
      </c>
      <c r="P39" s="14">
        <f t="shared" ref="P39:P62" si="4">O39/7</f>
        <v>47.571428571428569</v>
      </c>
      <c r="Q39" s="20">
        <f t="shared" ref="Q39:Q62" si="5">RANK(P39,P$7:P$286,0)</f>
        <v>33</v>
      </c>
    </row>
    <row r="40" spans="1:17" ht="18" customHeight="1">
      <c r="A40" s="19">
        <v>25</v>
      </c>
      <c r="B40" s="2" t="s">
        <v>2423</v>
      </c>
      <c r="C40" s="1">
        <v>311240387</v>
      </c>
      <c r="D40" s="3" t="s">
        <v>2424</v>
      </c>
      <c r="E40" s="1" t="s">
        <v>81</v>
      </c>
      <c r="F40" s="10" t="s">
        <v>2419</v>
      </c>
      <c r="G40" s="2">
        <v>32</v>
      </c>
      <c r="H40" s="6">
        <v>64</v>
      </c>
      <c r="I40" s="6">
        <v>52</v>
      </c>
      <c r="J40" s="6">
        <v>45</v>
      </c>
      <c r="K40" s="6">
        <v>22</v>
      </c>
      <c r="L40" s="6">
        <v>64</v>
      </c>
      <c r="M40" s="6">
        <v>69</v>
      </c>
      <c r="N40" s="6">
        <v>16</v>
      </c>
      <c r="O40" s="1">
        <f t="shared" si="3"/>
        <v>332</v>
      </c>
      <c r="P40" s="14">
        <f t="shared" si="4"/>
        <v>47.428571428571431</v>
      </c>
      <c r="Q40" s="20">
        <f t="shared" si="5"/>
        <v>34</v>
      </c>
    </row>
    <row r="41" spans="1:17" ht="18" customHeight="1">
      <c r="A41" s="19">
        <v>47</v>
      </c>
      <c r="B41" s="2" t="s">
        <v>2522</v>
      </c>
      <c r="C41" s="1" t="s">
        <v>2523</v>
      </c>
      <c r="D41" s="3" t="s">
        <v>2524</v>
      </c>
      <c r="E41" s="1" t="s">
        <v>66</v>
      </c>
      <c r="F41" s="10" t="s">
        <v>2419</v>
      </c>
      <c r="G41" s="2">
        <v>33</v>
      </c>
      <c r="H41" s="6">
        <v>78</v>
      </c>
      <c r="I41" s="6">
        <v>52</v>
      </c>
      <c r="J41" s="6">
        <v>52</v>
      </c>
      <c r="K41" s="6">
        <v>22</v>
      </c>
      <c r="L41" s="6">
        <v>24</v>
      </c>
      <c r="M41" s="6">
        <v>68</v>
      </c>
      <c r="N41" s="6">
        <v>16</v>
      </c>
      <c r="O41" s="1">
        <f t="shared" si="3"/>
        <v>312</v>
      </c>
      <c r="P41" s="14">
        <f t="shared" si="4"/>
        <v>44.571428571428569</v>
      </c>
      <c r="Q41" s="20">
        <f t="shared" si="5"/>
        <v>35</v>
      </c>
    </row>
    <row r="42" spans="1:17" ht="18" customHeight="1">
      <c r="A42" s="19">
        <v>15</v>
      </c>
      <c r="B42" s="2" t="s">
        <v>2465</v>
      </c>
      <c r="C42" s="1" t="s">
        <v>2466</v>
      </c>
      <c r="D42" s="3" t="s">
        <v>2467</v>
      </c>
      <c r="E42" s="1" t="s">
        <v>58</v>
      </c>
      <c r="F42" s="10" t="s">
        <v>2419</v>
      </c>
      <c r="G42" s="2">
        <v>32</v>
      </c>
      <c r="H42" s="6">
        <v>51</v>
      </c>
      <c r="I42" s="6">
        <v>21</v>
      </c>
      <c r="J42" s="6">
        <v>68</v>
      </c>
      <c r="K42" s="6">
        <v>24</v>
      </c>
      <c r="L42" s="6">
        <v>54</v>
      </c>
      <c r="M42" s="6">
        <v>50</v>
      </c>
      <c r="N42" s="6">
        <v>39</v>
      </c>
      <c r="O42" s="1">
        <f t="shared" si="3"/>
        <v>307</v>
      </c>
      <c r="P42" s="14">
        <f t="shared" si="4"/>
        <v>43.857142857142854</v>
      </c>
      <c r="Q42" s="20">
        <f t="shared" si="5"/>
        <v>36</v>
      </c>
    </row>
    <row r="43" spans="1:17" ht="18" customHeight="1">
      <c r="A43" s="19">
        <v>8</v>
      </c>
      <c r="B43" s="2" t="s">
        <v>2448</v>
      </c>
      <c r="C43" s="1" t="s">
        <v>2449</v>
      </c>
      <c r="D43" s="3" t="s">
        <v>2450</v>
      </c>
      <c r="E43" s="1" t="s">
        <v>56</v>
      </c>
      <c r="F43" s="10" t="s">
        <v>2419</v>
      </c>
      <c r="G43" s="2">
        <v>32</v>
      </c>
      <c r="H43" s="6">
        <v>86</v>
      </c>
      <c r="I43" s="6">
        <v>48</v>
      </c>
      <c r="J43" s="6">
        <v>35</v>
      </c>
      <c r="K43" s="6">
        <v>42</v>
      </c>
      <c r="L43" s="6">
        <v>47</v>
      </c>
      <c r="M43" s="6">
        <v>39</v>
      </c>
      <c r="N43" s="6">
        <v>8</v>
      </c>
      <c r="O43" s="1">
        <f t="shared" si="3"/>
        <v>305</v>
      </c>
      <c r="P43" s="14">
        <f t="shared" si="4"/>
        <v>43.571428571428569</v>
      </c>
      <c r="Q43" s="20">
        <f t="shared" si="5"/>
        <v>37</v>
      </c>
    </row>
    <row r="44" spans="1:17" ht="18" customHeight="1">
      <c r="A44" s="19">
        <v>10</v>
      </c>
      <c r="B44" s="2" t="s">
        <v>2548</v>
      </c>
      <c r="C44" s="1">
        <v>311260314</v>
      </c>
      <c r="D44" s="3" t="s">
        <v>645</v>
      </c>
      <c r="E44" s="1" t="s">
        <v>56</v>
      </c>
      <c r="F44" s="10" t="s">
        <v>2419</v>
      </c>
      <c r="G44" s="2">
        <v>34</v>
      </c>
      <c r="H44" s="6">
        <v>60</v>
      </c>
      <c r="I44" s="6">
        <v>45</v>
      </c>
      <c r="J44" s="6">
        <v>51</v>
      </c>
      <c r="K44" s="6">
        <v>56</v>
      </c>
      <c r="L44" s="6">
        <v>24</v>
      </c>
      <c r="M44" s="6">
        <v>40</v>
      </c>
      <c r="N44" s="6">
        <v>28</v>
      </c>
      <c r="O44" s="1">
        <f t="shared" si="3"/>
        <v>304</v>
      </c>
      <c r="P44" s="14">
        <f t="shared" si="4"/>
        <v>43.428571428571431</v>
      </c>
      <c r="Q44" s="20">
        <f t="shared" si="5"/>
        <v>38</v>
      </c>
    </row>
    <row r="45" spans="1:17" ht="18" customHeight="1">
      <c r="A45" s="19">
        <v>56</v>
      </c>
      <c r="B45" s="2" t="s">
        <v>2545</v>
      </c>
      <c r="C45" s="1" t="s">
        <v>2546</v>
      </c>
      <c r="D45" s="3" t="s">
        <v>2547</v>
      </c>
      <c r="E45" s="1" t="s">
        <v>85</v>
      </c>
      <c r="F45" s="10" t="s">
        <v>2419</v>
      </c>
      <c r="G45" s="2">
        <v>34</v>
      </c>
      <c r="H45" s="6">
        <v>62</v>
      </c>
      <c r="I45" s="6">
        <v>17</v>
      </c>
      <c r="J45" s="6">
        <v>50</v>
      </c>
      <c r="K45" s="6">
        <v>30</v>
      </c>
      <c r="L45" s="6">
        <v>49</v>
      </c>
      <c r="M45" s="6">
        <v>46</v>
      </c>
      <c r="N45" s="6">
        <v>43</v>
      </c>
      <c r="O45" s="1">
        <f t="shared" si="3"/>
        <v>297</v>
      </c>
      <c r="P45" s="14">
        <f t="shared" si="4"/>
        <v>42.428571428571431</v>
      </c>
      <c r="Q45" s="20">
        <f t="shared" si="5"/>
        <v>39</v>
      </c>
    </row>
    <row r="46" spans="1:17" ht="18" customHeight="1">
      <c r="A46" s="19">
        <v>2</v>
      </c>
      <c r="B46" s="2" t="s">
        <v>2431</v>
      </c>
      <c r="C46" s="1" t="s">
        <v>2432</v>
      </c>
      <c r="D46" s="3" t="s">
        <v>2433</v>
      </c>
      <c r="E46" s="1" t="s">
        <v>55</v>
      </c>
      <c r="F46" s="10" t="s">
        <v>2419</v>
      </c>
      <c r="G46" s="2">
        <v>32</v>
      </c>
      <c r="H46" s="6">
        <v>74</v>
      </c>
      <c r="I46" s="6">
        <v>32</v>
      </c>
      <c r="J46" s="6">
        <v>38</v>
      </c>
      <c r="K46" s="6">
        <v>21</v>
      </c>
      <c r="L46" s="6">
        <v>42</v>
      </c>
      <c r="M46" s="6">
        <v>48</v>
      </c>
      <c r="N46" s="6">
        <v>32</v>
      </c>
      <c r="O46" s="1">
        <f t="shared" si="3"/>
        <v>287</v>
      </c>
      <c r="P46" s="14">
        <f t="shared" si="4"/>
        <v>41</v>
      </c>
      <c r="Q46" s="20">
        <f t="shared" si="5"/>
        <v>40</v>
      </c>
    </row>
    <row r="47" spans="1:17" ht="18" customHeight="1">
      <c r="A47" s="19">
        <v>50</v>
      </c>
      <c r="B47" s="2" t="s">
        <v>2531</v>
      </c>
      <c r="C47" s="1" t="s">
        <v>2532</v>
      </c>
      <c r="D47" s="3" t="s">
        <v>2533</v>
      </c>
      <c r="E47" s="1" t="s">
        <v>353</v>
      </c>
      <c r="F47" s="10" t="s">
        <v>2419</v>
      </c>
      <c r="G47" s="2">
        <v>33</v>
      </c>
      <c r="H47" s="6">
        <v>76</v>
      </c>
      <c r="I47" s="6">
        <v>34</v>
      </c>
      <c r="J47" s="6">
        <v>49</v>
      </c>
      <c r="K47" s="6">
        <v>29</v>
      </c>
      <c r="L47" s="6">
        <v>20</v>
      </c>
      <c r="M47" s="6">
        <v>35</v>
      </c>
      <c r="N47" s="6">
        <v>39</v>
      </c>
      <c r="O47" s="1">
        <f t="shared" si="3"/>
        <v>282</v>
      </c>
      <c r="P47" s="14">
        <f t="shared" si="4"/>
        <v>40.285714285714285</v>
      </c>
      <c r="Q47" s="20">
        <f t="shared" si="5"/>
        <v>41</v>
      </c>
    </row>
    <row r="48" spans="1:17" ht="18" customHeight="1">
      <c r="A48" s="19">
        <v>4</v>
      </c>
      <c r="B48" s="2" t="s">
        <v>2437</v>
      </c>
      <c r="C48" s="1" t="s">
        <v>2438</v>
      </c>
      <c r="D48" s="3" t="s">
        <v>2439</v>
      </c>
      <c r="E48" s="1" t="s">
        <v>79</v>
      </c>
      <c r="F48" s="10" t="s">
        <v>2419</v>
      </c>
      <c r="G48" s="2">
        <v>32</v>
      </c>
      <c r="H48" s="6">
        <v>68</v>
      </c>
      <c r="I48" s="6">
        <v>42</v>
      </c>
      <c r="J48" s="6">
        <v>21</v>
      </c>
      <c r="K48" s="6">
        <v>37</v>
      </c>
      <c r="L48" s="6">
        <v>48</v>
      </c>
      <c r="M48" s="6">
        <v>33</v>
      </c>
      <c r="N48" s="6">
        <v>32</v>
      </c>
      <c r="O48" s="1">
        <f t="shared" si="3"/>
        <v>281</v>
      </c>
      <c r="P48" s="14">
        <f t="shared" si="4"/>
        <v>40.142857142857146</v>
      </c>
      <c r="Q48" s="20">
        <f t="shared" si="5"/>
        <v>42</v>
      </c>
    </row>
    <row r="49" spans="1:17" ht="18" customHeight="1">
      <c r="A49" s="19">
        <v>46</v>
      </c>
      <c r="B49" s="2" t="s">
        <v>2427</v>
      </c>
      <c r="C49" s="1">
        <v>311240391</v>
      </c>
      <c r="D49" s="3" t="s">
        <v>1155</v>
      </c>
      <c r="E49" s="1" t="s">
        <v>66</v>
      </c>
      <c r="F49" s="10" t="s">
        <v>2419</v>
      </c>
      <c r="G49" s="2">
        <v>32</v>
      </c>
      <c r="H49" s="6">
        <v>58</v>
      </c>
      <c r="I49" s="6">
        <v>43</v>
      </c>
      <c r="J49" s="6">
        <v>12</v>
      </c>
      <c r="K49" s="6">
        <v>46</v>
      </c>
      <c r="L49" s="6">
        <v>42</v>
      </c>
      <c r="M49" s="6">
        <v>49</v>
      </c>
      <c r="N49" s="6">
        <v>28</v>
      </c>
      <c r="O49" s="1">
        <f t="shared" si="3"/>
        <v>278</v>
      </c>
      <c r="P49" s="14">
        <f t="shared" si="4"/>
        <v>39.714285714285715</v>
      </c>
      <c r="Q49" s="20">
        <f t="shared" si="5"/>
        <v>43</v>
      </c>
    </row>
    <row r="50" spans="1:17" ht="18" customHeight="1">
      <c r="A50" s="19">
        <v>14</v>
      </c>
      <c r="B50" s="2" t="s">
        <v>2462</v>
      </c>
      <c r="C50" s="1" t="s">
        <v>2463</v>
      </c>
      <c r="D50" s="3" t="s">
        <v>2464</v>
      </c>
      <c r="E50" s="1" t="s">
        <v>58</v>
      </c>
      <c r="F50" s="10" t="s">
        <v>2419</v>
      </c>
      <c r="G50" s="2">
        <v>32</v>
      </c>
      <c r="H50" s="6">
        <v>78</v>
      </c>
      <c r="I50" s="6">
        <v>18</v>
      </c>
      <c r="J50" s="6">
        <v>22</v>
      </c>
      <c r="K50" s="6">
        <v>40</v>
      </c>
      <c r="L50" s="6">
        <v>36</v>
      </c>
      <c r="M50" s="6">
        <v>51</v>
      </c>
      <c r="N50" s="6">
        <v>28</v>
      </c>
      <c r="O50" s="1">
        <f t="shared" si="3"/>
        <v>273</v>
      </c>
      <c r="P50" s="14">
        <f t="shared" si="4"/>
        <v>39</v>
      </c>
      <c r="Q50" s="20">
        <f t="shared" si="5"/>
        <v>44</v>
      </c>
    </row>
    <row r="51" spans="1:17" ht="18" customHeight="1">
      <c r="A51" s="19">
        <v>29</v>
      </c>
      <c r="B51" s="2" t="s">
        <v>2487</v>
      </c>
      <c r="C51" s="1" t="s">
        <v>2488</v>
      </c>
      <c r="D51" s="3" t="s">
        <v>1229</v>
      </c>
      <c r="E51" s="1" t="s">
        <v>2489</v>
      </c>
      <c r="F51" s="10" t="s">
        <v>2419</v>
      </c>
      <c r="G51" s="2">
        <v>33</v>
      </c>
      <c r="H51" s="6">
        <v>76</v>
      </c>
      <c r="I51" s="6">
        <v>10</v>
      </c>
      <c r="J51" s="6">
        <v>23</v>
      </c>
      <c r="K51" s="6">
        <v>40</v>
      </c>
      <c r="L51" s="6">
        <v>33</v>
      </c>
      <c r="M51" s="6">
        <v>34</v>
      </c>
      <c r="N51" s="6">
        <v>35</v>
      </c>
      <c r="O51" s="1">
        <f t="shared" si="3"/>
        <v>251</v>
      </c>
      <c r="P51" s="14">
        <f t="shared" si="4"/>
        <v>35.857142857142854</v>
      </c>
      <c r="Q51" s="20">
        <f t="shared" si="5"/>
        <v>45</v>
      </c>
    </row>
    <row r="52" spans="1:17" ht="18" customHeight="1">
      <c r="A52" s="19">
        <v>31</v>
      </c>
      <c r="B52" s="2" t="s">
        <v>2493</v>
      </c>
      <c r="C52" s="1" t="s">
        <v>2494</v>
      </c>
      <c r="D52" s="3" t="s">
        <v>2495</v>
      </c>
      <c r="E52" s="1" t="s">
        <v>84</v>
      </c>
      <c r="F52" s="10" t="s">
        <v>2419</v>
      </c>
      <c r="G52" s="2">
        <v>33</v>
      </c>
      <c r="H52" s="6">
        <v>38</v>
      </c>
      <c r="I52" s="6">
        <v>24</v>
      </c>
      <c r="J52" s="6">
        <v>25</v>
      </c>
      <c r="K52" s="6">
        <v>29</v>
      </c>
      <c r="L52" s="6">
        <v>35</v>
      </c>
      <c r="M52" s="6">
        <v>91</v>
      </c>
      <c r="N52" s="6">
        <v>5</v>
      </c>
      <c r="O52" s="1">
        <f t="shared" si="3"/>
        <v>247</v>
      </c>
      <c r="P52" s="14">
        <f t="shared" si="4"/>
        <v>35.285714285714285</v>
      </c>
      <c r="Q52" s="20">
        <f t="shared" si="5"/>
        <v>46</v>
      </c>
    </row>
    <row r="53" spans="1:17" ht="18" customHeight="1">
      <c r="A53" s="19">
        <v>43</v>
      </c>
      <c r="B53" s="2" t="s">
        <v>2560</v>
      </c>
      <c r="C53" s="1">
        <v>311260440</v>
      </c>
      <c r="D53" s="3" t="s">
        <v>2561</v>
      </c>
      <c r="E53" s="1" t="s">
        <v>65</v>
      </c>
      <c r="F53" s="10" t="s">
        <v>2419</v>
      </c>
      <c r="G53" s="2">
        <v>34</v>
      </c>
      <c r="H53" s="6">
        <v>36</v>
      </c>
      <c r="I53" s="6">
        <v>42</v>
      </c>
      <c r="J53" s="6">
        <v>52</v>
      </c>
      <c r="K53" s="6">
        <v>22</v>
      </c>
      <c r="L53" s="6">
        <v>25</v>
      </c>
      <c r="M53" s="6">
        <v>41</v>
      </c>
      <c r="N53" s="6">
        <v>8</v>
      </c>
      <c r="O53" s="1">
        <f t="shared" si="3"/>
        <v>226</v>
      </c>
      <c r="P53" s="14">
        <f t="shared" si="4"/>
        <v>32.285714285714285</v>
      </c>
      <c r="Q53" s="20">
        <f t="shared" si="5"/>
        <v>47</v>
      </c>
    </row>
    <row r="54" spans="1:17" ht="18" customHeight="1">
      <c r="A54" s="19">
        <v>5</v>
      </c>
      <c r="B54" s="2" t="s">
        <v>2440</v>
      </c>
      <c r="C54" s="1" t="s">
        <v>2441</v>
      </c>
      <c r="D54" s="3" t="s">
        <v>443</v>
      </c>
      <c r="E54" s="1" t="s">
        <v>79</v>
      </c>
      <c r="F54" s="10" t="s">
        <v>2419</v>
      </c>
      <c r="G54" s="2">
        <v>32</v>
      </c>
      <c r="H54" s="6">
        <v>54</v>
      </c>
      <c r="I54" s="6">
        <v>40</v>
      </c>
      <c r="J54" s="6">
        <v>37</v>
      </c>
      <c r="K54" s="6">
        <v>22</v>
      </c>
      <c r="L54" s="6">
        <v>39</v>
      </c>
      <c r="M54" s="6">
        <v>22</v>
      </c>
      <c r="N54" s="6">
        <v>8</v>
      </c>
      <c r="O54" s="1">
        <f t="shared" si="3"/>
        <v>222</v>
      </c>
      <c r="P54" s="14">
        <f t="shared" si="4"/>
        <v>31.714285714285715</v>
      </c>
      <c r="Q54" s="20">
        <f t="shared" si="5"/>
        <v>48</v>
      </c>
    </row>
    <row r="55" spans="1:17" ht="18" customHeight="1">
      <c r="A55" s="19">
        <v>21</v>
      </c>
      <c r="B55" s="2" t="s">
        <v>2473</v>
      </c>
      <c r="C55" s="1" t="s">
        <v>2474</v>
      </c>
      <c r="D55" s="3" t="s">
        <v>2475</v>
      </c>
      <c r="E55" s="1" t="s">
        <v>62</v>
      </c>
      <c r="F55" s="10" t="s">
        <v>2419</v>
      </c>
      <c r="G55" s="2">
        <v>32</v>
      </c>
      <c r="H55" s="6">
        <v>52</v>
      </c>
      <c r="I55" s="6">
        <v>36</v>
      </c>
      <c r="J55" s="6">
        <v>46</v>
      </c>
      <c r="K55" s="6">
        <v>17</v>
      </c>
      <c r="L55" s="6">
        <v>47</v>
      </c>
      <c r="M55" s="6">
        <v>10</v>
      </c>
      <c r="N55" s="6">
        <v>13</v>
      </c>
      <c r="O55" s="1">
        <f t="shared" si="3"/>
        <v>221</v>
      </c>
      <c r="P55" s="14">
        <f t="shared" si="4"/>
        <v>31.571428571428573</v>
      </c>
      <c r="Q55" s="20">
        <f t="shared" si="5"/>
        <v>49</v>
      </c>
    </row>
    <row r="56" spans="1:17" ht="18" customHeight="1">
      <c r="A56" s="19">
        <v>16</v>
      </c>
      <c r="B56" s="2" t="s">
        <v>2551</v>
      </c>
      <c r="C56" s="1">
        <v>311260435</v>
      </c>
      <c r="D56" s="3" t="s">
        <v>2552</v>
      </c>
      <c r="E56" s="1" t="s">
        <v>59</v>
      </c>
      <c r="F56" s="10" t="s">
        <v>2419</v>
      </c>
      <c r="G56" s="2">
        <v>34</v>
      </c>
      <c r="H56" s="6">
        <v>43</v>
      </c>
      <c r="I56" s="6">
        <v>14</v>
      </c>
      <c r="J56" s="6">
        <v>26</v>
      </c>
      <c r="K56" s="6">
        <v>28</v>
      </c>
      <c r="L56" s="6">
        <v>16</v>
      </c>
      <c r="M56" s="6">
        <v>46</v>
      </c>
      <c r="N56" s="6">
        <v>47</v>
      </c>
      <c r="O56" s="1">
        <f t="shared" si="3"/>
        <v>220</v>
      </c>
      <c r="P56" s="14">
        <f t="shared" si="4"/>
        <v>31.428571428571427</v>
      </c>
      <c r="Q56" s="20">
        <f t="shared" si="5"/>
        <v>50</v>
      </c>
    </row>
    <row r="57" spans="1:17" ht="18" customHeight="1">
      <c r="A57" s="19">
        <v>20</v>
      </c>
      <c r="B57" s="2" t="s">
        <v>2416</v>
      </c>
      <c r="C57" s="1" t="s">
        <v>2417</v>
      </c>
      <c r="D57" s="3" t="s">
        <v>2418</v>
      </c>
      <c r="E57" s="1" t="s">
        <v>62</v>
      </c>
      <c r="F57" s="10" t="s">
        <v>2419</v>
      </c>
      <c r="G57" s="2">
        <v>32</v>
      </c>
      <c r="H57" s="6">
        <v>61</v>
      </c>
      <c r="I57" s="6">
        <v>18</v>
      </c>
      <c r="J57" s="6">
        <v>21</v>
      </c>
      <c r="K57" s="6">
        <v>34</v>
      </c>
      <c r="L57" s="6">
        <v>31</v>
      </c>
      <c r="M57" s="6">
        <v>41</v>
      </c>
      <c r="N57" s="6">
        <v>5</v>
      </c>
      <c r="O57" s="1">
        <f t="shared" si="3"/>
        <v>211</v>
      </c>
      <c r="P57" s="14">
        <f t="shared" si="4"/>
        <v>30.142857142857142</v>
      </c>
      <c r="Q57" s="20">
        <f t="shared" si="5"/>
        <v>51</v>
      </c>
    </row>
    <row r="58" spans="1:17" ht="18" customHeight="1">
      <c r="A58" s="19">
        <v>22</v>
      </c>
      <c r="B58" s="2" t="s">
        <v>2476</v>
      </c>
      <c r="C58" s="1" t="s">
        <v>2477</v>
      </c>
      <c r="D58" s="3" t="s">
        <v>2478</v>
      </c>
      <c r="E58" s="1" t="s">
        <v>62</v>
      </c>
      <c r="F58" s="10" t="s">
        <v>2419</v>
      </c>
      <c r="G58" s="2">
        <v>33</v>
      </c>
      <c r="H58" s="6">
        <v>54</v>
      </c>
      <c r="I58" s="6">
        <v>36</v>
      </c>
      <c r="J58" s="6">
        <v>0</v>
      </c>
      <c r="K58" s="6">
        <v>39</v>
      </c>
      <c r="L58" s="6">
        <v>38</v>
      </c>
      <c r="M58" s="6">
        <v>21</v>
      </c>
      <c r="N58" s="6">
        <v>20</v>
      </c>
      <c r="O58" s="1">
        <f t="shared" si="3"/>
        <v>208</v>
      </c>
      <c r="P58" s="14">
        <f t="shared" si="4"/>
        <v>29.714285714285715</v>
      </c>
      <c r="Q58" s="20">
        <f t="shared" si="5"/>
        <v>52</v>
      </c>
    </row>
    <row r="59" spans="1:17" ht="18" customHeight="1">
      <c r="A59" s="19">
        <v>39</v>
      </c>
      <c r="B59" s="2" t="s">
        <v>2505</v>
      </c>
      <c r="C59" s="1">
        <v>311230101</v>
      </c>
      <c r="D59" s="3" t="s">
        <v>2506</v>
      </c>
      <c r="E59" s="1" t="s">
        <v>78</v>
      </c>
      <c r="F59" s="10" t="s">
        <v>2419</v>
      </c>
      <c r="G59" s="2">
        <v>33</v>
      </c>
      <c r="H59" s="6">
        <v>42</v>
      </c>
      <c r="I59" s="6">
        <v>18</v>
      </c>
      <c r="J59" s="6">
        <v>19</v>
      </c>
      <c r="K59" s="6">
        <v>32</v>
      </c>
      <c r="L59" s="6">
        <v>16</v>
      </c>
      <c r="M59" s="6">
        <v>47</v>
      </c>
      <c r="N59" s="6">
        <v>20</v>
      </c>
      <c r="O59" s="1">
        <f t="shared" si="3"/>
        <v>194</v>
      </c>
      <c r="P59" s="14">
        <f t="shared" si="4"/>
        <v>27.714285714285715</v>
      </c>
      <c r="Q59" s="20">
        <f t="shared" si="5"/>
        <v>53</v>
      </c>
    </row>
    <row r="60" spans="1:17" ht="18" customHeight="1">
      <c r="A60" s="19">
        <v>12</v>
      </c>
      <c r="B60" s="2" t="s">
        <v>2457</v>
      </c>
      <c r="C60" s="1" t="s">
        <v>2458</v>
      </c>
      <c r="D60" s="3" t="s">
        <v>2459</v>
      </c>
      <c r="E60" s="1" t="s">
        <v>71</v>
      </c>
      <c r="F60" s="10" t="s">
        <v>2419</v>
      </c>
      <c r="G60" s="2">
        <v>32</v>
      </c>
      <c r="H60" s="6">
        <v>42</v>
      </c>
      <c r="I60" s="6">
        <v>8</v>
      </c>
      <c r="J60" s="6">
        <v>50</v>
      </c>
      <c r="K60" s="6">
        <v>42</v>
      </c>
      <c r="L60" s="6">
        <v>4</v>
      </c>
      <c r="M60" s="6">
        <v>28</v>
      </c>
      <c r="N60" s="6">
        <v>1</v>
      </c>
      <c r="O60" s="1">
        <f t="shared" si="3"/>
        <v>175</v>
      </c>
      <c r="P60" s="14">
        <f t="shared" si="4"/>
        <v>25</v>
      </c>
      <c r="Q60" s="20">
        <f t="shared" si="5"/>
        <v>54</v>
      </c>
    </row>
    <row r="61" spans="1:17" ht="18" customHeight="1">
      <c r="A61" s="19">
        <v>35</v>
      </c>
      <c r="B61" s="2" t="s">
        <v>2559</v>
      </c>
      <c r="C61" s="1">
        <v>311260439</v>
      </c>
      <c r="D61" s="3" t="s">
        <v>91</v>
      </c>
      <c r="E61" s="1" t="s">
        <v>74</v>
      </c>
      <c r="F61" s="10" t="s">
        <v>2419</v>
      </c>
      <c r="G61" s="2">
        <v>34</v>
      </c>
      <c r="H61" s="6"/>
      <c r="I61" s="6"/>
      <c r="J61" s="6"/>
      <c r="K61" s="6"/>
      <c r="L61" s="6"/>
      <c r="M61" s="6"/>
      <c r="N61" s="6"/>
      <c r="O61" s="1">
        <f t="shared" si="3"/>
        <v>0</v>
      </c>
      <c r="P61" s="14">
        <f t="shared" si="4"/>
        <v>0</v>
      </c>
      <c r="Q61" s="20">
        <f t="shared" si="5"/>
        <v>55</v>
      </c>
    </row>
    <row r="62" spans="1:17" ht="18" customHeight="1">
      <c r="A62" s="27">
        <v>42</v>
      </c>
      <c r="B62" s="28" t="s">
        <v>2513</v>
      </c>
      <c r="C62" s="29" t="s">
        <v>2514</v>
      </c>
      <c r="D62" s="30" t="s">
        <v>2515</v>
      </c>
      <c r="E62" s="29" t="s">
        <v>88</v>
      </c>
      <c r="F62" s="31" t="s">
        <v>2419</v>
      </c>
      <c r="G62" s="28">
        <v>33</v>
      </c>
      <c r="H62" s="46"/>
      <c r="I62" s="46"/>
      <c r="J62" s="46"/>
      <c r="K62" s="46"/>
      <c r="L62" s="46"/>
      <c r="M62" s="46"/>
      <c r="N62" s="46"/>
      <c r="O62" s="29">
        <f t="shared" si="3"/>
        <v>0</v>
      </c>
      <c r="P62" s="41">
        <f t="shared" si="4"/>
        <v>0</v>
      </c>
      <c r="Q62" s="33">
        <f t="shared" si="5"/>
        <v>55</v>
      </c>
    </row>
  </sheetData>
  <mergeCells count="4">
    <mergeCell ref="A1:P1"/>
    <mergeCell ref="A2:P2"/>
    <mergeCell ref="A3:P3"/>
    <mergeCell ref="A5:B5"/>
  </mergeCells>
  <conditionalFormatting sqref="H7:N7">
    <cfRule type="expression" dxfId="5741" priority="223">
      <formula>5</formula>
    </cfRule>
    <cfRule type="cellIs" dxfId="5740" priority="224" operator="lessThan">
      <formula>5</formula>
    </cfRule>
  </conditionalFormatting>
  <conditionalFormatting sqref="H7:N7">
    <cfRule type="cellIs" dxfId="5739" priority="222" operator="lessThan">
      <formula>50</formula>
    </cfRule>
  </conditionalFormatting>
  <conditionalFormatting sqref="P7">
    <cfRule type="cellIs" dxfId="5738" priority="221" operator="lessThan">
      <formula>50</formula>
    </cfRule>
  </conditionalFormatting>
  <conditionalFormatting sqref="H8:N8">
    <cfRule type="expression" dxfId="5737" priority="219">
      <formula>5</formula>
    </cfRule>
    <cfRule type="cellIs" dxfId="5736" priority="220" operator="lessThan">
      <formula>5</formula>
    </cfRule>
  </conditionalFormatting>
  <conditionalFormatting sqref="H8:N8">
    <cfRule type="cellIs" dxfId="5735" priority="218" operator="lessThan">
      <formula>50</formula>
    </cfRule>
  </conditionalFormatting>
  <conditionalFormatting sqref="P8">
    <cfRule type="cellIs" dxfId="5734" priority="217" operator="lessThan">
      <formula>50</formula>
    </cfRule>
  </conditionalFormatting>
  <conditionalFormatting sqref="H9:N9">
    <cfRule type="expression" dxfId="5733" priority="215">
      <formula>5</formula>
    </cfRule>
    <cfRule type="cellIs" dxfId="5732" priority="216" operator="lessThan">
      <formula>5</formula>
    </cfRule>
  </conditionalFormatting>
  <conditionalFormatting sqref="H9:N9">
    <cfRule type="cellIs" dxfId="5731" priority="214" operator="lessThan">
      <formula>50</formula>
    </cfRule>
  </conditionalFormatting>
  <conditionalFormatting sqref="P9">
    <cfRule type="cellIs" dxfId="5730" priority="213" operator="lessThan">
      <formula>50</formula>
    </cfRule>
  </conditionalFormatting>
  <conditionalFormatting sqref="H10:N10">
    <cfRule type="expression" dxfId="5729" priority="211">
      <formula>5</formula>
    </cfRule>
    <cfRule type="cellIs" dxfId="5728" priority="212" operator="lessThan">
      <formula>5</formula>
    </cfRule>
  </conditionalFormatting>
  <conditionalFormatting sqref="H10:N10">
    <cfRule type="cellIs" dxfId="5727" priority="210" operator="lessThan">
      <formula>50</formula>
    </cfRule>
  </conditionalFormatting>
  <conditionalFormatting sqref="P10">
    <cfRule type="cellIs" dxfId="5726" priority="209" operator="lessThan">
      <formula>50</formula>
    </cfRule>
  </conditionalFormatting>
  <conditionalFormatting sqref="H11:N11">
    <cfRule type="expression" dxfId="5725" priority="207">
      <formula>5</formula>
    </cfRule>
    <cfRule type="cellIs" dxfId="5724" priority="208" operator="lessThan">
      <formula>5</formula>
    </cfRule>
  </conditionalFormatting>
  <conditionalFormatting sqref="H11:N11">
    <cfRule type="cellIs" dxfId="5723" priority="206" operator="lessThan">
      <formula>50</formula>
    </cfRule>
  </conditionalFormatting>
  <conditionalFormatting sqref="P11">
    <cfRule type="cellIs" dxfId="5722" priority="205" operator="lessThan">
      <formula>50</formula>
    </cfRule>
  </conditionalFormatting>
  <conditionalFormatting sqref="H12:N12">
    <cfRule type="expression" dxfId="5721" priority="203">
      <formula>5</formula>
    </cfRule>
    <cfRule type="cellIs" dxfId="5720" priority="204" operator="lessThan">
      <formula>5</formula>
    </cfRule>
  </conditionalFormatting>
  <conditionalFormatting sqref="H12:N12">
    <cfRule type="cellIs" dxfId="5719" priority="202" operator="lessThan">
      <formula>50</formula>
    </cfRule>
  </conditionalFormatting>
  <conditionalFormatting sqref="P12">
    <cfRule type="cellIs" dxfId="5718" priority="201" operator="lessThan">
      <formula>50</formula>
    </cfRule>
  </conditionalFormatting>
  <conditionalFormatting sqref="H13:N13">
    <cfRule type="expression" dxfId="5717" priority="199">
      <formula>5</formula>
    </cfRule>
    <cfRule type="cellIs" dxfId="5716" priority="200" operator="lessThan">
      <formula>5</formula>
    </cfRule>
  </conditionalFormatting>
  <conditionalFormatting sqref="H13:N13">
    <cfRule type="cellIs" dxfId="5715" priority="198" operator="lessThan">
      <formula>50</formula>
    </cfRule>
  </conditionalFormatting>
  <conditionalFormatting sqref="P13">
    <cfRule type="cellIs" dxfId="5714" priority="197" operator="lessThan">
      <formula>50</formula>
    </cfRule>
  </conditionalFormatting>
  <conditionalFormatting sqref="H14:N14">
    <cfRule type="expression" dxfId="5713" priority="195">
      <formula>5</formula>
    </cfRule>
    <cfRule type="cellIs" dxfId="5712" priority="196" operator="lessThan">
      <formula>5</formula>
    </cfRule>
  </conditionalFormatting>
  <conditionalFormatting sqref="H14:N14">
    <cfRule type="cellIs" dxfId="5711" priority="194" operator="lessThan">
      <formula>50</formula>
    </cfRule>
  </conditionalFormatting>
  <conditionalFormatting sqref="P14">
    <cfRule type="cellIs" dxfId="5710" priority="193" operator="lessThan">
      <formula>50</formula>
    </cfRule>
  </conditionalFormatting>
  <conditionalFormatting sqref="H15:N15">
    <cfRule type="expression" dxfId="5709" priority="191">
      <formula>5</formula>
    </cfRule>
    <cfRule type="cellIs" dxfId="5708" priority="192" operator="lessThan">
      <formula>5</formula>
    </cfRule>
  </conditionalFormatting>
  <conditionalFormatting sqref="H15:N15">
    <cfRule type="cellIs" dxfId="5707" priority="190" operator="lessThan">
      <formula>50</formula>
    </cfRule>
  </conditionalFormatting>
  <conditionalFormatting sqref="P15">
    <cfRule type="cellIs" dxfId="5706" priority="189" operator="lessThan">
      <formula>50</formula>
    </cfRule>
  </conditionalFormatting>
  <conditionalFormatting sqref="H16:N16">
    <cfRule type="expression" dxfId="5705" priority="187">
      <formula>5</formula>
    </cfRule>
    <cfRule type="cellIs" dxfId="5704" priority="188" operator="lessThan">
      <formula>5</formula>
    </cfRule>
  </conditionalFormatting>
  <conditionalFormatting sqref="H16:N16">
    <cfRule type="cellIs" dxfId="5703" priority="186" operator="lessThan">
      <formula>50</formula>
    </cfRule>
  </conditionalFormatting>
  <conditionalFormatting sqref="P16">
    <cfRule type="cellIs" dxfId="5702" priority="185" operator="lessThan">
      <formula>50</formula>
    </cfRule>
  </conditionalFormatting>
  <conditionalFormatting sqref="H17:N17">
    <cfRule type="expression" dxfId="5701" priority="183">
      <formula>5</formula>
    </cfRule>
    <cfRule type="cellIs" dxfId="5700" priority="184" operator="lessThan">
      <formula>5</formula>
    </cfRule>
  </conditionalFormatting>
  <conditionalFormatting sqref="H17:N17">
    <cfRule type="cellIs" dxfId="5699" priority="182" operator="lessThan">
      <formula>50</formula>
    </cfRule>
  </conditionalFormatting>
  <conditionalFormatting sqref="P17">
    <cfRule type="cellIs" dxfId="5698" priority="181" operator="lessThan">
      <formula>50</formula>
    </cfRule>
  </conditionalFormatting>
  <conditionalFormatting sqref="H18:N18">
    <cfRule type="expression" dxfId="5697" priority="179">
      <formula>5</formula>
    </cfRule>
    <cfRule type="cellIs" dxfId="5696" priority="180" operator="lessThan">
      <formula>5</formula>
    </cfRule>
  </conditionalFormatting>
  <conditionalFormatting sqref="H18:N18">
    <cfRule type="cellIs" dxfId="5695" priority="178" operator="lessThan">
      <formula>50</formula>
    </cfRule>
  </conditionalFormatting>
  <conditionalFormatting sqref="P18">
    <cfRule type="cellIs" dxfId="5694" priority="177" operator="lessThan">
      <formula>50</formula>
    </cfRule>
  </conditionalFormatting>
  <conditionalFormatting sqref="H19:N19">
    <cfRule type="expression" dxfId="5693" priority="175">
      <formula>5</formula>
    </cfRule>
    <cfRule type="cellIs" dxfId="5692" priority="176" operator="lessThan">
      <formula>5</formula>
    </cfRule>
  </conditionalFormatting>
  <conditionalFormatting sqref="H19:N19">
    <cfRule type="cellIs" dxfId="5691" priority="174" operator="lessThan">
      <formula>50</formula>
    </cfRule>
  </conditionalFormatting>
  <conditionalFormatting sqref="P19">
    <cfRule type="cellIs" dxfId="5690" priority="173" operator="lessThan">
      <formula>50</formula>
    </cfRule>
  </conditionalFormatting>
  <conditionalFormatting sqref="H20:N20">
    <cfRule type="expression" dxfId="5689" priority="171">
      <formula>5</formula>
    </cfRule>
    <cfRule type="cellIs" dxfId="5688" priority="172" operator="lessThan">
      <formula>5</formula>
    </cfRule>
  </conditionalFormatting>
  <conditionalFormatting sqref="H20:N20">
    <cfRule type="cellIs" dxfId="5687" priority="170" operator="lessThan">
      <formula>50</formula>
    </cfRule>
  </conditionalFormatting>
  <conditionalFormatting sqref="P20">
    <cfRule type="cellIs" dxfId="5686" priority="169" operator="lessThan">
      <formula>50</formula>
    </cfRule>
  </conditionalFormatting>
  <conditionalFormatting sqref="H21:N21">
    <cfRule type="expression" dxfId="5685" priority="167">
      <formula>5</formula>
    </cfRule>
    <cfRule type="cellIs" dxfId="5684" priority="168" operator="lessThan">
      <formula>5</formula>
    </cfRule>
  </conditionalFormatting>
  <conditionalFormatting sqref="H21:N21">
    <cfRule type="cellIs" dxfId="5683" priority="166" operator="lessThan">
      <formula>50</formula>
    </cfRule>
  </conditionalFormatting>
  <conditionalFormatting sqref="P21">
    <cfRule type="cellIs" dxfId="5682" priority="165" operator="lessThan">
      <formula>50</formula>
    </cfRule>
  </conditionalFormatting>
  <conditionalFormatting sqref="H22:N22">
    <cfRule type="expression" dxfId="5681" priority="163">
      <formula>5</formula>
    </cfRule>
    <cfRule type="cellIs" dxfId="5680" priority="164" operator="lessThan">
      <formula>5</formula>
    </cfRule>
  </conditionalFormatting>
  <conditionalFormatting sqref="H22:N22">
    <cfRule type="cellIs" dxfId="5679" priority="162" operator="lessThan">
      <formula>50</formula>
    </cfRule>
  </conditionalFormatting>
  <conditionalFormatting sqref="P22">
    <cfRule type="cellIs" dxfId="5678" priority="161" operator="lessThan">
      <formula>50</formula>
    </cfRule>
  </conditionalFormatting>
  <conditionalFormatting sqref="H23:N23">
    <cfRule type="expression" dxfId="5677" priority="159">
      <formula>5</formula>
    </cfRule>
    <cfRule type="cellIs" dxfId="5676" priority="160" operator="lessThan">
      <formula>5</formula>
    </cfRule>
  </conditionalFormatting>
  <conditionalFormatting sqref="H23:N23">
    <cfRule type="cellIs" dxfId="5675" priority="158" operator="lessThan">
      <formula>50</formula>
    </cfRule>
  </conditionalFormatting>
  <conditionalFormatting sqref="P23">
    <cfRule type="cellIs" dxfId="5674" priority="157" operator="lessThan">
      <formula>50</formula>
    </cfRule>
  </conditionalFormatting>
  <conditionalFormatting sqref="H24:N24">
    <cfRule type="expression" dxfId="5673" priority="155">
      <formula>5</formula>
    </cfRule>
    <cfRule type="cellIs" dxfId="5672" priority="156" operator="lessThan">
      <formula>5</formula>
    </cfRule>
  </conditionalFormatting>
  <conditionalFormatting sqref="H24:N24">
    <cfRule type="cellIs" dxfId="5671" priority="154" operator="lessThan">
      <formula>50</formula>
    </cfRule>
  </conditionalFormatting>
  <conditionalFormatting sqref="P24">
    <cfRule type="cellIs" dxfId="5670" priority="153" operator="lessThan">
      <formula>50</formula>
    </cfRule>
  </conditionalFormatting>
  <conditionalFormatting sqref="H25:N25">
    <cfRule type="expression" dxfId="5669" priority="151">
      <formula>5</formula>
    </cfRule>
    <cfRule type="cellIs" dxfId="5668" priority="152" operator="lessThan">
      <formula>5</formula>
    </cfRule>
  </conditionalFormatting>
  <conditionalFormatting sqref="H25:N25">
    <cfRule type="cellIs" dxfId="5667" priority="150" operator="lessThan">
      <formula>50</formula>
    </cfRule>
  </conditionalFormatting>
  <conditionalFormatting sqref="P25">
    <cfRule type="cellIs" dxfId="5666" priority="149" operator="lessThan">
      <formula>50</formula>
    </cfRule>
  </conditionalFormatting>
  <conditionalFormatting sqref="H26:N26">
    <cfRule type="expression" dxfId="5665" priority="147">
      <formula>5</formula>
    </cfRule>
    <cfRule type="cellIs" dxfId="5664" priority="148" operator="lessThan">
      <formula>5</formula>
    </cfRule>
  </conditionalFormatting>
  <conditionalFormatting sqref="H26:N26">
    <cfRule type="cellIs" dxfId="5663" priority="146" operator="lessThan">
      <formula>50</formula>
    </cfRule>
  </conditionalFormatting>
  <conditionalFormatting sqref="P26">
    <cfRule type="cellIs" dxfId="5662" priority="145" operator="lessThan">
      <formula>50</formula>
    </cfRule>
  </conditionalFormatting>
  <conditionalFormatting sqref="H27:N27">
    <cfRule type="expression" dxfId="5661" priority="143">
      <formula>5</formula>
    </cfRule>
    <cfRule type="cellIs" dxfId="5660" priority="144" operator="lessThan">
      <formula>5</formula>
    </cfRule>
  </conditionalFormatting>
  <conditionalFormatting sqref="H27:N27">
    <cfRule type="cellIs" dxfId="5659" priority="142" operator="lessThan">
      <formula>50</formula>
    </cfRule>
  </conditionalFormatting>
  <conditionalFormatting sqref="P27">
    <cfRule type="cellIs" dxfId="5658" priority="141" operator="lessThan">
      <formula>50</formula>
    </cfRule>
  </conditionalFormatting>
  <conditionalFormatting sqref="H28:N28">
    <cfRule type="expression" dxfId="5657" priority="139">
      <formula>5</formula>
    </cfRule>
    <cfRule type="cellIs" dxfId="5656" priority="140" operator="lessThan">
      <formula>5</formula>
    </cfRule>
  </conditionalFormatting>
  <conditionalFormatting sqref="H28:N28">
    <cfRule type="cellIs" dxfId="5655" priority="138" operator="lessThan">
      <formula>50</formula>
    </cfRule>
  </conditionalFormatting>
  <conditionalFormatting sqref="P28">
    <cfRule type="cellIs" dxfId="5654" priority="137" operator="lessThan">
      <formula>50</formula>
    </cfRule>
  </conditionalFormatting>
  <conditionalFormatting sqref="H29:N29">
    <cfRule type="expression" dxfId="5653" priority="135">
      <formula>5</formula>
    </cfRule>
    <cfRule type="cellIs" dxfId="5652" priority="136" operator="lessThan">
      <formula>5</formula>
    </cfRule>
  </conditionalFormatting>
  <conditionalFormatting sqref="H29:N29">
    <cfRule type="cellIs" dxfId="5651" priority="134" operator="lessThan">
      <formula>50</formula>
    </cfRule>
  </conditionalFormatting>
  <conditionalFormatting sqref="P29">
    <cfRule type="cellIs" dxfId="5650" priority="133" operator="lessThan">
      <formula>50</formula>
    </cfRule>
  </conditionalFormatting>
  <conditionalFormatting sqref="H30:N30">
    <cfRule type="expression" dxfId="5649" priority="131">
      <formula>5</formula>
    </cfRule>
    <cfRule type="cellIs" dxfId="5648" priority="132" operator="lessThan">
      <formula>5</formula>
    </cfRule>
  </conditionalFormatting>
  <conditionalFormatting sqref="H30:N30">
    <cfRule type="cellIs" dxfId="5647" priority="130" operator="lessThan">
      <formula>50</formula>
    </cfRule>
  </conditionalFormatting>
  <conditionalFormatting sqref="P30">
    <cfRule type="cellIs" dxfId="5646" priority="129" operator="lessThan">
      <formula>50</formula>
    </cfRule>
  </conditionalFormatting>
  <conditionalFormatting sqref="H31:N31">
    <cfRule type="expression" dxfId="5645" priority="127">
      <formula>5</formula>
    </cfRule>
    <cfRule type="cellIs" dxfId="5644" priority="128" operator="lessThan">
      <formula>5</formula>
    </cfRule>
  </conditionalFormatting>
  <conditionalFormatting sqref="H31:N31">
    <cfRule type="cellIs" dxfId="5643" priority="126" operator="lessThan">
      <formula>50</formula>
    </cfRule>
  </conditionalFormatting>
  <conditionalFormatting sqref="P31">
    <cfRule type="cellIs" dxfId="5642" priority="125" operator="lessThan">
      <formula>50</formula>
    </cfRule>
  </conditionalFormatting>
  <conditionalFormatting sqref="H32:N32">
    <cfRule type="expression" dxfId="5641" priority="123">
      <formula>5</formula>
    </cfRule>
    <cfRule type="cellIs" dxfId="5640" priority="124" operator="lessThan">
      <formula>5</formula>
    </cfRule>
  </conditionalFormatting>
  <conditionalFormatting sqref="H32:N32">
    <cfRule type="cellIs" dxfId="5639" priority="122" operator="lessThan">
      <formula>50</formula>
    </cfRule>
  </conditionalFormatting>
  <conditionalFormatting sqref="P32">
    <cfRule type="cellIs" dxfId="5638" priority="121" operator="lessThan">
      <formula>50</formula>
    </cfRule>
  </conditionalFormatting>
  <conditionalFormatting sqref="H33:N33">
    <cfRule type="expression" dxfId="5637" priority="119">
      <formula>5</formula>
    </cfRule>
    <cfRule type="cellIs" dxfId="5636" priority="120" operator="lessThan">
      <formula>5</formula>
    </cfRule>
  </conditionalFormatting>
  <conditionalFormatting sqref="H33:N33">
    <cfRule type="cellIs" dxfId="5635" priority="118" operator="lessThan">
      <formula>50</formula>
    </cfRule>
  </conditionalFormatting>
  <conditionalFormatting sqref="P33">
    <cfRule type="cellIs" dxfId="5634" priority="117" operator="lessThan">
      <formula>50</formula>
    </cfRule>
  </conditionalFormatting>
  <conditionalFormatting sqref="H34:N34">
    <cfRule type="expression" dxfId="5633" priority="115">
      <formula>5</formula>
    </cfRule>
    <cfRule type="cellIs" dxfId="5632" priority="116" operator="lessThan">
      <formula>5</formula>
    </cfRule>
  </conditionalFormatting>
  <conditionalFormatting sqref="H34:N34">
    <cfRule type="cellIs" dxfId="5631" priority="114" operator="lessThan">
      <formula>50</formula>
    </cfRule>
  </conditionalFormatting>
  <conditionalFormatting sqref="P34">
    <cfRule type="cellIs" dxfId="5630" priority="113" operator="lessThan">
      <formula>50</formula>
    </cfRule>
  </conditionalFormatting>
  <conditionalFormatting sqref="H35:N35">
    <cfRule type="expression" dxfId="5629" priority="111">
      <formula>5</formula>
    </cfRule>
    <cfRule type="cellIs" dxfId="5628" priority="112" operator="lessThan">
      <formula>5</formula>
    </cfRule>
  </conditionalFormatting>
  <conditionalFormatting sqref="H35:N35">
    <cfRule type="cellIs" dxfId="5627" priority="110" operator="lessThan">
      <formula>50</formula>
    </cfRule>
  </conditionalFormatting>
  <conditionalFormatting sqref="P35">
    <cfRule type="cellIs" dxfId="5626" priority="109" operator="lessThan">
      <formula>50</formula>
    </cfRule>
  </conditionalFormatting>
  <conditionalFormatting sqref="H36:N36">
    <cfRule type="expression" dxfId="5625" priority="107">
      <formula>5</formula>
    </cfRule>
    <cfRule type="cellIs" dxfId="5624" priority="108" operator="lessThan">
      <formula>5</formula>
    </cfRule>
  </conditionalFormatting>
  <conditionalFormatting sqref="H36:N36">
    <cfRule type="cellIs" dxfId="5623" priority="106" operator="lessThan">
      <formula>50</formula>
    </cfRule>
  </conditionalFormatting>
  <conditionalFormatting sqref="P36">
    <cfRule type="cellIs" dxfId="5622" priority="105" operator="lessThan">
      <formula>50</formula>
    </cfRule>
  </conditionalFormatting>
  <conditionalFormatting sqref="H37:N37">
    <cfRule type="expression" dxfId="5621" priority="103">
      <formula>5</formula>
    </cfRule>
    <cfRule type="cellIs" dxfId="5620" priority="104" operator="lessThan">
      <formula>5</formula>
    </cfRule>
  </conditionalFormatting>
  <conditionalFormatting sqref="H37:N37">
    <cfRule type="cellIs" dxfId="5619" priority="102" operator="lessThan">
      <formula>50</formula>
    </cfRule>
  </conditionalFormatting>
  <conditionalFormatting sqref="P37">
    <cfRule type="cellIs" dxfId="5618" priority="101" operator="lessThan">
      <formula>50</formula>
    </cfRule>
  </conditionalFormatting>
  <conditionalFormatting sqref="H38:N38">
    <cfRule type="expression" dxfId="5617" priority="99">
      <formula>5</formula>
    </cfRule>
    <cfRule type="cellIs" dxfId="5616" priority="100" operator="lessThan">
      <formula>5</formula>
    </cfRule>
  </conditionalFormatting>
  <conditionalFormatting sqref="H38:N38">
    <cfRule type="cellIs" dxfId="5615" priority="98" operator="lessThan">
      <formula>50</formula>
    </cfRule>
  </conditionalFormatting>
  <conditionalFormatting sqref="P38">
    <cfRule type="cellIs" dxfId="5614" priority="97" operator="lessThan">
      <formula>50</formula>
    </cfRule>
  </conditionalFormatting>
  <conditionalFormatting sqref="H39:N39">
    <cfRule type="expression" dxfId="5613" priority="95">
      <formula>5</formula>
    </cfRule>
    <cfRule type="cellIs" dxfId="5612" priority="96" operator="lessThan">
      <formula>5</formula>
    </cfRule>
  </conditionalFormatting>
  <conditionalFormatting sqref="H39:N39">
    <cfRule type="cellIs" dxfId="5611" priority="94" operator="lessThan">
      <formula>50</formula>
    </cfRule>
  </conditionalFormatting>
  <conditionalFormatting sqref="P39">
    <cfRule type="cellIs" dxfId="5610" priority="93" operator="lessThan">
      <formula>50</formula>
    </cfRule>
  </conditionalFormatting>
  <conditionalFormatting sqref="H40:N40">
    <cfRule type="expression" dxfId="5609" priority="91">
      <formula>5</formula>
    </cfRule>
    <cfRule type="cellIs" dxfId="5608" priority="92" operator="lessThan">
      <formula>5</formula>
    </cfRule>
  </conditionalFormatting>
  <conditionalFormatting sqref="H40:N40">
    <cfRule type="cellIs" dxfId="5607" priority="90" operator="lessThan">
      <formula>50</formula>
    </cfRule>
  </conditionalFormatting>
  <conditionalFormatting sqref="P40">
    <cfRule type="cellIs" dxfId="5606" priority="89" operator="lessThan">
      <formula>50</formula>
    </cfRule>
  </conditionalFormatting>
  <conditionalFormatting sqref="H41:N41">
    <cfRule type="expression" dxfId="5605" priority="87">
      <formula>5</formula>
    </cfRule>
    <cfRule type="cellIs" dxfId="5604" priority="88" operator="lessThan">
      <formula>5</formula>
    </cfRule>
  </conditionalFormatting>
  <conditionalFormatting sqref="H41:N41">
    <cfRule type="cellIs" dxfId="5603" priority="86" operator="lessThan">
      <formula>50</formula>
    </cfRule>
  </conditionalFormatting>
  <conditionalFormatting sqref="P41">
    <cfRule type="cellIs" dxfId="5602" priority="85" operator="lessThan">
      <formula>50</formula>
    </cfRule>
  </conditionalFormatting>
  <conditionalFormatting sqref="H42:N42">
    <cfRule type="expression" dxfId="5601" priority="83">
      <formula>5</formula>
    </cfRule>
    <cfRule type="cellIs" dxfId="5600" priority="84" operator="lessThan">
      <formula>5</formula>
    </cfRule>
  </conditionalFormatting>
  <conditionalFormatting sqref="H42:N42">
    <cfRule type="cellIs" dxfId="5599" priority="82" operator="lessThan">
      <formula>50</formula>
    </cfRule>
  </conditionalFormatting>
  <conditionalFormatting sqref="P42">
    <cfRule type="cellIs" dxfId="5598" priority="81" operator="lessThan">
      <formula>50</formula>
    </cfRule>
  </conditionalFormatting>
  <conditionalFormatting sqref="H43:N43">
    <cfRule type="expression" dxfId="5597" priority="79">
      <formula>5</formula>
    </cfRule>
    <cfRule type="cellIs" dxfId="5596" priority="80" operator="lessThan">
      <formula>5</formula>
    </cfRule>
  </conditionalFormatting>
  <conditionalFormatting sqref="H43:N43">
    <cfRule type="cellIs" dxfId="5595" priority="78" operator="lessThan">
      <formula>50</formula>
    </cfRule>
  </conditionalFormatting>
  <conditionalFormatting sqref="P43">
    <cfRule type="cellIs" dxfId="5594" priority="77" operator="lessThan">
      <formula>50</formula>
    </cfRule>
  </conditionalFormatting>
  <conditionalFormatting sqref="H44:N44">
    <cfRule type="expression" dxfId="5593" priority="75">
      <formula>5</formula>
    </cfRule>
    <cfRule type="cellIs" dxfId="5592" priority="76" operator="lessThan">
      <formula>5</formula>
    </cfRule>
  </conditionalFormatting>
  <conditionalFormatting sqref="H44:N44">
    <cfRule type="cellIs" dxfId="5591" priority="74" operator="lessThan">
      <formula>50</formula>
    </cfRule>
  </conditionalFormatting>
  <conditionalFormatting sqref="P44">
    <cfRule type="cellIs" dxfId="5590" priority="73" operator="lessThan">
      <formula>50</formula>
    </cfRule>
  </conditionalFormatting>
  <conditionalFormatting sqref="H45:N45">
    <cfRule type="expression" dxfId="5589" priority="71">
      <formula>5</formula>
    </cfRule>
    <cfRule type="cellIs" dxfId="5588" priority="72" operator="lessThan">
      <formula>5</formula>
    </cfRule>
  </conditionalFormatting>
  <conditionalFormatting sqref="H45:N45">
    <cfRule type="cellIs" dxfId="5587" priority="70" operator="lessThan">
      <formula>50</formula>
    </cfRule>
  </conditionalFormatting>
  <conditionalFormatting sqref="P45">
    <cfRule type="cellIs" dxfId="5586" priority="69" operator="lessThan">
      <formula>50</formula>
    </cfRule>
  </conditionalFormatting>
  <conditionalFormatting sqref="H46:N46">
    <cfRule type="expression" dxfId="5585" priority="67">
      <formula>5</formula>
    </cfRule>
    <cfRule type="cellIs" dxfId="5584" priority="68" operator="lessThan">
      <formula>5</formula>
    </cfRule>
  </conditionalFormatting>
  <conditionalFormatting sqref="H46:N46">
    <cfRule type="cellIs" dxfId="5583" priority="66" operator="lessThan">
      <formula>50</formula>
    </cfRule>
  </conditionalFormatting>
  <conditionalFormatting sqref="P46">
    <cfRule type="cellIs" dxfId="5582" priority="65" operator="lessThan">
      <formula>50</formula>
    </cfRule>
  </conditionalFormatting>
  <conditionalFormatting sqref="H47:N47">
    <cfRule type="expression" dxfId="5581" priority="63">
      <formula>5</formula>
    </cfRule>
    <cfRule type="cellIs" dxfId="5580" priority="64" operator="lessThan">
      <formula>5</formula>
    </cfRule>
  </conditionalFormatting>
  <conditionalFormatting sqref="H47:N47">
    <cfRule type="cellIs" dxfId="5579" priority="62" operator="lessThan">
      <formula>50</formula>
    </cfRule>
  </conditionalFormatting>
  <conditionalFormatting sqref="P47">
    <cfRule type="cellIs" dxfId="5578" priority="61" operator="lessThan">
      <formula>50</formula>
    </cfRule>
  </conditionalFormatting>
  <conditionalFormatting sqref="H48:N48">
    <cfRule type="expression" dxfId="5577" priority="59">
      <formula>5</formula>
    </cfRule>
    <cfRule type="cellIs" dxfId="5576" priority="60" operator="lessThan">
      <formula>5</formula>
    </cfRule>
  </conditionalFormatting>
  <conditionalFormatting sqref="H48:N48">
    <cfRule type="cellIs" dxfId="5575" priority="58" operator="lessThan">
      <formula>50</formula>
    </cfRule>
  </conditionalFormatting>
  <conditionalFormatting sqref="P48">
    <cfRule type="cellIs" dxfId="5574" priority="57" operator="lessThan">
      <formula>50</formula>
    </cfRule>
  </conditionalFormatting>
  <conditionalFormatting sqref="H49:N49">
    <cfRule type="expression" dxfId="5573" priority="55">
      <formula>5</formula>
    </cfRule>
    <cfRule type="cellIs" dxfId="5572" priority="56" operator="lessThan">
      <formula>5</formula>
    </cfRule>
  </conditionalFormatting>
  <conditionalFormatting sqref="H49:N49">
    <cfRule type="cellIs" dxfId="5571" priority="54" operator="lessThan">
      <formula>50</formula>
    </cfRule>
  </conditionalFormatting>
  <conditionalFormatting sqref="P49">
    <cfRule type="cellIs" dxfId="5570" priority="53" operator="lessThan">
      <formula>50</formula>
    </cfRule>
  </conditionalFormatting>
  <conditionalFormatting sqref="H50:N50">
    <cfRule type="expression" dxfId="5569" priority="51">
      <formula>5</formula>
    </cfRule>
    <cfRule type="cellIs" dxfId="5568" priority="52" operator="lessThan">
      <formula>5</formula>
    </cfRule>
  </conditionalFormatting>
  <conditionalFormatting sqref="H50:N50">
    <cfRule type="cellIs" dxfId="5567" priority="50" operator="lessThan">
      <formula>50</formula>
    </cfRule>
  </conditionalFormatting>
  <conditionalFormatting sqref="P50">
    <cfRule type="cellIs" dxfId="5566" priority="49" operator="lessThan">
      <formula>50</formula>
    </cfRule>
  </conditionalFormatting>
  <conditionalFormatting sqref="H51:N51">
    <cfRule type="expression" dxfId="5565" priority="47">
      <formula>5</formula>
    </cfRule>
    <cfRule type="cellIs" dxfId="5564" priority="48" operator="lessThan">
      <formula>5</formula>
    </cfRule>
  </conditionalFormatting>
  <conditionalFormatting sqref="H51:N51">
    <cfRule type="cellIs" dxfId="5563" priority="46" operator="lessThan">
      <formula>50</formula>
    </cfRule>
  </conditionalFormatting>
  <conditionalFormatting sqref="P51">
    <cfRule type="cellIs" dxfId="5562" priority="45" operator="lessThan">
      <formula>50</formula>
    </cfRule>
  </conditionalFormatting>
  <conditionalFormatting sqref="H52:N52">
    <cfRule type="expression" dxfId="5561" priority="43">
      <formula>5</formula>
    </cfRule>
    <cfRule type="cellIs" dxfId="5560" priority="44" operator="lessThan">
      <formula>5</formula>
    </cfRule>
  </conditionalFormatting>
  <conditionalFormatting sqref="H52:N52">
    <cfRule type="cellIs" dxfId="5559" priority="42" operator="lessThan">
      <formula>50</formula>
    </cfRule>
  </conditionalFormatting>
  <conditionalFormatting sqref="P52">
    <cfRule type="cellIs" dxfId="5558" priority="41" operator="lessThan">
      <formula>50</formula>
    </cfRule>
  </conditionalFormatting>
  <conditionalFormatting sqref="H53:N53">
    <cfRule type="expression" dxfId="5557" priority="39">
      <formula>5</formula>
    </cfRule>
    <cfRule type="cellIs" dxfId="5556" priority="40" operator="lessThan">
      <formula>5</formula>
    </cfRule>
  </conditionalFormatting>
  <conditionalFormatting sqref="H53:N53">
    <cfRule type="cellIs" dxfId="5555" priority="38" operator="lessThan">
      <formula>50</formula>
    </cfRule>
  </conditionalFormatting>
  <conditionalFormatting sqref="P53">
    <cfRule type="cellIs" dxfId="5554" priority="37" operator="lessThan">
      <formula>50</formula>
    </cfRule>
  </conditionalFormatting>
  <conditionalFormatting sqref="H54:N54">
    <cfRule type="expression" dxfId="5553" priority="35">
      <formula>5</formula>
    </cfRule>
    <cfRule type="cellIs" dxfId="5552" priority="36" operator="lessThan">
      <formula>5</formula>
    </cfRule>
  </conditionalFormatting>
  <conditionalFormatting sqref="H54:N54">
    <cfRule type="cellIs" dxfId="5551" priority="34" operator="lessThan">
      <formula>50</formula>
    </cfRule>
  </conditionalFormatting>
  <conditionalFormatting sqref="P54">
    <cfRule type="cellIs" dxfId="5550" priority="33" operator="lessThan">
      <formula>50</formula>
    </cfRule>
  </conditionalFormatting>
  <conditionalFormatting sqref="H55:N55">
    <cfRule type="expression" dxfId="5549" priority="31">
      <formula>5</formula>
    </cfRule>
    <cfRule type="cellIs" dxfId="5548" priority="32" operator="lessThan">
      <formula>5</formula>
    </cfRule>
  </conditionalFormatting>
  <conditionalFormatting sqref="H55:N55">
    <cfRule type="cellIs" dxfId="5547" priority="30" operator="lessThan">
      <formula>50</formula>
    </cfRule>
  </conditionalFormatting>
  <conditionalFormatting sqref="P55">
    <cfRule type="cellIs" dxfId="5546" priority="29" operator="lessThan">
      <formula>50</formula>
    </cfRule>
  </conditionalFormatting>
  <conditionalFormatting sqref="H56:N56">
    <cfRule type="expression" dxfId="5545" priority="27">
      <formula>5</formula>
    </cfRule>
    <cfRule type="cellIs" dxfId="5544" priority="28" operator="lessThan">
      <formula>5</formula>
    </cfRule>
  </conditionalFormatting>
  <conditionalFormatting sqref="H56:N56">
    <cfRule type="cellIs" dxfId="5543" priority="26" operator="lessThan">
      <formula>50</formula>
    </cfRule>
  </conditionalFormatting>
  <conditionalFormatting sqref="P56">
    <cfRule type="cellIs" dxfId="5542" priority="25" operator="lessThan">
      <formula>50</formula>
    </cfRule>
  </conditionalFormatting>
  <conditionalFormatting sqref="H57:N57">
    <cfRule type="expression" dxfId="5541" priority="23">
      <formula>5</formula>
    </cfRule>
    <cfRule type="cellIs" dxfId="5540" priority="24" operator="lessThan">
      <formula>5</formula>
    </cfRule>
  </conditionalFormatting>
  <conditionalFormatting sqref="H57:N57">
    <cfRule type="cellIs" dxfId="5539" priority="22" operator="lessThan">
      <formula>50</formula>
    </cfRule>
  </conditionalFormatting>
  <conditionalFormatting sqref="P57">
    <cfRule type="cellIs" dxfId="5538" priority="21" operator="lessThan">
      <formula>50</formula>
    </cfRule>
  </conditionalFormatting>
  <conditionalFormatting sqref="H58:N58">
    <cfRule type="expression" dxfId="5537" priority="19">
      <formula>5</formula>
    </cfRule>
    <cfRule type="cellIs" dxfId="5536" priority="20" operator="lessThan">
      <formula>5</formula>
    </cfRule>
  </conditionalFormatting>
  <conditionalFormatting sqref="H58:N58">
    <cfRule type="cellIs" dxfId="5535" priority="18" operator="lessThan">
      <formula>50</formula>
    </cfRule>
  </conditionalFormatting>
  <conditionalFormatting sqref="P58">
    <cfRule type="cellIs" dxfId="5534" priority="17" operator="lessThan">
      <formula>50</formula>
    </cfRule>
  </conditionalFormatting>
  <conditionalFormatting sqref="H59:N59">
    <cfRule type="expression" dxfId="5533" priority="15">
      <formula>5</formula>
    </cfRule>
    <cfRule type="cellIs" dxfId="5532" priority="16" operator="lessThan">
      <formula>5</formula>
    </cfRule>
  </conditionalFormatting>
  <conditionalFormatting sqref="H59:N59">
    <cfRule type="cellIs" dxfId="5531" priority="14" operator="lessThan">
      <formula>50</formula>
    </cfRule>
  </conditionalFormatting>
  <conditionalFormatting sqref="P59">
    <cfRule type="cellIs" dxfId="5530" priority="13" operator="lessThan">
      <formula>50</formula>
    </cfRule>
  </conditionalFormatting>
  <conditionalFormatting sqref="H60:N60">
    <cfRule type="expression" dxfId="5529" priority="11">
      <formula>5</formula>
    </cfRule>
    <cfRule type="cellIs" dxfId="5528" priority="12" operator="lessThan">
      <formula>5</formula>
    </cfRule>
  </conditionalFormatting>
  <conditionalFormatting sqref="H60:N60">
    <cfRule type="cellIs" dxfId="5527" priority="10" operator="lessThan">
      <formula>50</formula>
    </cfRule>
  </conditionalFormatting>
  <conditionalFormatting sqref="P60">
    <cfRule type="cellIs" dxfId="5526" priority="9" operator="lessThan">
      <formula>50</formula>
    </cfRule>
  </conditionalFormatting>
  <conditionalFormatting sqref="H61:N61">
    <cfRule type="expression" dxfId="5525" priority="7">
      <formula>5</formula>
    </cfRule>
    <cfRule type="cellIs" dxfId="5524" priority="8" operator="lessThan">
      <formula>5</formula>
    </cfRule>
  </conditionalFormatting>
  <conditionalFormatting sqref="H61:N61">
    <cfRule type="cellIs" dxfId="5523" priority="6" operator="lessThan">
      <formula>50</formula>
    </cfRule>
  </conditionalFormatting>
  <conditionalFormatting sqref="P61">
    <cfRule type="cellIs" dxfId="5522" priority="5" operator="lessThan">
      <formula>50</formula>
    </cfRule>
  </conditionalFormatting>
  <conditionalFormatting sqref="H62:N62">
    <cfRule type="expression" dxfId="5521" priority="3">
      <formula>5</formula>
    </cfRule>
    <cfRule type="cellIs" dxfId="5520" priority="4" operator="lessThan">
      <formula>5</formula>
    </cfRule>
  </conditionalFormatting>
  <conditionalFormatting sqref="H62:N62">
    <cfRule type="cellIs" dxfId="5519" priority="2" operator="lessThan">
      <formula>50</formula>
    </cfRule>
  </conditionalFormatting>
  <conditionalFormatting sqref="P62">
    <cfRule type="cellIs" dxfId="5518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7:E7 D9:E12 D14:E14 D27:E32 D34:E34 D43:E44" xr:uid="{2FE7B835-EB42-488A-A556-761E0536FA2B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6F87-A1E3-4959-B858-DAF96F651DBA}">
  <sheetPr codeName="Sheet100"/>
  <dimension ref="A1:P68"/>
  <sheetViews>
    <sheetView showGridLines="0" workbookViewId="0">
      <selection activeCell="Q9" sqref="Q9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3" width="4.7109375" customWidth="1"/>
    <col min="14" max="14" width="6.7109375" customWidth="1"/>
    <col min="15" max="16" width="4.7109375" customWidth="1"/>
  </cols>
  <sheetData>
    <row r="1" spans="1:16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1:16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3</v>
      </c>
      <c r="I6" s="39" t="s">
        <v>13</v>
      </c>
      <c r="J6" s="39" t="s">
        <v>14</v>
      </c>
      <c r="K6" s="39" t="s">
        <v>5317</v>
      </c>
      <c r="L6" s="39" t="s">
        <v>10</v>
      </c>
      <c r="M6" s="39" t="s">
        <v>15</v>
      </c>
      <c r="N6" s="39" t="s">
        <v>5320</v>
      </c>
      <c r="O6" s="39" t="s">
        <v>5321</v>
      </c>
      <c r="P6" s="39" t="s">
        <v>5324</v>
      </c>
    </row>
    <row r="7" spans="1:16" ht="18" customHeight="1" thickTop="1">
      <c r="A7" s="19">
        <v>1</v>
      </c>
      <c r="B7" s="2" t="s">
        <v>2768</v>
      </c>
      <c r="C7" s="1" t="s">
        <v>2769</v>
      </c>
      <c r="D7" s="3" t="s">
        <v>2770</v>
      </c>
      <c r="E7" s="1" t="s">
        <v>71</v>
      </c>
      <c r="F7" s="10" t="s">
        <v>2728</v>
      </c>
      <c r="G7" s="2" t="s">
        <v>2729</v>
      </c>
      <c r="H7" s="6">
        <v>100</v>
      </c>
      <c r="I7" s="6">
        <v>84</v>
      </c>
      <c r="J7" s="6">
        <v>96</v>
      </c>
      <c r="K7" s="6">
        <v>92</v>
      </c>
      <c r="L7" s="6">
        <v>96</v>
      </c>
      <c r="M7" s="6">
        <v>96</v>
      </c>
      <c r="N7" s="1">
        <f t="shared" ref="N7:N38" si="0">SUBTOTAL(9,H7:M7)</f>
        <v>564</v>
      </c>
      <c r="O7" s="14">
        <f t="shared" ref="O7:O38" si="1">N7/6</f>
        <v>94</v>
      </c>
      <c r="P7" s="20">
        <f t="shared" ref="P7:P38" si="2">RANK(O7,O$7:O$310,0)</f>
        <v>1</v>
      </c>
    </row>
    <row r="8" spans="1:16" ht="18" customHeight="1">
      <c r="A8" s="19">
        <v>2</v>
      </c>
      <c r="B8" s="2" t="s">
        <v>2797</v>
      </c>
      <c r="C8" s="1" t="s">
        <v>2798</v>
      </c>
      <c r="D8" s="3" t="s">
        <v>2799</v>
      </c>
      <c r="E8" s="1" t="s">
        <v>80</v>
      </c>
      <c r="F8" s="10" t="s">
        <v>2728</v>
      </c>
      <c r="G8" s="2">
        <v>10</v>
      </c>
      <c r="H8" s="6">
        <v>93</v>
      </c>
      <c r="I8" s="6">
        <v>100</v>
      </c>
      <c r="J8" s="6">
        <v>92</v>
      </c>
      <c r="K8" s="6">
        <v>88</v>
      </c>
      <c r="L8" s="6">
        <v>100</v>
      </c>
      <c r="M8" s="6">
        <v>90</v>
      </c>
      <c r="N8" s="1">
        <f t="shared" si="0"/>
        <v>563</v>
      </c>
      <c r="O8" s="14">
        <f t="shared" si="1"/>
        <v>93.833333333333329</v>
      </c>
      <c r="P8" s="20">
        <f t="shared" si="2"/>
        <v>2</v>
      </c>
    </row>
    <row r="9" spans="1:16" ht="18" customHeight="1">
      <c r="A9" s="19">
        <v>3</v>
      </c>
      <c r="B9" s="2" t="s">
        <v>2765</v>
      </c>
      <c r="C9" s="1" t="s">
        <v>2766</v>
      </c>
      <c r="D9" s="3" t="s">
        <v>2767</v>
      </c>
      <c r="E9" s="1" t="s">
        <v>71</v>
      </c>
      <c r="F9" s="10" t="s">
        <v>2728</v>
      </c>
      <c r="G9" s="2" t="s">
        <v>2729</v>
      </c>
      <c r="H9" s="6">
        <v>100</v>
      </c>
      <c r="I9" s="6">
        <v>100</v>
      </c>
      <c r="J9" s="6">
        <v>100</v>
      </c>
      <c r="K9" s="6">
        <v>100</v>
      </c>
      <c r="L9" s="6">
        <v>100</v>
      </c>
      <c r="M9" s="6">
        <v>60</v>
      </c>
      <c r="N9" s="1">
        <f t="shared" si="0"/>
        <v>560</v>
      </c>
      <c r="O9" s="14">
        <f t="shared" si="1"/>
        <v>93.333333333333329</v>
      </c>
      <c r="P9" s="20">
        <f t="shared" si="2"/>
        <v>3</v>
      </c>
    </row>
    <row r="10" spans="1:16" ht="18" customHeight="1">
      <c r="A10" s="19">
        <v>4</v>
      </c>
      <c r="B10" s="2" t="s">
        <v>2742</v>
      </c>
      <c r="C10" s="1" t="s">
        <v>2743</v>
      </c>
      <c r="D10" s="3" t="s">
        <v>2744</v>
      </c>
      <c r="E10" s="1" t="s">
        <v>69</v>
      </c>
      <c r="F10" s="10" t="s">
        <v>2728</v>
      </c>
      <c r="G10" s="2" t="s">
        <v>2729</v>
      </c>
      <c r="H10" s="6">
        <v>100</v>
      </c>
      <c r="I10" s="6">
        <v>80</v>
      </c>
      <c r="J10" s="6">
        <v>92</v>
      </c>
      <c r="K10" s="6">
        <v>92</v>
      </c>
      <c r="L10" s="6">
        <v>96</v>
      </c>
      <c r="M10" s="6">
        <v>96</v>
      </c>
      <c r="N10" s="1">
        <f t="shared" si="0"/>
        <v>556</v>
      </c>
      <c r="O10" s="14">
        <f t="shared" si="1"/>
        <v>92.666666666666671</v>
      </c>
      <c r="P10" s="20">
        <f t="shared" si="2"/>
        <v>4</v>
      </c>
    </row>
    <row r="11" spans="1:16" ht="18" customHeight="1">
      <c r="A11" s="19">
        <v>5</v>
      </c>
      <c r="B11" s="2" t="s">
        <v>2880</v>
      </c>
      <c r="C11" s="1">
        <v>311260445</v>
      </c>
      <c r="D11" s="3" t="s">
        <v>2881</v>
      </c>
      <c r="E11" s="1" t="s">
        <v>82</v>
      </c>
      <c r="F11" s="10" t="s">
        <v>2728</v>
      </c>
      <c r="G11" s="2">
        <v>11</v>
      </c>
      <c r="H11" s="6">
        <v>100</v>
      </c>
      <c r="I11" s="6">
        <v>92</v>
      </c>
      <c r="J11" s="6">
        <v>92</v>
      </c>
      <c r="K11" s="6">
        <v>92</v>
      </c>
      <c r="L11" s="6">
        <v>86</v>
      </c>
      <c r="M11" s="6">
        <v>78</v>
      </c>
      <c r="N11" s="1">
        <f t="shared" si="0"/>
        <v>540</v>
      </c>
      <c r="O11" s="14">
        <f t="shared" si="1"/>
        <v>90</v>
      </c>
      <c r="P11" s="20">
        <f t="shared" si="2"/>
        <v>5</v>
      </c>
    </row>
    <row r="12" spans="1:16" ht="18" customHeight="1">
      <c r="A12" s="19">
        <v>6</v>
      </c>
      <c r="B12" s="2" t="s">
        <v>2852</v>
      </c>
      <c r="C12" s="1" t="s">
        <v>2853</v>
      </c>
      <c r="D12" s="3" t="s">
        <v>2854</v>
      </c>
      <c r="E12" s="1" t="s">
        <v>2075</v>
      </c>
      <c r="F12" s="10" t="s">
        <v>2728</v>
      </c>
      <c r="G12" s="2">
        <v>11</v>
      </c>
      <c r="H12" s="6">
        <v>93</v>
      </c>
      <c r="I12" s="6">
        <v>84</v>
      </c>
      <c r="J12" s="6">
        <v>84</v>
      </c>
      <c r="K12" s="6">
        <v>84</v>
      </c>
      <c r="L12" s="6">
        <v>90</v>
      </c>
      <c r="M12" s="6">
        <v>100</v>
      </c>
      <c r="N12" s="1">
        <f t="shared" si="0"/>
        <v>535</v>
      </c>
      <c r="O12" s="14">
        <f t="shared" si="1"/>
        <v>89.166666666666671</v>
      </c>
      <c r="P12" s="20">
        <f t="shared" si="2"/>
        <v>6</v>
      </c>
    </row>
    <row r="13" spans="1:16" ht="18" customHeight="1">
      <c r="A13" s="19">
        <v>7</v>
      </c>
      <c r="B13" s="2" t="s">
        <v>2789</v>
      </c>
      <c r="C13" s="1" t="s">
        <v>2790</v>
      </c>
      <c r="D13" s="3" t="s">
        <v>2791</v>
      </c>
      <c r="E13" s="1" t="s">
        <v>60</v>
      </c>
      <c r="F13" s="10" t="s">
        <v>2728</v>
      </c>
      <c r="G13" s="2">
        <v>10</v>
      </c>
      <c r="H13" s="6">
        <v>100</v>
      </c>
      <c r="I13" s="6">
        <v>82</v>
      </c>
      <c r="J13" s="6">
        <v>80</v>
      </c>
      <c r="K13" s="6">
        <v>92</v>
      </c>
      <c r="L13" s="6">
        <v>92</v>
      </c>
      <c r="M13" s="6">
        <v>68</v>
      </c>
      <c r="N13" s="1">
        <f t="shared" si="0"/>
        <v>514</v>
      </c>
      <c r="O13" s="14">
        <f t="shared" si="1"/>
        <v>85.666666666666671</v>
      </c>
      <c r="P13" s="20">
        <f t="shared" si="2"/>
        <v>7</v>
      </c>
    </row>
    <row r="14" spans="1:16" ht="18" customHeight="1">
      <c r="A14" s="19">
        <v>8</v>
      </c>
      <c r="B14" s="2" t="s">
        <v>2748</v>
      </c>
      <c r="C14" s="1" t="s">
        <v>2749</v>
      </c>
      <c r="D14" s="3" t="s">
        <v>2750</v>
      </c>
      <c r="E14" s="1" t="s">
        <v>55</v>
      </c>
      <c r="F14" s="10" t="s">
        <v>2728</v>
      </c>
      <c r="G14" s="2" t="s">
        <v>2729</v>
      </c>
      <c r="H14" s="6">
        <v>93</v>
      </c>
      <c r="I14" s="6">
        <v>92</v>
      </c>
      <c r="J14" s="6">
        <v>72</v>
      </c>
      <c r="K14" s="6">
        <v>100</v>
      </c>
      <c r="L14" s="6">
        <v>88</v>
      </c>
      <c r="M14" s="6">
        <v>54</v>
      </c>
      <c r="N14" s="1">
        <f t="shared" si="0"/>
        <v>499</v>
      </c>
      <c r="O14" s="14">
        <f t="shared" si="1"/>
        <v>83.166666666666671</v>
      </c>
      <c r="P14" s="20">
        <f t="shared" si="2"/>
        <v>8</v>
      </c>
    </row>
    <row r="15" spans="1:16" ht="18" customHeight="1">
      <c r="A15" s="19">
        <v>9</v>
      </c>
      <c r="B15" s="2" t="s">
        <v>2835</v>
      </c>
      <c r="C15" s="1" t="s">
        <v>2836</v>
      </c>
      <c r="D15" s="3" t="s">
        <v>2837</v>
      </c>
      <c r="E15" s="1" t="s">
        <v>78</v>
      </c>
      <c r="F15" s="10" t="s">
        <v>2728</v>
      </c>
      <c r="G15" s="2">
        <v>10</v>
      </c>
      <c r="H15" s="6">
        <v>79</v>
      </c>
      <c r="I15" s="6">
        <v>72</v>
      </c>
      <c r="J15" s="6">
        <v>84</v>
      </c>
      <c r="K15" s="6">
        <v>100</v>
      </c>
      <c r="L15" s="6">
        <v>100</v>
      </c>
      <c r="M15" s="6">
        <v>60</v>
      </c>
      <c r="N15" s="1">
        <f t="shared" si="0"/>
        <v>495</v>
      </c>
      <c r="O15" s="14">
        <f t="shared" si="1"/>
        <v>82.5</v>
      </c>
      <c r="P15" s="20">
        <f t="shared" si="2"/>
        <v>9</v>
      </c>
    </row>
    <row r="16" spans="1:16" ht="18" customHeight="1">
      <c r="A16" s="19">
        <v>10</v>
      </c>
      <c r="B16" s="2" t="s">
        <v>2855</v>
      </c>
      <c r="C16" s="1" t="s">
        <v>2856</v>
      </c>
      <c r="D16" s="3" t="s">
        <v>2857</v>
      </c>
      <c r="E16" s="1" t="s">
        <v>2075</v>
      </c>
      <c r="F16" s="10" t="s">
        <v>2728</v>
      </c>
      <c r="G16" s="2">
        <v>11</v>
      </c>
      <c r="H16" s="6">
        <v>100</v>
      </c>
      <c r="I16" s="6">
        <v>92</v>
      </c>
      <c r="J16" s="6">
        <v>80</v>
      </c>
      <c r="K16" s="6">
        <v>92</v>
      </c>
      <c r="L16" s="6">
        <v>82</v>
      </c>
      <c r="M16" s="6">
        <v>48</v>
      </c>
      <c r="N16" s="1">
        <f t="shared" si="0"/>
        <v>494</v>
      </c>
      <c r="O16" s="14">
        <f t="shared" si="1"/>
        <v>82.333333333333329</v>
      </c>
      <c r="P16" s="20">
        <f t="shared" si="2"/>
        <v>10</v>
      </c>
    </row>
    <row r="17" spans="1:16" ht="18" customHeight="1">
      <c r="A17" s="19">
        <v>11</v>
      </c>
      <c r="B17" s="2" t="s">
        <v>2812</v>
      </c>
      <c r="C17" s="1">
        <v>331220011</v>
      </c>
      <c r="D17" s="3" t="s">
        <v>2813</v>
      </c>
      <c r="E17" s="1" t="s">
        <v>84</v>
      </c>
      <c r="F17" s="10" t="s">
        <v>2728</v>
      </c>
      <c r="G17" s="2">
        <v>10</v>
      </c>
      <c r="H17" s="6">
        <v>86</v>
      </c>
      <c r="I17" s="6">
        <v>100</v>
      </c>
      <c r="J17" s="6">
        <v>58</v>
      </c>
      <c r="K17" s="6">
        <v>84</v>
      </c>
      <c r="L17" s="6">
        <v>82</v>
      </c>
      <c r="M17" s="6">
        <v>76</v>
      </c>
      <c r="N17" s="1">
        <f t="shared" si="0"/>
        <v>486</v>
      </c>
      <c r="O17" s="14">
        <f t="shared" si="1"/>
        <v>81</v>
      </c>
      <c r="P17" s="20">
        <f t="shared" si="2"/>
        <v>11</v>
      </c>
    </row>
    <row r="18" spans="1:16" ht="18" customHeight="1">
      <c r="A18" s="19">
        <v>12</v>
      </c>
      <c r="B18" s="2" t="s">
        <v>2862</v>
      </c>
      <c r="C18" s="1" t="s">
        <v>2863</v>
      </c>
      <c r="D18" s="3" t="s">
        <v>2864</v>
      </c>
      <c r="E18" s="1" t="s">
        <v>65</v>
      </c>
      <c r="F18" s="10" t="s">
        <v>2728</v>
      </c>
      <c r="G18" s="2">
        <v>11</v>
      </c>
      <c r="H18" s="6">
        <v>93</v>
      </c>
      <c r="I18" s="6">
        <v>92</v>
      </c>
      <c r="J18" s="6">
        <v>88</v>
      </c>
      <c r="K18" s="6">
        <v>92</v>
      </c>
      <c r="L18" s="6">
        <v>74</v>
      </c>
      <c r="M18" s="6">
        <v>44</v>
      </c>
      <c r="N18" s="1">
        <f t="shared" si="0"/>
        <v>483</v>
      </c>
      <c r="O18" s="14">
        <f t="shared" si="1"/>
        <v>80.5</v>
      </c>
      <c r="P18" s="20">
        <f t="shared" si="2"/>
        <v>12</v>
      </c>
    </row>
    <row r="19" spans="1:16" ht="18" customHeight="1">
      <c r="A19" s="19">
        <v>13</v>
      </c>
      <c r="B19" s="2" t="s">
        <v>2800</v>
      </c>
      <c r="C19" s="1">
        <v>311240408</v>
      </c>
      <c r="D19" s="3" t="s">
        <v>2801</v>
      </c>
      <c r="E19" s="1" t="s">
        <v>73</v>
      </c>
      <c r="F19" s="10" t="s">
        <v>2728</v>
      </c>
      <c r="G19" s="2">
        <v>10</v>
      </c>
      <c r="H19" s="6">
        <v>86</v>
      </c>
      <c r="I19" s="6">
        <v>92</v>
      </c>
      <c r="J19" s="6">
        <v>61</v>
      </c>
      <c r="K19" s="6">
        <v>88</v>
      </c>
      <c r="L19" s="6">
        <v>92</v>
      </c>
      <c r="M19" s="6">
        <v>62</v>
      </c>
      <c r="N19" s="1">
        <f t="shared" si="0"/>
        <v>481</v>
      </c>
      <c r="O19" s="14">
        <f t="shared" si="1"/>
        <v>80.166666666666671</v>
      </c>
      <c r="P19" s="20">
        <f t="shared" si="2"/>
        <v>13</v>
      </c>
    </row>
    <row r="20" spans="1:16" ht="18" customHeight="1">
      <c r="A20" s="19">
        <v>14</v>
      </c>
      <c r="B20" s="2" t="s">
        <v>2875</v>
      </c>
      <c r="C20" s="1">
        <v>311240431</v>
      </c>
      <c r="D20" s="3" t="s">
        <v>2876</v>
      </c>
      <c r="E20" s="1" t="s">
        <v>85</v>
      </c>
      <c r="F20" s="10" t="s">
        <v>2728</v>
      </c>
      <c r="G20" s="2">
        <v>11</v>
      </c>
      <c r="H20" s="6">
        <v>100</v>
      </c>
      <c r="I20" s="6">
        <v>92</v>
      </c>
      <c r="J20" s="6">
        <v>76</v>
      </c>
      <c r="K20" s="6">
        <v>92</v>
      </c>
      <c r="L20" s="6">
        <v>60</v>
      </c>
      <c r="M20" s="6">
        <v>46</v>
      </c>
      <c r="N20" s="1">
        <f t="shared" si="0"/>
        <v>466</v>
      </c>
      <c r="O20" s="14">
        <f t="shared" si="1"/>
        <v>77.666666666666671</v>
      </c>
      <c r="P20" s="20">
        <f t="shared" si="2"/>
        <v>14</v>
      </c>
    </row>
    <row r="21" spans="1:16" ht="18" customHeight="1">
      <c r="A21" s="19">
        <v>15</v>
      </c>
      <c r="B21" s="2" t="s">
        <v>2823</v>
      </c>
      <c r="C21" s="1" t="s">
        <v>2824</v>
      </c>
      <c r="D21" s="3" t="s">
        <v>2825</v>
      </c>
      <c r="E21" s="1" t="s">
        <v>74</v>
      </c>
      <c r="F21" s="10" t="s">
        <v>2728</v>
      </c>
      <c r="G21" s="2">
        <v>10</v>
      </c>
      <c r="H21" s="6">
        <v>100</v>
      </c>
      <c r="I21" s="6">
        <v>85</v>
      </c>
      <c r="J21" s="6">
        <v>64</v>
      </c>
      <c r="K21" s="6">
        <v>88</v>
      </c>
      <c r="L21" s="6">
        <v>70</v>
      </c>
      <c r="M21" s="6">
        <v>57</v>
      </c>
      <c r="N21" s="1">
        <f t="shared" si="0"/>
        <v>464</v>
      </c>
      <c r="O21" s="14">
        <f t="shared" si="1"/>
        <v>77.333333333333329</v>
      </c>
      <c r="P21" s="20">
        <f t="shared" si="2"/>
        <v>15</v>
      </c>
    </row>
    <row r="22" spans="1:16" ht="18" customHeight="1">
      <c r="A22" s="19">
        <v>16</v>
      </c>
      <c r="B22" s="2" t="s">
        <v>2805</v>
      </c>
      <c r="C22" s="1" t="s">
        <v>2806</v>
      </c>
      <c r="D22" s="3" t="s">
        <v>2807</v>
      </c>
      <c r="E22" s="1" t="s">
        <v>73</v>
      </c>
      <c r="F22" s="10" t="s">
        <v>2728</v>
      </c>
      <c r="G22" s="2">
        <v>10</v>
      </c>
      <c r="H22" s="6">
        <v>93</v>
      </c>
      <c r="I22" s="6">
        <v>58</v>
      </c>
      <c r="J22" s="6">
        <v>88</v>
      </c>
      <c r="K22" s="6">
        <v>84</v>
      </c>
      <c r="L22" s="6">
        <v>78</v>
      </c>
      <c r="M22" s="6">
        <v>62</v>
      </c>
      <c r="N22" s="1">
        <f t="shared" si="0"/>
        <v>463</v>
      </c>
      <c r="O22" s="14">
        <f t="shared" si="1"/>
        <v>77.166666666666671</v>
      </c>
      <c r="P22" s="20">
        <f t="shared" si="2"/>
        <v>16</v>
      </c>
    </row>
    <row r="23" spans="1:16" ht="18" customHeight="1">
      <c r="A23" s="19">
        <v>17</v>
      </c>
      <c r="B23" s="2" t="s">
        <v>2848</v>
      </c>
      <c r="C23" s="1" t="s">
        <v>2849</v>
      </c>
      <c r="D23" s="3" t="s">
        <v>2850</v>
      </c>
      <c r="E23" s="1" t="s">
        <v>2851</v>
      </c>
      <c r="F23" s="10" t="s">
        <v>2728</v>
      </c>
      <c r="G23" s="2">
        <v>11</v>
      </c>
      <c r="H23" s="6">
        <v>79</v>
      </c>
      <c r="I23" s="6">
        <v>70</v>
      </c>
      <c r="J23" s="6">
        <v>76</v>
      </c>
      <c r="K23" s="6">
        <v>84</v>
      </c>
      <c r="L23" s="6">
        <v>86</v>
      </c>
      <c r="M23" s="6">
        <v>56</v>
      </c>
      <c r="N23" s="1">
        <f t="shared" si="0"/>
        <v>451</v>
      </c>
      <c r="O23" s="14">
        <f t="shared" si="1"/>
        <v>75.166666666666671</v>
      </c>
      <c r="P23" s="20">
        <f t="shared" si="2"/>
        <v>17</v>
      </c>
    </row>
    <row r="24" spans="1:16" ht="18" customHeight="1">
      <c r="A24" s="19">
        <v>18</v>
      </c>
      <c r="B24" s="2" t="s">
        <v>2732</v>
      </c>
      <c r="C24" s="1" t="s">
        <v>2733</v>
      </c>
      <c r="D24" s="3" t="s">
        <v>2734</v>
      </c>
      <c r="E24" s="1" t="s">
        <v>69</v>
      </c>
      <c r="F24" s="10" t="s">
        <v>2728</v>
      </c>
      <c r="G24" s="2" t="s">
        <v>2729</v>
      </c>
      <c r="H24" s="6">
        <v>86</v>
      </c>
      <c r="I24" s="6">
        <v>82</v>
      </c>
      <c r="J24" s="6">
        <v>88</v>
      </c>
      <c r="K24" s="6">
        <v>60</v>
      </c>
      <c r="L24" s="6">
        <v>84</v>
      </c>
      <c r="M24" s="6">
        <v>42</v>
      </c>
      <c r="N24" s="1">
        <f t="shared" si="0"/>
        <v>442</v>
      </c>
      <c r="O24" s="14">
        <f t="shared" si="1"/>
        <v>73.666666666666671</v>
      </c>
      <c r="P24" s="20">
        <f t="shared" si="2"/>
        <v>18</v>
      </c>
    </row>
    <row r="25" spans="1:16" ht="18" customHeight="1">
      <c r="A25" s="19">
        <v>19</v>
      </c>
      <c r="B25" s="2" t="s">
        <v>2780</v>
      </c>
      <c r="C25" s="1" t="s">
        <v>2781</v>
      </c>
      <c r="D25" s="3" t="s">
        <v>2782</v>
      </c>
      <c r="E25" s="1" t="s">
        <v>58</v>
      </c>
      <c r="F25" s="10" t="s">
        <v>2728</v>
      </c>
      <c r="G25" s="2" t="s">
        <v>2729</v>
      </c>
      <c r="H25" s="6">
        <v>100</v>
      </c>
      <c r="I25" s="6">
        <v>88</v>
      </c>
      <c r="J25" s="6">
        <v>52</v>
      </c>
      <c r="K25" s="6">
        <v>88</v>
      </c>
      <c r="L25" s="6">
        <v>78</v>
      </c>
      <c r="M25" s="6">
        <v>22</v>
      </c>
      <c r="N25" s="1">
        <f t="shared" si="0"/>
        <v>428</v>
      </c>
      <c r="O25" s="14">
        <f t="shared" si="1"/>
        <v>71.333333333333329</v>
      </c>
      <c r="P25" s="20">
        <f t="shared" si="2"/>
        <v>19</v>
      </c>
    </row>
    <row r="26" spans="1:16" ht="18" customHeight="1">
      <c r="A26" s="19">
        <v>20</v>
      </c>
      <c r="B26" s="2" t="s">
        <v>2772</v>
      </c>
      <c r="C26" s="1">
        <v>331220012</v>
      </c>
      <c r="D26" s="3" t="s">
        <v>2773</v>
      </c>
      <c r="E26" s="1" t="s">
        <v>71</v>
      </c>
      <c r="F26" s="10" t="s">
        <v>2728</v>
      </c>
      <c r="G26" s="2" t="s">
        <v>2729</v>
      </c>
      <c r="H26" s="6">
        <v>100</v>
      </c>
      <c r="I26" s="6">
        <v>53</v>
      </c>
      <c r="J26" s="6">
        <v>46</v>
      </c>
      <c r="K26" s="6">
        <v>92</v>
      </c>
      <c r="L26" s="6">
        <v>100</v>
      </c>
      <c r="M26" s="6">
        <v>36</v>
      </c>
      <c r="N26" s="1">
        <f t="shared" si="0"/>
        <v>427</v>
      </c>
      <c r="O26" s="14">
        <f t="shared" si="1"/>
        <v>71.166666666666671</v>
      </c>
      <c r="P26" s="20">
        <f t="shared" si="2"/>
        <v>20</v>
      </c>
    </row>
    <row r="27" spans="1:16" ht="18" customHeight="1">
      <c r="A27" s="19">
        <v>21</v>
      </c>
      <c r="B27" s="2" t="s">
        <v>2858</v>
      </c>
      <c r="C27" s="1">
        <v>311240414</v>
      </c>
      <c r="D27" s="3" t="s">
        <v>2859</v>
      </c>
      <c r="E27" s="1" t="s">
        <v>65</v>
      </c>
      <c r="F27" s="10" t="s">
        <v>2728</v>
      </c>
      <c r="G27" s="2">
        <v>11</v>
      </c>
      <c r="H27" s="6">
        <v>100</v>
      </c>
      <c r="I27" s="6">
        <v>80</v>
      </c>
      <c r="J27" s="6">
        <v>48</v>
      </c>
      <c r="K27" s="6">
        <v>92</v>
      </c>
      <c r="L27" s="6">
        <v>70</v>
      </c>
      <c r="M27" s="6">
        <v>34</v>
      </c>
      <c r="N27" s="1">
        <f t="shared" si="0"/>
        <v>424</v>
      </c>
      <c r="O27" s="14">
        <f t="shared" si="1"/>
        <v>70.666666666666671</v>
      </c>
      <c r="P27" s="20">
        <f t="shared" si="2"/>
        <v>21</v>
      </c>
    </row>
    <row r="28" spans="1:16" ht="18" customHeight="1">
      <c r="A28" s="19">
        <v>22</v>
      </c>
      <c r="B28" s="2" t="s">
        <v>2842</v>
      </c>
      <c r="C28" s="1" t="s">
        <v>2843</v>
      </c>
      <c r="D28" s="3" t="s">
        <v>2844</v>
      </c>
      <c r="E28" s="1" t="s">
        <v>353</v>
      </c>
      <c r="F28" s="10" t="s">
        <v>2728</v>
      </c>
      <c r="G28" s="2">
        <v>11</v>
      </c>
      <c r="H28" s="6">
        <v>72</v>
      </c>
      <c r="I28" s="6">
        <v>58</v>
      </c>
      <c r="J28" s="6">
        <v>58</v>
      </c>
      <c r="K28" s="6">
        <v>92</v>
      </c>
      <c r="L28" s="6">
        <v>80</v>
      </c>
      <c r="M28" s="6">
        <v>64</v>
      </c>
      <c r="N28" s="1">
        <f t="shared" si="0"/>
        <v>424</v>
      </c>
      <c r="O28" s="14">
        <f t="shared" si="1"/>
        <v>70.666666666666671</v>
      </c>
      <c r="P28" s="20">
        <f t="shared" si="2"/>
        <v>21</v>
      </c>
    </row>
    <row r="29" spans="1:16" ht="18" customHeight="1">
      <c r="A29" s="19">
        <v>23</v>
      </c>
      <c r="B29" s="2" t="s">
        <v>2820</v>
      </c>
      <c r="C29" s="1" t="s">
        <v>2821</v>
      </c>
      <c r="D29" s="3" t="s">
        <v>2822</v>
      </c>
      <c r="E29" s="1" t="s">
        <v>74</v>
      </c>
      <c r="F29" s="10" t="s">
        <v>2728</v>
      </c>
      <c r="G29" s="2">
        <v>10</v>
      </c>
      <c r="H29" s="6">
        <v>93</v>
      </c>
      <c r="I29" s="6">
        <v>92</v>
      </c>
      <c r="J29" s="6">
        <v>76</v>
      </c>
      <c r="K29" s="6">
        <v>84</v>
      </c>
      <c r="L29" s="6">
        <v>52</v>
      </c>
      <c r="M29" s="6">
        <v>20</v>
      </c>
      <c r="N29" s="1">
        <f t="shared" si="0"/>
        <v>417</v>
      </c>
      <c r="O29" s="14">
        <f t="shared" si="1"/>
        <v>69.5</v>
      </c>
      <c r="P29" s="20">
        <f t="shared" si="2"/>
        <v>23</v>
      </c>
    </row>
    <row r="30" spans="1:16" ht="18" customHeight="1">
      <c r="A30" s="19">
        <v>24</v>
      </c>
      <c r="B30" s="2" t="s">
        <v>2751</v>
      </c>
      <c r="C30" s="1" t="s">
        <v>2752</v>
      </c>
      <c r="D30" s="3" t="s">
        <v>2753</v>
      </c>
      <c r="E30" s="1" t="s">
        <v>55</v>
      </c>
      <c r="F30" s="10" t="s">
        <v>2728</v>
      </c>
      <c r="G30" s="2" t="s">
        <v>2729</v>
      </c>
      <c r="H30" s="6">
        <v>72</v>
      </c>
      <c r="I30" s="6">
        <v>88</v>
      </c>
      <c r="J30" s="6">
        <v>56</v>
      </c>
      <c r="K30" s="6">
        <v>76</v>
      </c>
      <c r="L30" s="6">
        <v>62</v>
      </c>
      <c r="M30" s="6">
        <v>48</v>
      </c>
      <c r="N30" s="1">
        <f t="shared" si="0"/>
        <v>402</v>
      </c>
      <c r="O30" s="14">
        <f t="shared" si="1"/>
        <v>67</v>
      </c>
      <c r="P30" s="20">
        <f t="shared" si="2"/>
        <v>24</v>
      </c>
    </row>
    <row r="31" spans="1:16" ht="18" customHeight="1">
      <c r="A31" s="19">
        <v>25</v>
      </c>
      <c r="B31" s="2" t="s">
        <v>2829</v>
      </c>
      <c r="C31" s="1">
        <v>311240412</v>
      </c>
      <c r="D31" s="3" t="s">
        <v>2830</v>
      </c>
      <c r="E31" s="1" t="s">
        <v>64</v>
      </c>
      <c r="F31" s="10" t="s">
        <v>2728</v>
      </c>
      <c r="G31" s="2">
        <v>10</v>
      </c>
      <c r="H31" s="6">
        <v>79</v>
      </c>
      <c r="I31" s="6">
        <v>72</v>
      </c>
      <c r="J31" s="6">
        <v>38</v>
      </c>
      <c r="K31" s="6">
        <v>72</v>
      </c>
      <c r="L31" s="6">
        <v>92</v>
      </c>
      <c r="M31" s="6">
        <v>44</v>
      </c>
      <c r="N31" s="1">
        <f t="shared" si="0"/>
        <v>397</v>
      </c>
      <c r="O31" s="14">
        <f t="shared" si="1"/>
        <v>66.166666666666671</v>
      </c>
      <c r="P31" s="20">
        <f t="shared" si="2"/>
        <v>25</v>
      </c>
    </row>
    <row r="32" spans="1:16" ht="18" customHeight="1">
      <c r="A32" s="19">
        <v>26</v>
      </c>
      <c r="B32" s="2" t="s">
        <v>2802</v>
      </c>
      <c r="C32" s="1" t="s">
        <v>2803</v>
      </c>
      <c r="D32" s="3" t="s">
        <v>2804</v>
      </c>
      <c r="E32" s="1" t="s">
        <v>73</v>
      </c>
      <c r="F32" s="10" t="s">
        <v>2728</v>
      </c>
      <c r="G32" s="2">
        <v>10</v>
      </c>
      <c r="H32" s="6">
        <v>93</v>
      </c>
      <c r="I32" s="6">
        <v>70</v>
      </c>
      <c r="J32" s="6">
        <v>43</v>
      </c>
      <c r="K32" s="6">
        <v>76</v>
      </c>
      <c r="L32" s="6">
        <v>75</v>
      </c>
      <c r="M32" s="6">
        <v>24</v>
      </c>
      <c r="N32" s="1">
        <f t="shared" si="0"/>
        <v>381</v>
      </c>
      <c r="O32" s="14">
        <f t="shared" si="1"/>
        <v>63.5</v>
      </c>
      <c r="P32" s="20">
        <f t="shared" si="2"/>
        <v>26</v>
      </c>
    </row>
    <row r="33" spans="1:16" ht="18" customHeight="1">
      <c r="A33" s="19">
        <v>27</v>
      </c>
      <c r="B33" s="2" t="s">
        <v>2759</v>
      </c>
      <c r="C33" s="1" t="s">
        <v>2760</v>
      </c>
      <c r="D33" s="3" t="s">
        <v>2761</v>
      </c>
      <c r="E33" s="1" t="s">
        <v>57</v>
      </c>
      <c r="F33" s="10" t="s">
        <v>2728</v>
      </c>
      <c r="G33" s="2" t="s">
        <v>2729</v>
      </c>
      <c r="H33" s="6">
        <v>100</v>
      </c>
      <c r="I33" s="6">
        <v>78</v>
      </c>
      <c r="J33" s="6">
        <v>40</v>
      </c>
      <c r="K33" s="6">
        <v>88</v>
      </c>
      <c r="L33" s="6">
        <v>42</v>
      </c>
      <c r="M33" s="6">
        <v>32</v>
      </c>
      <c r="N33" s="1">
        <f t="shared" si="0"/>
        <v>380</v>
      </c>
      <c r="O33" s="14">
        <f t="shared" si="1"/>
        <v>63.333333333333336</v>
      </c>
      <c r="P33" s="20">
        <f t="shared" si="2"/>
        <v>27</v>
      </c>
    </row>
    <row r="34" spans="1:16" ht="18" customHeight="1">
      <c r="A34" s="19">
        <v>28</v>
      </c>
      <c r="B34" s="2" t="s">
        <v>2882</v>
      </c>
      <c r="C34" s="1">
        <v>311260939</v>
      </c>
      <c r="D34" s="3" t="s">
        <v>2883</v>
      </c>
      <c r="E34" s="1" t="s">
        <v>70</v>
      </c>
      <c r="F34" s="10" t="s">
        <v>2728</v>
      </c>
      <c r="G34" s="2">
        <v>11</v>
      </c>
      <c r="H34" s="6">
        <v>100</v>
      </c>
      <c r="I34" s="6">
        <v>100</v>
      </c>
      <c r="J34" s="6">
        <v>34</v>
      </c>
      <c r="K34" s="6">
        <v>72</v>
      </c>
      <c r="L34" s="6">
        <v>64</v>
      </c>
      <c r="M34" s="6">
        <v>8</v>
      </c>
      <c r="N34" s="1">
        <f t="shared" si="0"/>
        <v>378</v>
      </c>
      <c r="O34" s="14">
        <f t="shared" si="1"/>
        <v>63</v>
      </c>
      <c r="P34" s="20">
        <f t="shared" si="2"/>
        <v>28</v>
      </c>
    </row>
    <row r="35" spans="1:16" ht="18" customHeight="1">
      <c r="A35" s="19">
        <v>29</v>
      </c>
      <c r="B35" s="2" t="s">
        <v>2730</v>
      </c>
      <c r="C35" s="1">
        <v>311240398</v>
      </c>
      <c r="D35" s="3" t="s">
        <v>2731</v>
      </c>
      <c r="E35" s="1" t="s">
        <v>69</v>
      </c>
      <c r="F35" s="10" t="s">
        <v>2728</v>
      </c>
      <c r="G35" s="2" t="s">
        <v>2729</v>
      </c>
      <c r="H35" s="6">
        <v>93</v>
      </c>
      <c r="I35" s="6">
        <v>92</v>
      </c>
      <c r="J35" s="6">
        <v>48</v>
      </c>
      <c r="K35" s="6">
        <v>80</v>
      </c>
      <c r="L35" s="6">
        <v>30</v>
      </c>
      <c r="M35" s="6">
        <v>30</v>
      </c>
      <c r="N35" s="1">
        <f t="shared" si="0"/>
        <v>373</v>
      </c>
      <c r="O35" s="14">
        <f t="shared" si="1"/>
        <v>62.166666666666664</v>
      </c>
      <c r="P35" s="20">
        <f t="shared" si="2"/>
        <v>29</v>
      </c>
    </row>
    <row r="36" spans="1:16" ht="18" customHeight="1">
      <c r="A36" s="19">
        <v>30</v>
      </c>
      <c r="B36" s="2" t="s">
        <v>2860</v>
      </c>
      <c r="C36" s="1">
        <v>311240413</v>
      </c>
      <c r="D36" s="3" t="s">
        <v>2861</v>
      </c>
      <c r="E36" s="1" t="s">
        <v>65</v>
      </c>
      <c r="F36" s="10" t="s">
        <v>2728</v>
      </c>
      <c r="G36" s="2">
        <v>11</v>
      </c>
      <c r="H36" s="6">
        <v>100</v>
      </c>
      <c r="I36" s="6">
        <v>55</v>
      </c>
      <c r="J36" s="6">
        <v>33</v>
      </c>
      <c r="K36" s="6">
        <v>66</v>
      </c>
      <c r="L36" s="6">
        <v>80</v>
      </c>
      <c r="M36" s="6">
        <v>36</v>
      </c>
      <c r="N36" s="1">
        <f t="shared" si="0"/>
        <v>370</v>
      </c>
      <c r="O36" s="14">
        <f t="shared" si="1"/>
        <v>61.666666666666664</v>
      </c>
      <c r="P36" s="20">
        <f t="shared" si="2"/>
        <v>30</v>
      </c>
    </row>
    <row r="37" spans="1:16" ht="18" customHeight="1">
      <c r="A37" s="19">
        <v>31</v>
      </c>
      <c r="B37" s="2" t="s">
        <v>2831</v>
      </c>
      <c r="C37" s="1">
        <v>311240427</v>
      </c>
      <c r="D37" s="3" t="s">
        <v>2832</v>
      </c>
      <c r="E37" s="1" t="s">
        <v>64</v>
      </c>
      <c r="F37" s="10" t="s">
        <v>2728</v>
      </c>
      <c r="G37" s="2">
        <v>10</v>
      </c>
      <c r="H37" s="6">
        <v>72</v>
      </c>
      <c r="I37" s="6">
        <v>72</v>
      </c>
      <c r="J37" s="6">
        <v>41</v>
      </c>
      <c r="K37" s="6">
        <v>82</v>
      </c>
      <c r="L37" s="6">
        <v>70</v>
      </c>
      <c r="M37" s="6">
        <v>30</v>
      </c>
      <c r="N37" s="1">
        <f t="shared" si="0"/>
        <v>367</v>
      </c>
      <c r="O37" s="14">
        <f t="shared" si="1"/>
        <v>61.166666666666664</v>
      </c>
      <c r="P37" s="20">
        <f t="shared" si="2"/>
        <v>31</v>
      </c>
    </row>
    <row r="38" spans="1:16" ht="18" customHeight="1">
      <c r="A38" s="19">
        <v>32</v>
      </c>
      <c r="B38" s="2" t="s">
        <v>2833</v>
      </c>
      <c r="C38" s="1">
        <v>311240428</v>
      </c>
      <c r="D38" s="3" t="s">
        <v>2834</v>
      </c>
      <c r="E38" s="1" t="s">
        <v>64</v>
      </c>
      <c r="F38" s="10" t="s">
        <v>2728</v>
      </c>
      <c r="G38" s="2">
        <v>10</v>
      </c>
      <c r="H38" s="6">
        <v>93</v>
      </c>
      <c r="I38" s="6">
        <v>74</v>
      </c>
      <c r="J38" s="6">
        <v>45</v>
      </c>
      <c r="K38" s="6">
        <v>62</v>
      </c>
      <c r="L38" s="6">
        <v>60</v>
      </c>
      <c r="M38" s="6">
        <v>28</v>
      </c>
      <c r="N38" s="1">
        <f t="shared" si="0"/>
        <v>362</v>
      </c>
      <c r="O38" s="14">
        <f t="shared" si="1"/>
        <v>60.333333333333336</v>
      </c>
      <c r="P38" s="20">
        <f t="shared" si="2"/>
        <v>32</v>
      </c>
    </row>
    <row r="39" spans="1:16" ht="18" customHeight="1">
      <c r="A39" s="19">
        <v>33</v>
      </c>
      <c r="B39" s="2" t="s">
        <v>2817</v>
      </c>
      <c r="C39" s="1" t="s">
        <v>2818</v>
      </c>
      <c r="D39" s="3" t="s">
        <v>2819</v>
      </c>
      <c r="E39" s="1" t="s">
        <v>74</v>
      </c>
      <c r="F39" s="10" t="s">
        <v>2728</v>
      </c>
      <c r="G39" s="2">
        <v>10</v>
      </c>
      <c r="H39" s="6">
        <v>100</v>
      </c>
      <c r="I39" s="6">
        <v>80</v>
      </c>
      <c r="J39" s="6">
        <v>66</v>
      </c>
      <c r="K39" s="6">
        <v>80</v>
      </c>
      <c r="L39" s="6">
        <v>25</v>
      </c>
      <c r="M39" s="6">
        <v>8</v>
      </c>
      <c r="N39" s="1">
        <f t="shared" ref="N39:N68" si="3">SUBTOTAL(9,H39:M39)</f>
        <v>359</v>
      </c>
      <c r="O39" s="14">
        <f t="shared" ref="O39:O68" si="4">N39/6</f>
        <v>59.833333333333336</v>
      </c>
      <c r="P39" s="20">
        <f t="shared" ref="P39:P68" si="5">RANK(O39,O$7:O$310,0)</f>
        <v>33</v>
      </c>
    </row>
    <row r="40" spans="1:16" ht="18" customHeight="1">
      <c r="A40" s="19">
        <v>34</v>
      </c>
      <c r="B40" s="2" t="s">
        <v>2771</v>
      </c>
      <c r="C40" s="1">
        <v>331220013</v>
      </c>
      <c r="D40" s="3" t="s">
        <v>92</v>
      </c>
      <c r="E40" s="1" t="s">
        <v>71</v>
      </c>
      <c r="F40" s="10" t="s">
        <v>2728</v>
      </c>
      <c r="G40" s="2" t="s">
        <v>2729</v>
      </c>
      <c r="H40" s="6">
        <v>100</v>
      </c>
      <c r="I40" s="6">
        <v>62</v>
      </c>
      <c r="J40" s="6">
        <v>23</v>
      </c>
      <c r="K40" s="6">
        <v>70</v>
      </c>
      <c r="L40" s="6">
        <v>53</v>
      </c>
      <c r="M40" s="6">
        <v>46</v>
      </c>
      <c r="N40" s="1">
        <f t="shared" si="3"/>
        <v>354</v>
      </c>
      <c r="O40" s="14">
        <f t="shared" si="4"/>
        <v>59</v>
      </c>
      <c r="P40" s="20">
        <f t="shared" si="5"/>
        <v>34</v>
      </c>
    </row>
    <row r="41" spans="1:16" ht="18" customHeight="1">
      <c r="A41" s="19">
        <v>35</v>
      </c>
      <c r="B41" s="2" t="s">
        <v>2868</v>
      </c>
      <c r="C41" s="1">
        <v>311240416</v>
      </c>
      <c r="D41" s="3" t="s">
        <v>2869</v>
      </c>
      <c r="E41" s="1" t="s">
        <v>353</v>
      </c>
      <c r="F41" s="10" t="s">
        <v>2728</v>
      </c>
      <c r="G41" s="2">
        <v>11</v>
      </c>
      <c r="H41" s="6">
        <v>100</v>
      </c>
      <c r="I41" s="6">
        <v>54</v>
      </c>
      <c r="J41" s="6">
        <v>61</v>
      </c>
      <c r="K41" s="6">
        <v>74</v>
      </c>
      <c r="L41" s="6">
        <v>45</v>
      </c>
      <c r="M41" s="6">
        <v>12</v>
      </c>
      <c r="N41" s="1">
        <f t="shared" si="3"/>
        <v>346</v>
      </c>
      <c r="O41" s="14">
        <f t="shared" si="4"/>
        <v>57.666666666666664</v>
      </c>
      <c r="P41" s="20">
        <f t="shared" si="5"/>
        <v>35</v>
      </c>
    </row>
    <row r="42" spans="1:16" ht="18" customHeight="1">
      <c r="A42" s="19">
        <v>36</v>
      </c>
      <c r="B42" s="2" t="s">
        <v>2814</v>
      </c>
      <c r="C42" s="1" t="s">
        <v>2815</v>
      </c>
      <c r="D42" s="3" t="s">
        <v>2816</v>
      </c>
      <c r="E42" s="1" t="s">
        <v>63</v>
      </c>
      <c r="F42" s="10" t="s">
        <v>2728</v>
      </c>
      <c r="G42" s="2">
        <v>10</v>
      </c>
      <c r="H42" s="6">
        <v>93</v>
      </c>
      <c r="I42" s="6">
        <v>52</v>
      </c>
      <c r="J42" s="6">
        <v>46</v>
      </c>
      <c r="K42" s="6">
        <v>72</v>
      </c>
      <c r="L42" s="6">
        <v>47</v>
      </c>
      <c r="M42" s="6">
        <v>32</v>
      </c>
      <c r="N42" s="1">
        <f t="shared" si="3"/>
        <v>342</v>
      </c>
      <c r="O42" s="14">
        <f t="shared" si="4"/>
        <v>57</v>
      </c>
      <c r="P42" s="20">
        <f t="shared" si="5"/>
        <v>36</v>
      </c>
    </row>
    <row r="43" spans="1:16" ht="18" customHeight="1">
      <c r="A43" s="19">
        <v>37</v>
      </c>
      <c r="B43" s="2" t="s">
        <v>2845</v>
      </c>
      <c r="C43" s="1" t="s">
        <v>2846</v>
      </c>
      <c r="D43" s="3" t="s">
        <v>2847</v>
      </c>
      <c r="E43" s="1" t="s">
        <v>88</v>
      </c>
      <c r="F43" s="10" t="s">
        <v>2728</v>
      </c>
      <c r="G43" s="2">
        <v>11</v>
      </c>
      <c r="H43" s="6">
        <v>79</v>
      </c>
      <c r="I43" s="6">
        <v>84</v>
      </c>
      <c r="J43" s="6">
        <v>17</v>
      </c>
      <c r="K43" s="6">
        <v>80</v>
      </c>
      <c r="L43" s="6">
        <v>64</v>
      </c>
      <c r="M43" s="6">
        <v>14</v>
      </c>
      <c r="N43" s="1">
        <f t="shared" si="3"/>
        <v>338</v>
      </c>
      <c r="O43" s="14">
        <f t="shared" si="4"/>
        <v>56.333333333333336</v>
      </c>
      <c r="P43" s="20">
        <f t="shared" si="5"/>
        <v>37</v>
      </c>
    </row>
    <row r="44" spans="1:16" ht="18" customHeight="1">
      <c r="A44" s="19">
        <v>38</v>
      </c>
      <c r="B44" s="2" t="s">
        <v>2725</v>
      </c>
      <c r="C44" s="1" t="s">
        <v>2726</v>
      </c>
      <c r="D44" s="3" t="s">
        <v>2727</v>
      </c>
      <c r="E44" s="1" t="s">
        <v>56</v>
      </c>
      <c r="F44" s="10" t="s">
        <v>2728</v>
      </c>
      <c r="G44" s="2" t="s">
        <v>2729</v>
      </c>
      <c r="H44" s="6">
        <v>86</v>
      </c>
      <c r="I44" s="6">
        <v>58</v>
      </c>
      <c r="J44" s="6">
        <v>35</v>
      </c>
      <c r="K44" s="6">
        <v>80</v>
      </c>
      <c r="L44" s="6">
        <v>49</v>
      </c>
      <c r="M44" s="6">
        <v>28</v>
      </c>
      <c r="N44" s="1">
        <f t="shared" si="3"/>
        <v>336</v>
      </c>
      <c r="O44" s="14">
        <f t="shared" si="4"/>
        <v>56</v>
      </c>
      <c r="P44" s="20">
        <f t="shared" si="5"/>
        <v>38</v>
      </c>
    </row>
    <row r="45" spans="1:16" ht="18" customHeight="1">
      <c r="A45" s="19">
        <v>39</v>
      </c>
      <c r="B45" s="2" t="s">
        <v>2809</v>
      </c>
      <c r="C45" s="1" t="s">
        <v>2810</v>
      </c>
      <c r="D45" s="3" t="s">
        <v>2811</v>
      </c>
      <c r="E45" s="1" t="s">
        <v>84</v>
      </c>
      <c r="F45" s="10" t="s">
        <v>2728</v>
      </c>
      <c r="G45" s="2">
        <v>10</v>
      </c>
      <c r="H45" s="6">
        <v>86</v>
      </c>
      <c r="I45" s="6">
        <v>66</v>
      </c>
      <c r="J45" s="6">
        <v>66</v>
      </c>
      <c r="K45" s="6">
        <v>70</v>
      </c>
      <c r="L45" s="6">
        <v>39</v>
      </c>
      <c r="M45" s="6">
        <v>5</v>
      </c>
      <c r="N45" s="1">
        <f t="shared" si="3"/>
        <v>332</v>
      </c>
      <c r="O45" s="14">
        <f t="shared" si="4"/>
        <v>55.333333333333336</v>
      </c>
      <c r="P45" s="20">
        <f t="shared" si="5"/>
        <v>39</v>
      </c>
    </row>
    <row r="46" spans="1:16" ht="18" customHeight="1">
      <c r="A46" s="19">
        <v>40</v>
      </c>
      <c r="B46" s="2" t="s">
        <v>2870</v>
      </c>
      <c r="C46" s="1" t="s">
        <v>2871</v>
      </c>
      <c r="D46" s="3" t="s">
        <v>2872</v>
      </c>
      <c r="E46" s="1" t="s">
        <v>76</v>
      </c>
      <c r="F46" s="10" t="s">
        <v>2728</v>
      </c>
      <c r="G46" s="2">
        <v>11</v>
      </c>
      <c r="H46" s="6">
        <v>72</v>
      </c>
      <c r="I46" s="6">
        <v>80</v>
      </c>
      <c r="J46" s="6">
        <v>17</v>
      </c>
      <c r="K46" s="6">
        <v>68</v>
      </c>
      <c r="L46" s="6">
        <v>47</v>
      </c>
      <c r="M46" s="6">
        <v>40</v>
      </c>
      <c r="N46" s="1">
        <f t="shared" si="3"/>
        <v>324</v>
      </c>
      <c r="O46" s="14">
        <f t="shared" si="4"/>
        <v>54</v>
      </c>
      <c r="P46" s="20">
        <f t="shared" si="5"/>
        <v>40</v>
      </c>
    </row>
    <row r="47" spans="1:16" ht="18" customHeight="1">
      <c r="A47" s="19">
        <v>41</v>
      </c>
      <c r="B47" s="2" t="s">
        <v>2786</v>
      </c>
      <c r="C47" s="1" t="s">
        <v>2787</v>
      </c>
      <c r="D47" s="3" t="s">
        <v>2788</v>
      </c>
      <c r="E47" s="1" t="s">
        <v>59</v>
      </c>
      <c r="F47" s="10" t="s">
        <v>2728</v>
      </c>
      <c r="G47" s="2">
        <v>10</v>
      </c>
      <c r="H47" s="6">
        <v>53</v>
      </c>
      <c r="I47" s="6">
        <v>59</v>
      </c>
      <c r="J47" s="6">
        <v>38</v>
      </c>
      <c r="K47" s="6">
        <v>76</v>
      </c>
      <c r="L47" s="6">
        <v>59</v>
      </c>
      <c r="M47" s="6">
        <v>38</v>
      </c>
      <c r="N47" s="1">
        <f t="shared" si="3"/>
        <v>323</v>
      </c>
      <c r="O47" s="14">
        <f t="shared" si="4"/>
        <v>53.833333333333336</v>
      </c>
      <c r="P47" s="20">
        <f t="shared" si="5"/>
        <v>41</v>
      </c>
    </row>
    <row r="48" spans="1:16" ht="18" customHeight="1">
      <c r="A48" s="19">
        <v>42</v>
      </c>
      <c r="B48" s="2" t="s">
        <v>2886</v>
      </c>
      <c r="C48" s="1">
        <v>311261003</v>
      </c>
      <c r="D48" s="3" t="s">
        <v>2887</v>
      </c>
      <c r="E48" s="1" t="s">
        <v>71</v>
      </c>
      <c r="F48" s="10" t="s">
        <v>2728</v>
      </c>
      <c r="G48" s="2">
        <v>11</v>
      </c>
      <c r="H48" s="6">
        <v>100</v>
      </c>
      <c r="I48" s="6">
        <v>58</v>
      </c>
      <c r="J48" s="6">
        <v>27</v>
      </c>
      <c r="K48" s="6">
        <v>62</v>
      </c>
      <c r="L48" s="6">
        <v>41</v>
      </c>
      <c r="M48" s="6">
        <v>30</v>
      </c>
      <c r="N48" s="1">
        <f t="shared" si="3"/>
        <v>318</v>
      </c>
      <c r="O48" s="14">
        <f t="shared" si="4"/>
        <v>53</v>
      </c>
      <c r="P48" s="20">
        <f t="shared" si="5"/>
        <v>42</v>
      </c>
    </row>
    <row r="49" spans="1:16" ht="18" customHeight="1">
      <c r="A49" s="19">
        <v>43</v>
      </c>
      <c r="B49" s="2" t="s">
        <v>2877</v>
      </c>
      <c r="C49" s="1" t="s">
        <v>2878</v>
      </c>
      <c r="D49" s="3" t="s">
        <v>2879</v>
      </c>
      <c r="E49" s="1" t="s">
        <v>85</v>
      </c>
      <c r="F49" s="10" t="s">
        <v>2728</v>
      </c>
      <c r="G49" s="2">
        <v>11</v>
      </c>
      <c r="H49" s="6">
        <v>65</v>
      </c>
      <c r="I49" s="6">
        <v>52</v>
      </c>
      <c r="J49" s="6">
        <v>27</v>
      </c>
      <c r="K49" s="6">
        <v>80</v>
      </c>
      <c r="L49" s="6">
        <v>66</v>
      </c>
      <c r="M49" s="6">
        <v>28</v>
      </c>
      <c r="N49" s="1">
        <f t="shared" si="3"/>
        <v>318</v>
      </c>
      <c r="O49" s="14">
        <f t="shared" si="4"/>
        <v>53</v>
      </c>
      <c r="P49" s="20">
        <f t="shared" si="5"/>
        <v>42</v>
      </c>
    </row>
    <row r="50" spans="1:16" ht="18" customHeight="1">
      <c r="A50" s="19">
        <v>44</v>
      </c>
      <c r="B50" s="2" t="s">
        <v>2884</v>
      </c>
      <c r="C50" s="1">
        <v>311260940</v>
      </c>
      <c r="D50" s="3" t="s">
        <v>2885</v>
      </c>
      <c r="E50" s="1" t="s">
        <v>57</v>
      </c>
      <c r="F50" s="10" t="s">
        <v>2728</v>
      </c>
      <c r="G50" s="2">
        <v>11</v>
      </c>
      <c r="H50" s="6">
        <v>72</v>
      </c>
      <c r="I50" s="6">
        <v>58</v>
      </c>
      <c r="J50" s="6">
        <v>30</v>
      </c>
      <c r="K50" s="6">
        <v>62</v>
      </c>
      <c r="L50" s="6">
        <v>62</v>
      </c>
      <c r="M50" s="6">
        <v>27</v>
      </c>
      <c r="N50" s="1">
        <f t="shared" si="3"/>
        <v>311</v>
      </c>
      <c r="O50" s="14">
        <f t="shared" si="4"/>
        <v>51.833333333333336</v>
      </c>
      <c r="P50" s="20">
        <f t="shared" si="5"/>
        <v>44</v>
      </c>
    </row>
    <row r="51" spans="1:16" ht="18" customHeight="1">
      <c r="A51" s="19">
        <v>45</v>
      </c>
      <c r="B51" s="2" t="s">
        <v>2762</v>
      </c>
      <c r="C51" s="1" t="s">
        <v>2763</v>
      </c>
      <c r="D51" s="3" t="s">
        <v>2764</v>
      </c>
      <c r="E51" s="1" t="s">
        <v>57</v>
      </c>
      <c r="F51" s="10" t="s">
        <v>2728</v>
      </c>
      <c r="G51" s="2" t="s">
        <v>2729</v>
      </c>
      <c r="H51" s="6">
        <v>86</v>
      </c>
      <c r="I51" s="6">
        <v>72</v>
      </c>
      <c r="J51" s="6">
        <v>41</v>
      </c>
      <c r="K51" s="6">
        <v>56</v>
      </c>
      <c r="L51" s="6">
        <v>37</v>
      </c>
      <c r="M51" s="6">
        <v>18</v>
      </c>
      <c r="N51" s="1">
        <f t="shared" si="3"/>
        <v>310</v>
      </c>
      <c r="O51" s="14">
        <f t="shared" si="4"/>
        <v>51.666666666666664</v>
      </c>
      <c r="P51" s="20">
        <f t="shared" si="5"/>
        <v>45</v>
      </c>
    </row>
    <row r="52" spans="1:16" ht="18" customHeight="1">
      <c r="A52" s="19">
        <v>46</v>
      </c>
      <c r="B52" s="2" t="s">
        <v>2826</v>
      </c>
      <c r="C52" s="1" t="s">
        <v>2827</v>
      </c>
      <c r="D52" s="3" t="s">
        <v>2828</v>
      </c>
      <c r="E52" s="1" t="s">
        <v>64</v>
      </c>
      <c r="F52" s="10" t="s">
        <v>2728</v>
      </c>
      <c r="G52" s="2">
        <v>10</v>
      </c>
      <c r="H52" s="6">
        <v>65</v>
      </c>
      <c r="I52" s="6">
        <v>52</v>
      </c>
      <c r="J52" s="6">
        <v>32</v>
      </c>
      <c r="K52" s="6">
        <v>80</v>
      </c>
      <c r="L52" s="6">
        <v>59</v>
      </c>
      <c r="M52" s="6">
        <v>19</v>
      </c>
      <c r="N52" s="1">
        <f t="shared" si="3"/>
        <v>307</v>
      </c>
      <c r="O52" s="14">
        <f t="shared" si="4"/>
        <v>51.166666666666664</v>
      </c>
      <c r="P52" s="20">
        <f t="shared" si="5"/>
        <v>46</v>
      </c>
    </row>
    <row r="53" spans="1:16" ht="18" customHeight="1">
      <c r="A53" s="19">
        <v>47</v>
      </c>
      <c r="B53" s="2" t="s">
        <v>2840</v>
      </c>
      <c r="C53" s="1">
        <v>311230109</v>
      </c>
      <c r="D53" s="3" t="s">
        <v>2841</v>
      </c>
      <c r="E53" s="1" t="s">
        <v>78</v>
      </c>
      <c r="F53" s="10" t="s">
        <v>2728</v>
      </c>
      <c r="G53" s="2">
        <v>11</v>
      </c>
      <c r="H53" s="6">
        <v>86</v>
      </c>
      <c r="I53" s="6">
        <v>34</v>
      </c>
      <c r="J53" s="6">
        <v>50</v>
      </c>
      <c r="K53" s="6">
        <v>60</v>
      </c>
      <c r="L53" s="6">
        <v>64</v>
      </c>
      <c r="M53" s="6">
        <v>9</v>
      </c>
      <c r="N53" s="1">
        <f t="shared" si="3"/>
        <v>303</v>
      </c>
      <c r="O53" s="14">
        <f t="shared" si="4"/>
        <v>50.5</v>
      </c>
      <c r="P53" s="20">
        <f t="shared" si="5"/>
        <v>47</v>
      </c>
    </row>
    <row r="54" spans="1:16" ht="18" customHeight="1">
      <c r="A54" s="19">
        <v>48</v>
      </c>
      <c r="B54" s="2" t="s">
        <v>2735</v>
      </c>
      <c r="C54" s="1" t="s">
        <v>2736</v>
      </c>
      <c r="D54" s="3" t="s">
        <v>2737</v>
      </c>
      <c r="E54" s="1" t="s">
        <v>69</v>
      </c>
      <c r="F54" s="10" t="s">
        <v>2728</v>
      </c>
      <c r="G54" s="2" t="s">
        <v>2729</v>
      </c>
      <c r="H54" s="6">
        <v>100</v>
      </c>
      <c r="I54" s="6">
        <v>42</v>
      </c>
      <c r="J54" s="6">
        <v>31</v>
      </c>
      <c r="K54" s="6">
        <v>72</v>
      </c>
      <c r="L54" s="6">
        <v>39</v>
      </c>
      <c r="M54" s="6">
        <v>14</v>
      </c>
      <c r="N54" s="1">
        <f t="shared" si="3"/>
        <v>298</v>
      </c>
      <c r="O54" s="14">
        <f t="shared" si="4"/>
        <v>49.666666666666664</v>
      </c>
      <c r="P54" s="20">
        <f t="shared" si="5"/>
        <v>48</v>
      </c>
    </row>
    <row r="55" spans="1:16" ht="18" customHeight="1">
      <c r="A55" s="19">
        <v>49</v>
      </c>
      <c r="B55" s="2" t="s">
        <v>2865</v>
      </c>
      <c r="C55" s="1" t="s">
        <v>2866</v>
      </c>
      <c r="D55" s="3" t="s">
        <v>2867</v>
      </c>
      <c r="E55" s="1" t="s">
        <v>82</v>
      </c>
      <c r="F55" s="10" t="s">
        <v>2728</v>
      </c>
      <c r="G55" s="2">
        <v>11</v>
      </c>
      <c r="H55" s="6">
        <v>100</v>
      </c>
      <c r="I55" s="6">
        <v>63</v>
      </c>
      <c r="J55" s="6">
        <v>28</v>
      </c>
      <c r="K55" s="6">
        <v>56</v>
      </c>
      <c r="L55" s="6">
        <v>25</v>
      </c>
      <c r="M55" s="6">
        <v>14</v>
      </c>
      <c r="N55" s="1">
        <f t="shared" si="3"/>
        <v>286</v>
      </c>
      <c r="O55" s="14">
        <f t="shared" si="4"/>
        <v>47.666666666666664</v>
      </c>
      <c r="P55" s="20">
        <f t="shared" si="5"/>
        <v>49</v>
      </c>
    </row>
    <row r="56" spans="1:16" ht="18" customHeight="1">
      <c r="A56" s="19">
        <v>50</v>
      </c>
      <c r="B56" s="2" t="s">
        <v>2783</v>
      </c>
      <c r="C56" s="1" t="s">
        <v>2784</v>
      </c>
      <c r="D56" s="3" t="s">
        <v>2785</v>
      </c>
      <c r="E56" s="1" t="s">
        <v>58</v>
      </c>
      <c r="F56" s="10" t="s">
        <v>2728</v>
      </c>
      <c r="G56" s="2">
        <v>10</v>
      </c>
      <c r="H56" s="6">
        <v>72</v>
      </c>
      <c r="I56" s="6">
        <v>56</v>
      </c>
      <c r="J56" s="6">
        <v>36</v>
      </c>
      <c r="K56" s="6">
        <v>54</v>
      </c>
      <c r="L56" s="6">
        <v>50</v>
      </c>
      <c r="M56" s="6">
        <v>9</v>
      </c>
      <c r="N56" s="1">
        <f t="shared" si="3"/>
        <v>277</v>
      </c>
      <c r="O56" s="14">
        <f t="shared" si="4"/>
        <v>46.166666666666664</v>
      </c>
      <c r="P56" s="20">
        <f t="shared" si="5"/>
        <v>50</v>
      </c>
    </row>
    <row r="57" spans="1:16" ht="18" customHeight="1">
      <c r="A57" s="19">
        <v>51</v>
      </c>
      <c r="B57" s="2" t="s">
        <v>2774</v>
      </c>
      <c r="C57" s="1" t="s">
        <v>2775</v>
      </c>
      <c r="D57" s="3" t="s">
        <v>2776</v>
      </c>
      <c r="E57" s="1" t="s">
        <v>58</v>
      </c>
      <c r="F57" s="10" t="s">
        <v>2728</v>
      </c>
      <c r="G57" s="2" t="s">
        <v>2729</v>
      </c>
      <c r="H57" s="6">
        <v>72</v>
      </c>
      <c r="I57" s="6">
        <v>57</v>
      </c>
      <c r="J57" s="6">
        <v>12</v>
      </c>
      <c r="K57" s="6">
        <v>80</v>
      </c>
      <c r="L57" s="6">
        <v>40</v>
      </c>
      <c r="M57" s="6">
        <v>4</v>
      </c>
      <c r="N57" s="1">
        <f t="shared" si="3"/>
        <v>265</v>
      </c>
      <c r="O57" s="14">
        <f t="shared" si="4"/>
        <v>44.166666666666664</v>
      </c>
      <c r="P57" s="20">
        <f t="shared" si="5"/>
        <v>51</v>
      </c>
    </row>
    <row r="58" spans="1:16" ht="18" customHeight="1">
      <c r="A58" s="19">
        <v>52</v>
      </c>
      <c r="B58" s="2" t="s">
        <v>2738</v>
      </c>
      <c r="C58" s="1">
        <v>311220616</v>
      </c>
      <c r="D58" s="3" t="s">
        <v>2739</v>
      </c>
      <c r="E58" s="1" t="s">
        <v>69</v>
      </c>
      <c r="F58" s="10" t="s">
        <v>2728</v>
      </c>
      <c r="G58" s="2" t="s">
        <v>2729</v>
      </c>
      <c r="H58" s="6">
        <v>79</v>
      </c>
      <c r="I58" s="6">
        <v>44</v>
      </c>
      <c r="J58" s="6">
        <v>27</v>
      </c>
      <c r="K58" s="6">
        <v>46</v>
      </c>
      <c r="L58" s="6">
        <v>49</v>
      </c>
      <c r="M58" s="6">
        <v>12</v>
      </c>
      <c r="N58" s="1">
        <f t="shared" si="3"/>
        <v>257</v>
      </c>
      <c r="O58" s="14">
        <f t="shared" si="4"/>
        <v>42.833333333333336</v>
      </c>
      <c r="P58" s="20">
        <f t="shared" si="5"/>
        <v>52</v>
      </c>
    </row>
    <row r="59" spans="1:16" ht="18" customHeight="1">
      <c r="A59" s="19">
        <v>53</v>
      </c>
      <c r="B59" s="2" t="s">
        <v>2795</v>
      </c>
      <c r="C59" s="1">
        <v>311240404</v>
      </c>
      <c r="D59" s="3" t="s">
        <v>2796</v>
      </c>
      <c r="E59" s="1" t="s">
        <v>80</v>
      </c>
      <c r="F59" s="10" t="s">
        <v>2728</v>
      </c>
      <c r="G59" s="2">
        <v>10</v>
      </c>
      <c r="H59" s="6">
        <v>50</v>
      </c>
      <c r="I59" s="6">
        <v>57</v>
      </c>
      <c r="J59" s="6">
        <v>23</v>
      </c>
      <c r="K59" s="6">
        <v>54</v>
      </c>
      <c r="L59" s="6">
        <v>60</v>
      </c>
      <c r="M59" s="6">
        <v>13</v>
      </c>
      <c r="N59" s="1">
        <f t="shared" si="3"/>
        <v>257</v>
      </c>
      <c r="O59" s="14">
        <f t="shared" si="4"/>
        <v>42.833333333333336</v>
      </c>
      <c r="P59" s="20">
        <f t="shared" si="5"/>
        <v>52</v>
      </c>
    </row>
    <row r="60" spans="1:16" ht="18" customHeight="1">
      <c r="A60" s="19">
        <v>54</v>
      </c>
      <c r="B60" s="2" t="s">
        <v>2757</v>
      </c>
      <c r="C60" s="1">
        <v>311220550</v>
      </c>
      <c r="D60" s="3" t="s">
        <v>2758</v>
      </c>
      <c r="E60" s="1" t="s">
        <v>70</v>
      </c>
      <c r="F60" s="10" t="s">
        <v>2728</v>
      </c>
      <c r="G60" s="2" t="s">
        <v>2729</v>
      </c>
      <c r="H60" s="6">
        <v>100</v>
      </c>
      <c r="I60" s="6">
        <v>32</v>
      </c>
      <c r="J60" s="6">
        <v>19</v>
      </c>
      <c r="K60" s="6">
        <v>72</v>
      </c>
      <c r="L60" s="6">
        <v>12</v>
      </c>
      <c r="M60" s="6">
        <v>12</v>
      </c>
      <c r="N60" s="1">
        <f t="shared" si="3"/>
        <v>247</v>
      </c>
      <c r="O60" s="14">
        <f t="shared" si="4"/>
        <v>41.166666666666664</v>
      </c>
      <c r="P60" s="20">
        <f t="shared" si="5"/>
        <v>54</v>
      </c>
    </row>
    <row r="61" spans="1:16" ht="18" customHeight="1">
      <c r="A61" s="19">
        <v>55</v>
      </c>
      <c r="B61" s="2" t="s">
        <v>2808</v>
      </c>
      <c r="C61" s="1">
        <v>4233055</v>
      </c>
      <c r="D61" s="3" t="s">
        <v>957</v>
      </c>
      <c r="E61" s="1" t="s">
        <v>77</v>
      </c>
      <c r="F61" s="10" t="s">
        <v>2728</v>
      </c>
      <c r="G61" s="2">
        <v>10</v>
      </c>
      <c r="H61" s="6">
        <v>100</v>
      </c>
      <c r="I61" s="6">
        <v>20</v>
      </c>
      <c r="J61" s="6">
        <v>8</v>
      </c>
      <c r="K61" s="6">
        <v>80</v>
      </c>
      <c r="L61" s="6">
        <v>8</v>
      </c>
      <c r="M61" s="6">
        <v>18</v>
      </c>
      <c r="N61" s="1">
        <f t="shared" si="3"/>
        <v>234</v>
      </c>
      <c r="O61" s="14">
        <f t="shared" si="4"/>
        <v>39</v>
      </c>
      <c r="P61" s="20">
        <f t="shared" si="5"/>
        <v>55</v>
      </c>
    </row>
    <row r="62" spans="1:16" ht="18" customHeight="1">
      <c r="A62" s="19">
        <v>56</v>
      </c>
      <c r="B62" s="2" t="s">
        <v>2745</v>
      </c>
      <c r="C62" s="1" t="s">
        <v>2746</v>
      </c>
      <c r="D62" s="3" t="s">
        <v>2747</v>
      </c>
      <c r="E62" s="1" t="s">
        <v>55</v>
      </c>
      <c r="F62" s="10" t="s">
        <v>2728</v>
      </c>
      <c r="G62" s="2" t="s">
        <v>2729</v>
      </c>
      <c r="H62" s="6">
        <v>72</v>
      </c>
      <c r="I62" s="6">
        <v>44</v>
      </c>
      <c r="J62" s="6">
        <v>14</v>
      </c>
      <c r="K62" s="6">
        <v>48</v>
      </c>
      <c r="L62" s="6">
        <v>34</v>
      </c>
      <c r="M62" s="6">
        <v>14</v>
      </c>
      <c r="N62" s="1">
        <f t="shared" si="3"/>
        <v>226</v>
      </c>
      <c r="O62" s="14">
        <f t="shared" si="4"/>
        <v>37.666666666666664</v>
      </c>
      <c r="P62" s="20">
        <f t="shared" si="5"/>
        <v>56</v>
      </c>
    </row>
    <row r="63" spans="1:16" ht="18" customHeight="1">
      <c r="A63" s="19">
        <v>57</v>
      </c>
      <c r="B63" s="2" t="s">
        <v>2777</v>
      </c>
      <c r="C63" s="1" t="s">
        <v>2778</v>
      </c>
      <c r="D63" s="3" t="s">
        <v>2779</v>
      </c>
      <c r="E63" s="1" t="s">
        <v>58</v>
      </c>
      <c r="F63" s="10" t="s">
        <v>2728</v>
      </c>
      <c r="G63" s="2" t="s">
        <v>2729</v>
      </c>
      <c r="H63" s="6">
        <v>57</v>
      </c>
      <c r="I63" s="6">
        <v>38</v>
      </c>
      <c r="J63" s="6">
        <v>27</v>
      </c>
      <c r="K63" s="6">
        <v>46</v>
      </c>
      <c r="L63" s="6">
        <v>41</v>
      </c>
      <c r="M63" s="6">
        <v>12</v>
      </c>
      <c r="N63" s="1">
        <f t="shared" si="3"/>
        <v>221</v>
      </c>
      <c r="O63" s="14">
        <f t="shared" si="4"/>
        <v>36.833333333333336</v>
      </c>
      <c r="P63" s="20">
        <f t="shared" si="5"/>
        <v>57</v>
      </c>
    </row>
    <row r="64" spans="1:16" ht="18" customHeight="1">
      <c r="A64" s="19">
        <v>58</v>
      </c>
      <c r="B64" s="2" t="s">
        <v>2792</v>
      </c>
      <c r="C64" s="1" t="s">
        <v>2793</v>
      </c>
      <c r="D64" s="3" t="s">
        <v>2794</v>
      </c>
      <c r="E64" s="1" t="s">
        <v>61</v>
      </c>
      <c r="F64" s="10" t="s">
        <v>2728</v>
      </c>
      <c r="G64" s="2">
        <v>10</v>
      </c>
      <c r="H64" s="6">
        <v>86</v>
      </c>
      <c r="I64" s="6">
        <v>21</v>
      </c>
      <c r="J64" s="6">
        <v>17</v>
      </c>
      <c r="K64" s="6">
        <v>54</v>
      </c>
      <c r="L64" s="6">
        <v>29</v>
      </c>
      <c r="M64" s="6">
        <v>4</v>
      </c>
      <c r="N64" s="1">
        <f t="shared" si="3"/>
        <v>211</v>
      </c>
      <c r="O64" s="14">
        <f t="shared" si="4"/>
        <v>35.166666666666664</v>
      </c>
      <c r="P64" s="20">
        <f t="shared" si="5"/>
        <v>58</v>
      </c>
    </row>
    <row r="65" spans="1:16" ht="18" customHeight="1">
      <c r="A65" s="19">
        <v>59</v>
      </c>
      <c r="B65" s="2" t="s">
        <v>2740</v>
      </c>
      <c r="C65" s="1">
        <v>311220566</v>
      </c>
      <c r="D65" s="3" t="s">
        <v>2741</v>
      </c>
      <c r="E65" s="1" t="s">
        <v>69</v>
      </c>
      <c r="F65" s="10" t="s">
        <v>2728</v>
      </c>
      <c r="G65" s="2" t="s">
        <v>2729</v>
      </c>
      <c r="H65" s="6">
        <v>65</v>
      </c>
      <c r="I65" s="6">
        <v>22</v>
      </c>
      <c r="J65" s="6">
        <v>21</v>
      </c>
      <c r="K65" s="6">
        <v>64</v>
      </c>
      <c r="L65" s="6">
        <v>26</v>
      </c>
      <c r="M65" s="6">
        <v>4</v>
      </c>
      <c r="N65" s="1">
        <f t="shared" si="3"/>
        <v>202</v>
      </c>
      <c r="O65" s="14">
        <f t="shared" si="4"/>
        <v>33.666666666666664</v>
      </c>
      <c r="P65" s="20">
        <f t="shared" si="5"/>
        <v>59</v>
      </c>
    </row>
    <row r="66" spans="1:16" ht="18" customHeight="1">
      <c r="A66" s="19">
        <v>60</v>
      </c>
      <c r="B66" s="2" t="s">
        <v>2838</v>
      </c>
      <c r="C66" s="1">
        <v>4232694</v>
      </c>
      <c r="D66" s="3" t="s">
        <v>2839</v>
      </c>
      <c r="E66" s="1" t="s">
        <v>78</v>
      </c>
      <c r="F66" s="10" t="s">
        <v>2728</v>
      </c>
      <c r="G66" s="2">
        <v>11</v>
      </c>
      <c r="H66" s="6">
        <v>72</v>
      </c>
      <c r="I66" s="6">
        <v>22</v>
      </c>
      <c r="J66" s="6">
        <v>8</v>
      </c>
      <c r="K66" s="6">
        <v>52</v>
      </c>
      <c r="L66" s="6">
        <v>9</v>
      </c>
      <c r="M66" s="6">
        <v>18</v>
      </c>
      <c r="N66" s="1">
        <f t="shared" si="3"/>
        <v>181</v>
      </c>
      <c r="O66" s="14">
        <f t="shared" si="4"/>
        <v>30.166666666666668</v>
      </c>
      <c r="P66" s="20">
        <f t="shared" si="5"/>
        <v>60</v>
      </c>
    </row>
    <row r="67" spans="1:16" ht="18" customHeight="1">
      <c r="A67" s="19">
        <v>61</v>
      </c>
      <c r="B67" s="2" t="s">
        <v>2873</v>
      </c>
      <c r="C67" s="1">
        <v>311240418</v>
      </c>
      <c r="D67" s="3" t="s">
        <v>2874</v>
      </c>
      <c r="E67" s="1" t="s">
        <v>85</v>
      </c>
      <c r="F67" s="10" t="s">
        <v>2728</v>
      </c>
      <c r="G67" s="2">
        <v>11</v>
      </c>
      <c r="H67" s="6">
        <v>43</v>
      </c>
      <c r="I67" s="6">
        <v>14</v>
      </c>
      <c r="J67" s="6">
        <v>12</v>
      </c>
      <c r="K67" s="6">
        <v>40</v>
      </c>
      <c r="L67" s="6">
        <v>12</v>
      </c>
      <c r="M67" s="6">
        <v>16</v>
      </c>
      <c r="N67" s="1">
        <f t="shared" si="3"/>
        <v>137</v>
      </c>
      <c r="O67" s="14">
        <f t="shared" si="4"/>
        <v>22.833333333333332</v>
      </c>
      <c r="P67" s="20">
        <f t="shared" si="5"/>
        <v>61</v>
      </c>
    </row>
    <row r="68" spans="1:16" ht="18" customHeight="1">
      <c r="A68" s="19">
        <v>62</v>
      </c>
      <c r="B68" s="28" t="s">
        <v>2754</v>
      </c>
      <c r="C68" s="29" t="s">
        <v>2755</v>
      </c>
      <c r="D68" s="30" t="s">
        <v>2756</v>
      </c>
      <c r="E68" s="29" t="s">
        <v>55</v>
      </c>
      <c r="F68" s="31" t="s">
        <v>2728</v>
      </c>
      <c r="G68" s="28" t="s">
        <v>2729</v>
      </c>
      <c r="H68" s="46"/>
      <c r="I68" s="46"/>
      <c r="J68" s="46"/>
      <c r="K68" s="46">
        <v>88</v>
      </c>
      <c r="L68" s="46"/>
      <c r="M68" s="46"/>
      <c r="N68" s="29">
        <f t="shared" si="3"/>
        <v>88</v>
      </c>
      <c r="O68" s="41">
        <f t="shared" si="4"/>
        <v>14.666666666666666</v>
      </c>
      <c r="P68" s="33">
        <f t="shared" si="5"/>
        <v>62</v>
      </c>
    </row>
  </sheetData>
  <mergeCells count="4">
    <mergeCell ref="A1:P1"/>
    <mergeCell ref="A2:P2"/>
    <mergeCell ref="A3:P3"/>
    <mergeCell ref="A5:B5"/>
  </mergeCells>
  <conditionalFormatting sqref="H7:M7">
    <cfRule type="expression" dxfId="5497" priority="247">
      <formula>5</formula>
    </cfRule>
    <cfRule type="cellIs" dxfId="5496" priority="248" operator="lessThan">
      <formula>5</formula>
    </cfRule>
  </conditionalFormatting>
  <conditionalFormatting sqref="H7:M7">
    <cfRule type="cellIs" dxfId="5495" priority="246" operator="lessThan">
      <formula>50</formula>
    </cfRule>
  </conditionalFormatting>
  <conditionalFormatting sqref="O7">
    <cfRule type="cellIs" dxfId="5494" priority="245" operator="lessThan">
      <formula>50</formula>
    </cfRule>
  </conditionalFormatting>
  <conditionalFormatting sqref="H8:M8">
    <cfRule type="expression" dxfId="5493" priority="243">
      <formula>5</formula>
    </cfRule>
    <cfRule type="cellIs" dxfId="5492" priority="244" operator="lessThan">
      <formula>5</formula>
    </cfRule>
  </conditionalFormatting>
  <conditionalFormatting sqref="H8:M8">
    <cfRule type="cellIs" dxfId="5491" priority="242" operator="lessThan">
      <formula>50</formula>
    </cfRule>
  </conditionalFormatting>
  <conditionalFormatting sqref="O8">
    <cfRule type="cellIs" dxfId="5490" priority="241" operator="lessThan">
      <formula>50</formula>
    </cfRule>
  </conditionalFormatting>
  <conditionalFormatting sqref="H9:M9">
    <cfRule type="expression" dxfId="5489" priority="239">
      <formula>5</formula>
    </cfRule>
    <cfRule type="cellIs" dxfId="5488" priority="240" operator="lessThan">
      <formula>5</formula>
    </cfRule>
  </conditionalFormatting>
  <conditionalFormatting sqref="H9:M9">
    <cfRule type="cellIs" dxfId="5487" priority="238" operator="lessThan">
      <formula>50</formula>
    </cfRule>
  </conditionalFormatting>
  <conditionalFormatting sqref="O9">
    <cfRule type="cellIs" dxfId="5486" priority="237" operator="lessThan">
      <formula>50</formula>
    </cfRule>
  </conditionalFormatting>
  <conditionalFormatting sqref="H10:M10">
    <cfRule type="expression" dxfId="5485" priority="235">
      <formula>5</formula>
    </cfRule>
    <cfRule type="cellIs" dxfId="5484" priority="236" operator="lessThan">
      <formula>5</formula>
    </cfRule>
  </conditionalFormatting>
  <conditionalFormatting sqref="H10:M10">
    <cfRule type="cellIs" dxfId="5483" priority="234" operator="lessThan">
      <formula>50</formula>
    </cfRule>
  </conditionalFormatting>
  <conditionalFormatting sqref="O10">
    <cfRule type="cellIs" dxfId="5482" priority="233" operator="lessThan">
      <formula>50</formula>
    </cfRule>
  </conditionalFormatting>
  <conditionalFormatting sqref="H11:M11">
    <cfRule type="expression" dxfId="5481" priority="231">
      <formula>5</formula>
    </cfRule>
    <cfRule type="cellIs" dxfId="5480" priority="232" operator="lessThan">
      <formula>5</formula>
    </cfRule>
  </conditionalFormatting>
  <conditionalFormatting sqref="H11:M11">
    <cfRule type="cellIs" dxfId="5479" priority="230" operator="lessThan">
      <formula>50</formula>
    </cfRule>
  </conditionalFormatting>
  <conditionalFormatting sqref="O11">
    <cfRule type="cellIs" dxfId="5478" priority="229" operator="lessThan">
      <formula>50</formula>
    </cfRule>
  </conditionalFormatting>
  <conditionalFormatting sqref="H12:M12">
    <cfRule type="expression" dxfId="5477" priority="227">
      <formula>5</formula>
    </cfRule>
    <cfRule type="cellIs" dxfId="5476" priority="228" operator="lessThan">
      <formula>5</formula>
    </cfRule>
  </conditionalFormatting>
  <conditionalFormatting sqref="H12:M12">
    <cfRule type="cellIs" dxfId="5475" priority="226" operator="lessThan">
      <formula>50</formula>
    </cfRule>
  </conditionalFormatting>
  <conditionalFormatting sqref="O12">
    <cfRule type="cellIs" dxfId="5474" priority="225" operator="lessThan">
      <formula>50</formula>
    </cfRule>
  </conditionalFormatting>
  <conditionalFormatting sqref="H13:M13">
    <cfRule type="expression" dxfId="5473" priority="223">
      <formula>5</formula>
    </cfRule>
    <cfRule type="cellIs" dxfId="5472" priority="224" operator="lessThan">
      <formula>5</formula>
    </cfRule>
  </conditionalFormatting>
  <conditionalFormatting sqref="H13:M13">
    <cfRule type="cellIs" dxfId="5471" priority="222" operator="lessThan">
      <formula>50</formula>
    </cfRule>
  </conditionalFormatting>
  <conditionalFormatting sqref="O13">
    <cfRule type="cellIs" dxfId="5470" priority="221" operator="lessThan">
      <formula>50</formula>
    </cfRule>
  </conditionalFormatting>
  <conditionalFormatting sqref="H14:M14">
    <cfRule type="expression" dxfId="5469" priority="219">
      <formula>5</formula>
    </cfRule>
    <cfRule type="cellIs" dxfId="5468" priority="220" operator="lessThan">
      <formula>5</formula>
    </cfRule>
  </conditionalFormatting>
  <conditionalFormatting sqref="H14:M14">
    <cfRule type="cellIs" dxfId="5467" priority="218" operator="lessThan">
      <formula>50</formula>
    </cfRule>
  </conditionalFormatting>
  <conditionalFormatting sqref="O14">
    <cfRule type="cellIs" dxfId="5466" priority="217" operator="lessThan">
      <formula>50</formula>
    </cfRule>
  </conditionalFormatting>
  <conditionalFormatting sqref="H15:M15">
    <cfRule type="expression" dxfId="5465" priority="215">
      <formula>5</formula>
    </cfRule>
    <cfRule type="cellIs" dxfId="5464" priority="216" operator="lessThan">
      <formula>5</formula>
    </cfRule>
  </conditionalFormatting>
  <conditionalFormatting sqref="H15:M15">
    <cfRule type="cellIs" dxfId="5463" priority="214" operator="lessThan">
      <formula>50</formula>
    </cfRule>
  </conditionalFormatting>
  <conditionalFormatting sqref="O15">
    <cfRule type="cellIs" dxfId="5462" priority="213" operator="lessThan">
      <formula>50</formula>
    </cfRule>
  </conditionalFormatting>
  <conditionalFormatting sqref="H16:M16">
    <cfRule type="expression" dxfId="5461" priority="211">
      <formula>5</formula>
    </cfRule>
    <cfRule type="cellIs" dxfId="5460" priority="212" operator="lessThan">
      <formula>5</formula>
    </cfRule>
  </conditionalFormatting>
  <conditionalFormatting sqref="H16:M16">
    <cfRule type="cellIs" dxfId="5459" priority="210" operator="lessThan">
      <formula>50</formula>
    </cfRule>
  </conditionalFormatting>
  <conditionalFormatting sqref="O16">
    <cfRule type="cellIs" dxfId="5458" priority="209" operator="lessThan">
      <formula>50</formula>
    </cfRule>
  </conditionalFormatting>
  <conditionalFormatting sqref="H17:M17">
    <cfRule type="expression" dxfId="5457" priority="207">
      <formula>5</formula>
    </cfRule>
    <cfRule type="cellIs" dxfId="5456" priority="208" operator="lessThan">
      <formula>5</formula>
    </cfRule>
  </conditionalFormatting>
  <conditionalFormatting sqref="H17:M17">
    <cfRule type="cellIs" dxfId="5455" priority="206" operator="lessThan">
      <formula>50</formula>
    </cfRule>
  </conditionalFormatting>
  <conditionalFormatting sqref="O17">
    <cfRule type="cellIs" dxfId="5454" priority="205" operator="lessThan">
      <formula>50</formula>
    </cfRule>
  </conditionalFormatting>
  <conditionalFormatting sqref="H18:M18">
    <cfRule type="expression" dxfId="5453" priority="203">
      <formula>5</formula>
    </cfRule>
    <cfRule type="cellIs" dxfId="5452" priority="204" operator="lessThan">
      <formula>5</formula>
    </cfRule>
  </conditionalFormatting>
  <conditionalFormatting sqref="H18:M18">
    <cfRule type="cellIs" dxfId="5451" priority="202" operator="lessThan">
      <formula>50</formula>
    </cfRule>
  </conditionalFormatting>
  <conditionalFormatting sqref="O18">
    <cfRule type="cellIs" dxfId="5450" priority="201" operator="lessThan">
      <formula>50</formula>
    </cfRule>
  </conditionalFormatting>
  <conditionalFormatting sqref="H19:M19">
    <cfRule type="expression" dxfId="5449" priority="199">
      <formula>5</formula>
    </cfRule>
    <cfRule type="cellIs" dxfId="5448" priority="200" operator="lessThan">
      <formula>5</formula>
    </cfRule>
  </conditionalFormatting>
  <conditionalFormatting sqref="H19:M19">
    <cfRule type="cellIs" dxfId="5447" priority="198" operator="lessThan">
      <formula>50</formula>
    </cfRule>
  </conditionalFormatting>
  <conditionalFormatting sqref="O19">
    <cfRule type="cellIs" dxfId="5446" priority="197" operator="lessThan">
      <formula>50</formula>
    </cfRule>
  </conditionalFormatting>
  <conditionalFormatting sqref="H20:M20">
    <cfRule type="expression" dxfId="5445" priority="195">
      <formula>5</formula>
    </cfRule>
    <cfRule type="cellIs" dxfId="5444" priority="196" operator="lessThan">
      <formula>5</formula>
    </cfRule>
  </conditionalFormatting>
  <conditionalFormatting sqref="H20:M20">
    <cfRule type="cellIs" dxfId="5443" priority="194" operator="lessThan">
      <formula>50</formula>
    </cfRule>
  </conditionalFormatting>
  <conditionalFormatting sqref="O20">
    <cfRule type="cellIs" dxfId="5442" priority="193" operator="lessThan">
      <formula>50</formula>
    </cfRule>
  </conditionalFormatting>
  <conditionalFormatting sqref="H21:M21">
    <cfRule type="expression" dxfId="5441" priority="191">
      <formula>5</formula>
    </cfRule>
    <cfRule type="cellIs" dxfId="5440" priority="192" operator="lessThan">
      <formula>5</formula>
    </cfRule>
  </conditionalFormatting>
  <conditionalFormatting sqref="H21:M21">
    <cfRule type="cellIs" dxfId="5439" priority="190" operator="lessThan">
      <formula>50</formula>
    </cfRule>
  </conditionalFormatting>
  <conditionalFormatting sqref="O21">
    <cfRule type="cellIs" dxfId="5438" priority="189" operator="lessThan">
      <formula>50</formula>
    </cfRule>
  </conditionalFormatting>
  <conditionalFormatting sqref="H22:M22">
    <cfRule type="expression" dxfId="5437" priority="187">
      <formula>5</formula>
    </cfRule>
    <cfRule type="cellIs" dxfId="5436" priority="188" operator="lessThan">
      <formula>5</formula>
    </cfRule>
  </conditionalFormatting>
  <conditionalFormatting sqref="H22:M22">
    <cfRule type="cellIs" dxfId="5435" priority="186" operator="lessThan">
      <formula>50</formula>
    </cfRule>
  </conditionalFormatting>
  <conditionalFormatting sqref="O22">
    <cfRule type="cellIs" dxfId="5434" priority="185" operator="lessThan">
      <formula>50</formula>
    </cfRule>
  </conditionalFormatting>
  <conditionalFormatting sqref="H23:M23">
    <cfRule type="expression" dxfId="5433" priority="183">
      <formula>5</formula>
    </cfRule>
    <cfRule type="cellIs" dxfId="5432" priority="184" operator="lessThan">
      <formula>5</formula>
    </cfRule>
  </conditionalFormatting>
  <conditionalFormatting sqref="H23:M23">
    <cfRule type="cellIs" dxfId="5431" priority="182" operator="lessThan">
      <formula>50</formula>
    </cfRule>
  </conditionalFormatting>
  <conditionalFormatting sqref="O23">
    <cfRule type="cellIs" dxfId="5430" priority="181" operator="lessThan">
      <formula>50</formula>
    </cfRule>
  </conditionalFormatting>
  <conditionalFormatting sqref="H24:M24">
    <cfRule type="expression" dxfId="5429" priority="179">
      <formula>5</formula>
    </cfRule>
    <cfRule type="cellIs" dxfId="5428" priority="180" operator="lessThan">
      <formula>5</formula>
    </cfRule>
  </conditionalFormatting>
  <conditionalFormatting sqref="H24:M24">
    <cfRule type="cellIs" dxfId="5427" priority="178" operator="lessThan">
      <formula>50</formula>
    </cfRule>
  </conditionalFormatting>
  <conditionalFormatting sqref="O24">
    <cfRule type="cellIs" dxfId="5426" priority="177" operator="lessThan">
      <formula>50</formula>
    </cfRule>
  </conditionalFormatting>
  <conditionalFormatting sqref="H25:M25">
    <cfRule type="expression" dxfId="5425" priority="175">
      <formula>5</formula>
    </cfRule>
    <cfRule type="cellIs" dxfId="5424" priority="176" operator="lessThan">
      <formula>5</formula>
    </cfRule>
  </conditionalFormatting>
  <conditionalFormatting sqref="H25:M25">
    <cfRule type="cellIs" dxfId="5423" priority="174" operator="lessThan">
      <formula>50</formula>
    </cfRule>
  </conditionalFormatting>
  <conditionalFormatting sqref="O25">
    <cfRule type="cellIs" dxfId="5422" priority="173" operator="lessThan">
      <formula>50</formula>
    </cfRule>
  </conditionalFormatting>
  <conditionalFormatting sqref="H26:M26">
    <cfRule type="expression" dxfId="5421" priority="171">
      <formula>5</formula>
    </cfRule>
    <cfRule type="cellIs" dxfId="5420" priority="172" operator="lessThan">
      <formula>5</formula>
    </cfRule>
  </conditionalFormatting>
  <conditionalFormatting sqref="H26:M26">
    <cfRule type="cellIs" dxfId="5419" priority="170" operator="lessThan">
      <formula>50</formula>
    </cfRule>
  </conditionalFormatting>
  <conditionalFormatting sqref="O26">
    <cfRule type="cellIs" dxfId="5418" priority="169" operator="lessThan">
      <formula>50</formula>
    </cfRule>
  </conditionalFormatting>
  <conditionalFormatting sqref="H27:M27">
    <cfRule type="expression" dxfId="5417" priority="167">
      <formula>5</formula>
    </cfRule>
    <cfRule type="cellIs" dxfId="5416" priority="168" operator="lessThan">
      <formula>5</formula>
    </cfRule>
  </conditionalFormatting>
  <conditionalFormatting sqref="H27:M27">
    <cfRule type="cellIs" dxfId="5415" priority="166" operator="lessThan">
      <formula>50</formula>
    </cfRule>
  </conditionalFormatting>
  <conditionalFormatting sqref="O27">
    <cfRule type="cellIs" dxfId="5414" priority="165" operator="lessThan">
      <formula>50</formula>
    </cfRule>
  </conditionalFormatting>
  <conditionalFormatting sqref="H28:M28">
    <cfRule type="expression" dxfId="5413" priority="163">
      <formula>5</formula>
    </cfRule>
    <cfRule type="cellIs" dxfId="5412" priority="164" operator="lessThan">
      <formula>5</formula>
    </cfRule>
  </conditionalFormatting>
  <conditionalFormatting sqref="H28:M28">
    <cfRule type="cellIs" dxfId="5411" priority="162" operator="lessThan">
      <formula>50</formula>
    </cfRule>
  </conditionalFormatting>
  <conditionalFormatting sqref="O28">
    <cfRule type="cellIs" dxfId="5410" priority="161" operator="lessThan">
      <formula>50</formula>
    </cfRule>
  </conditionalFormatting>
  <conditionalFormatting sqref="H29:M29">
    <cfRule type="expression" dxfId="5409" priority="159">
      <formula>5</formula>
    </cfRule>
    <cfRule type="cellIs" dxfId="5408" priority="160" operator="lessThan">
      <formula>5</formula>
    </cfRule>
  </conditionalFormatting>
  <conditionalFormatting sqref="H29:M29">
    <cfRule type="cellIs" dxfId="5407" priority="158" operator="lessThan">
      <formula>50</formula>
    </cfRule>
  </conditionalFormatting>
  <conditionalFormatting sqref="O29">
    <cfRule type="cellIs" dxfId="5406" priority="157" operator="lessThan">
      <formula>50</formula>
    </cfRule>
  </conditionalFormatting>
  <conditionalFormatting sqref="H30:M30">
    <cfRule type="expression" dxfId="5405" priority="155">
      <formula>5</formula>
    </cfRule>
    <cfRule type="cellIs" dxfId="5404" priority="156" operator="lessThan">
      <formula>5</formula>
    </cfRule>
  </conditionalFormatting>
  <conditionalFormatting sqref="H30:M30">
    <cfRule type="cellIs" dxfId="5403" priority="154" operator="lessThan">
      <formula>50</formula>
    </cfRule>
  </conditionalFormatting>
  <conditionalFormatting sqref="O30">
    <cfRule type="cellIs" dxfId="5402" priority="153" operator="lessThan">
      <formula>50</formula>
    </cfRule>
  </conditionalFormatting>
  <conditionalFormatting sqref="H31:M31">
    <cfRule type="expression" dxfId="5401" priority="151">
      <formula>5</formula>
    </cfRule>
    <cfRule type="cellIs" dxfId="5400" priority="152" operator="lessThan">
      <formula>5</formula>
    </cfRule>
  </conditionalFormatting>
  <conditionalFormatting sqref="H31:M31">
    <cfRule type="cellIs" dxfId="5399" priority="150" operator="lessThan">
      <formula>50</formula>
    </cfRule>
  </conditionalFormatting>
  <conditionalFormatting sqref="O31">
    <cfRule type="cellIs" dxfId="5398" priority="149" operator="lessThan">
      <formula>50</formula>
    </cfRule>
  </conditionalFormatting>
  <conditionalFormatting sqref="H32:M32">
    <cfRule type="expression" dxfId="5397" priority="147">
      <formula>5</formula>
    </cfRule>
    <cfRule type="cellIs" dxfId="5396" priority="148" operator="lessThan">
      <formula>5</formula>
    </cfRule>
  </conditionalFormatting>
  <conditionalFormatting sqref="H32:M32">
    <cfRule type="cellIs" dxfId="5395" priority="146" operator="lessThan">
      <formula>50</formula>
    </cfRule>
  </conditionalFormatting>
  <conditionalFormatting sqref="O32">
    <cfRule type="cellIs" dxfId="5394" priority="145" operator="lessThan">
      <formula>50</formula>
    </cfRule>
  </conditionalFormatting>
  <conditionalFormatting sqref="H33:M33">
    <cfRule type="expression" dxfId="5393" priority="143">
      <formula>5</formula>
    </cfRule>
    <cfRule type="cellIs" dxfId="5392" priority="144" operator="lessThan">
      <formula>5</formula>
    </cfRule>
  </conditionalFormatting>
  <conditionalFormatting sqref="H33:M33">
    <cfRule type="cellIs" dxfId="5391" priority="142" operator="lessThan">
      <formula>50</formula>
    </cfRule>
  </conditionalFormatting>
  <conditionalFormatting sqref="O33">
    <cfRule type="cellIs" dxfId="5390" priority="141" operator="lessThan">
      <formula>50</formula>
    </cfRule>
  </conditionalFormatting>
  <conditionalFormatting sqref="H34:M34">
    <cfRule type="expression" dxfId="5389" priority="139">
      <formula>5</formula>
    </cfRule>
    <cfRule type="cellIs" dxfId="5388" priority="140" operator="lessThan">
      <formula>5</formula>
    </cfRule>
  </conditionalFormatting>
  <conditionalFormatting sqref="H34:M34">
    <cfRule type="cellIs" dxfId="5387" priority="138" operator="lessThan">
      <formula>50</formula>
    </cfRule>
  </conditionalFormatting>
  <conditionalFormatting sqref="O34">
    <cfRule type="cellIs" dxfId="5386" priority="137" operator="lessThan">
      <formula>50</formula>
    </cfRule>
  </conditionalFormatting>
  <conditionalFormatting sqref="H35:M35">
    <cfRule type="expression" dxfId="5385" priority="135">
      <formula>5</formula>
    </cfRule>
    <cfRule type="cellIs" dxfId="5384" priority="136" operator="lessThan">
      <formula>5</formula>
    </cfRule>
  </conditionalFormatting>
  <conditionalFormatting sqref="H35:M35">
    <cfRule type="cellIs" dxfId="5383" priority="134" operator="lessThan">
      <formula>50</formula>
    </cfRule>
  </conditionalFormatting>
  <conditionalFormatting sqref="O35">
    <cfRule type="cellIs" dxfId="5382" priority="133" operator="lessThan">
      <formula>50</formula>
    </cfRule>
  </conditionalFormatting>
  <conditionalFormatting sqref="H36:M36">
    <cfRule type="expression" dxfId="5381" priority="131">
      <formula>5</formula>
    </cfRule>
    <cfRule type="cellIs" dxfId="5380" priority="132" operator="lessThan">
      <formula>5</formula>
    </cfRule>
  </conditionalFormatting>
  <conditionalFormatting sqref="H36:M36">
    <cfRule type="cellIs" dxfId="5379" priority="130" operator="lessThan">
      <formula>50</formula>
    </cfRule>
  </conditionalFormatting>
  <conditionalFormatting sqref="O36">
    <cfRule type="cellIs" dxfId="5378" priority="129" operator="lessThan">
      <formula>50</formula>
    </cfRule>
  </conditionalFormatting>
  <conditionalFormatting sqref="H37:M37">
    <cfRule type="expression" dxfId="5377" priority="127">
      <formula>5</formula>
    </cfRule>
    <cfRule type="cellIs" dxfId="5376" priority="128" operator="lessThan">
      <formula>5</formula>
    </cfRule>
  </conditionalFormatting>
  <conditionalFormatting sqref="H37:M37">
    <cfRule type="cellIs" dxfId="5375" priority="126" operator="lessThan">
      <formula>50</formula>
    </cfRule>
  </conditionalFormatting>
  <conditionalFormatting sqref="O37">
    <cfRule type="cellIs" dxfId="5374" priority="125" operator="lessThan">
      <formula>50</formula>
    </cfRule>
  </conditionalFormatting>
  <conditionalFormatting sqref="H38:M38">
    <cfRule type="expression" dxfId="5373" priority="123">
      <formula>5</formula>
    </cfRule>
    <cfRule type="cellIs" dxfId="5372" priority="124" operator="lessThan">
      <formula>5</formula>
    </cfRule>
  </conditionalFormatting>
  <conditionalFormatting sqref="H38:M38">
    <cfRule type="cellIs" dxfId="5371" priority="122" operator="lessThan">
      <formula>50</formula>
    </cfRule>
  </conditionalFormatting>
  <conditionalFormatting sqref="O38">
    <cfRule type="cellIs" dxfId="5370" priority="121" operator="lessThan">
      <formula>50</formula>
    </cfRule>
  </conditionalFormatting>
  <conditionalFormatting sqref="H39:M39">
    <cfRule type="expression" dxfId="5369" priority="119">
      <formula>5</formula>
    </cfRule>
    <cfRule type="cellIs" dxfId="5368" priority="120" operator="lessThan">
      <formula>5</formula>
    </cfRule>
  </conditionalFormatting>
  <conditionalFormatting sqref="H39:M39">
    <cfRule type="cellIs" dxfId="5367" priority="118" operator="lessThan">
      <formula>50</formula>
    </cfRule>
  </conditionalFormatting>
  <conditionalFormatting sqref="O39">
    <cfRule type="cellIs" dxfId="5366" priority="117" operator="lessThan">
      <formula>50</formula>
    </cfRule>
  </conditionalFormatting>
  <conditionalFormatting sqref="H40:M40">
    <cfRule type="expression" dxfId="5365" priority="115">
      <formula>5</formula>
    </cfRule>
    <cfRule type="cellIs" dxfId="5364" priority="116" operator="lessThan">
      <formula>5</formula>
    </cfRule>
  </conditionalFormatting>
  <conditionalFormatting sqref="H40:M40">
    <cfRule type="cellIs" dxfId="5363" priority="114" operator="lessThan">
      <formula>50</formula>
    </cfRule>
  </conditionalFormatting>
  <conditionalFormatting sqref="O40">
    <cfRule type="cellIs" dxfId="5362" priority="113" operator="lessThan">
      <formula>50</formula>
    </cfRule>
  </conditionalFormatting>
  <conditionalFormatting sqref="H41:M41">
    <cfRule type="expression" dxfId="5361" priority="111">
      <formula>5</formula>
    </cfRule>
    <cfRule type="cellIs" dxfId="5360" priority="112" operator="lessThan">
      <formula>5</formula>
    </cfRule>
  </conditionalFormatting>
  <conditionalFormatting sqref="H41:M41">
    <cfRule type="cellIs" dxfId="5359" priority="110" operator="lessThan">
      <formula>50</formula>
    </cfRule>
  </conditionalFormatting>
  <conditionalFormatting sqref="O41">
    <cfRule type="cellIs" dxfId="5358" priority="109" operator="lessThan">
      <formula>50</formula>
    </cfRule>
  </conditionalFormatting>
  <conditionalFormatting sqref="H42:M42">
    <cfRule type="expression" dxfId="5357" priority="107">
      <formula>5</formula>
    </cfRule>
    <cfRule type="cellIs" dxfId="5356" priority="108" operator="lessThan">
      <formula>5</formula>
    </cfRule>
  </conditionalFormatting>
  <conditionalFormatting sqref="H42:M42">
    <cfRule type="cellIs" dxfId="5355" priority="106" operator="lessThan">
      <formula>50</formula>
    </cfRule>
  </conditionalFormatting>
  <conditionalFormatting sqref="O42">
    <cfRule type="cellIs" dxfId="5354" priority="105" operator="lessThan">
      <formula>50</formula>
    </cfRule>
  </conditionalFormatting>
  <conditionalFormatting sqref="H43:M43">
    <cfRule type="expression" dxfId="5353" priority="103">
      <formula>5</formula>
    </cfRule>
    <cfRule type="cellIs" dxfId="5352" priority="104" operator="lessThan">
      <formula>5</formula>
    </cfRule>
  </conditionalFormatting>
  <conditionalFormatting sqref="H43:M43">
    <cfRule type="cellIs" dxfId="5351" priority="102" operator="lessThan">
      <formula>50</formula>
    </cfRule>
  </conditionalFormatting>
  <conditionalFormatting sqref="O43">
    <cfRule type="cellIs" dxfId="5350" priority="101" operator="lessThan">
      <formula>50</formula>
    </cfRule>
  </conditionalFormatting>
  <conditionalFormatting sqref="H44:M44">
    <cfRule type="expression" dxfId="5349" priority="99">
      <formula>5</formula>
    </cfRule>
    <cfRule type="cellIs" dxfId="5348" priority="100" operator="lessThan">
      <formula>5</formula>
    </cfRule>
  </conditionalFormatting>
  <conditionalFormatting sqref="H44:M44">
    <cfRule type="cellIs" dxfId="5347" priority="98" operator="lessThan">
      <formula>50</formula>
    </cfRule>
  </conditionalFormatting>
  <conditionalFormatting sqref="O44">
    <cfRule type="cellIs" dxfId="5346" priority="97" operator="lessThan">
      <formula>50</formula>
    </cfRule>
  </conditionalFormatting>
  <conditionalFormatting sqref="H45:M45">
    <cfRule type="expression" dxfId="5345" priority="95">
      <formula>5</formula>
    </cfRule>
    <cfRule type="cellIs" dxfId="5344" priority="96" operator="lessThan">
      <formula>5</formula>
    </cfRule>
  </conditionalFormatting>
  <conditionalFormatting sqref="H45:M45">
    <cfRule type="cellIs" dxfId="5343" priority="94" operator="lessThan">
      <formula>50</formula>
    </cfRule>
  </conditionalFormatting>
  <conditionalFormatting sqref="O45">
    <cfRule type="cellIs" dxfId="5342" priority="93" operator="lessThan">
      <formula>50</formula>
    </cfRule>
  </conditionalFormatting>
  <conditionalFormatting sqref="H46:M46">
    <cfRule type="expression" dxfId="5341" priority="91">
      <formula>5</formula>
    </cfRule>
    <cfRule type="cellIs" dxfId="5340" priority="92" operator="lessThan">
      <formula>5</formula>
    </cfRule>
  </conditionalFormatting>
  <conditionalFormatting sqref="H46:M46">
    <cfRule type="cellIs" dxfId="5339" priority="90" operator="lessThan">
      <formula>50</formula>
    </cfRule>
  </conditionalFormatting>
  <conditionalFormatting sqref="O46">
    <cfRule type="cellIs" dxfId="5338" priority="89" operator="lessThan">
      <formula>50</formula>
    </cfRule>
  </conditionalFormatting>
  <conditionalFormatting sqref="H47:M47">
    <cfRule type="expression" dxfId="5337" priority="87">
      <formula>5</formula>
    </cfRule>
    <cfRule type="cellIs" dxfId="5336" priority="88" operator="lessThan">
      <formula>5</formula>
    </cfRule>
  </conditionalFormatting>
  <conditionalFormatting sqref="H47:M47">
    <cfRule type="cellIs" dxfId="5335" priority="86" operator="lessThan">
      <formula>50</formula>
    </cfRule>
  </conditionalFormatting>
  <conditionalFormatting sqref="O47">
    <cfRule type="cellIs" dxfId="5334" priority="85" operator="lessThan">
      <formula>50</formula>
    </cfRule>
  </conditionalFormatting>
  <conditionalFormatting sqref="H48:M48">
    <cfRule type="expression" dxfId="5333" priority="83">
      <formula>5</formula>
    </cfRule>
    <cfRule type="cellIs" dxfId="5332" priority="84" operator="lessThan">
      <formula>5</formula>
    </cfRule>
  </conditionalFormatting>
  <conditionalFormatting sqref="H48:M48">
    <cfRule type="cellIs" dxfId="5331" priority="82" operator="lessThan">
      <formula>50</formula>
    </cfRule>
  </conditionalFormatting>
  <conditionalFormatting sqref="O48">
    <cfRule type="cellIs" dxfId="5330" priority="81" operator="lessThan">
      <formula>50</formula>
    </cfRule>
  </conditionalFormatting>
  <conditionalFormatting sqref="H49:M49">
    <cfRule type="expression" dxfId="5329" priority="79">
      <formula>5</formula>
    </cfRule>
    <cfRule type="cellIs" dxfId="5328" priority="80" operator="lessThan">
      <formula>5</formula>
    </cfRule>
  </conditionalFormatting>
  <conditionalFormatting sqref="H49:M49">
    <cfRule type="cellIs" dxfId="5327" priority="78" operator="lessThan">
      <formula>50</formula>
    </cfRule>
  </conditionalFormatting>
  <conditionalFormatting sqref="O49">
    <cfRule type="cellIs" dxfId="5326" priority="77" operator="lessThan">
      <formula>50</formula>
    </cfRule>
  </conditionalFormatting>
  <conditionalFormatting sqref="H50:M50">
    <cfRule type="expression" dxfId="5325" priority="75">
      <formula>5</formula>
    </cfRule>
    <cfRule type="cellIs" dxfId="5324" priority="76" operator="lessThan">
      <formula>5</formula>
    </cfRule>
  </conditionalFormatting>
  <conditionalFormatting sqref="H50:M50">
    <cfRule type="cellIs" dxfId="5323" priority="74" operator="lessThan">
      <formula>50</formula>
    </cfRule>
  </conditionalFormatting>
  <conditionalFormatting sqref="O50">
    <cfRule type="cellIs" dxfId="5322" priority="73" operator="lessThan">
      <formula>50</formula>
    </cfRule>
  </conditionalFormatting>
  <conditionalFormatting sqref="H51:M51">
    <cfRule type="expression" dxfId="5321" priority="71">
      <formula>5</formula>
    </cfRule>
    <cfRule type="cellIs" dxfId="5320" priority="72" operator="lessThan">
      <formula>5</formula>
    </cfRule>
  </conditionalFormatting>
  <conditionalFormatting sqref="H51:M51">
    <cfRule type="cellIs" dxfId="5319" priority="70" operator="lessThan">
      <formula>50</formula>
    </cfRule>
  </conditionalFormatting>
  <conditionalFormatting sqref="O51">
    <cfRule type="cellIs" dxfId="5318" priority="69" operator="lessThan">
      <formula>50</formula>
    </cfRule>
  </conditionalFormatting>
  <conditionalFormatting sqref="H52:M52">
    <cfRule type="expression" dxfId="5317" priority="67">
      <formula>5</formula>
    </cfRule>
    <cfRule type="cellIs" dxfId="5316" priority="68" operator="lessThan">
      <formula>5</formula>
    </cfRule>
  </conditionalFormatting>
  <conditionalFormatting sqref="H52:M52">
    <cfRule type="cellIs" dxfId="5315" priority="66" operator="lessThan">
      <formula>50</formula>
    </cfRule>
  </conditionalFormatting>
  <conditionalFormatting sqref="O52">
    <cfRule type="cellIs" dxfId="5314" priority="65" operator="lessThan">
      <formula>50</formula>
    </cfRule>
  </conditionalFormatting>
  <conditionalFormatting sqref="H53:M53">
    <cfRule type="expression" dxfId="5313" priority="63">
      <formula>5</formula>
    </cfRule>
    <cfRule type="cellIs" dxfId="5312" priority="64" operator="lessThan">
      <formula>5</formula>
    </cfRule>
  </conditionalFormatting>
  <conditionalFormatting sqref="H53:M53">
    <cfRule type="cellIs" dxfId="5311" priority="62" operator="lessThan">
      <formula>50</formula>
    </cfRule>
  </conditionalFormatting>
  <conditionalFormatting sqref="O53">
    <cfRule type="cellIs" dxfId="5310" priority="61" operator="lessThan">
      <formula>50</formula>
    </cfRule>
  </conditionalFormatting>
  <conditionalFormatting sqref="H54:M54">
    <cfRule type="expression" dxfId="5309" priority="59">
      <formula>5</formula>
    </cfRule>
    <cfRule type="cellIs" dxfId="5308" priority="60" operator="lessThan">
      <formula>5</formula>
    </cfRule>
  </conditionalFormatting>
  <conditionalFormatting sqref="H54:M54">
    <cfRule type="cellIs" dxfId="5307" priority="58" operator="lessThan">
      <formula>50</formula>
    </cfRule>
  </conditionalFormatting>
  <conditionalFormatting sqref="O54">
    <cfRule type="cellIs" dxfId="5306" priority="57" operator="lessThan">
      <formula>50</formula>
    </cfRule>
  </conditionalFormatting>
  <conditionalFormatting sqref="H55:M55">
    <cfRule type="expression" dxfId="5305" priority="55">
      <formula>5</formula>
    </cfRule>
    <cfRule type="cellIs" dxfId="5304" priority="56" operator="lessThan">
      <formula>5</formula>
    </cfRule>
  </conditionalFormatting>
  <conditionalFormatting sqref="H55:M55">
    <cfRule type="cellIs" dxfId="5303" priority="54" operator="lessThan">
      <formula>50</formula>
    </cfRule>
  </conditionalFormatting>
  <conditionalFormatting sqref="O55">
    <cfRule type="cellIs" dxfId="5302" priority="53" operator="lessThan">
      <formula>50</formula>
    </cfRule>
  </conditionalFormatting>
  <conditionalFormatting sqref="H56:M56">
    <cfRule type="expression" dxfId="5301" priority="51">
      <formula>5</formula>
    </cfRule>
    <cfRule type="cellIs" dxfId="5300" priority="52" operator="lessThan">
      <formula>5</formula>
    </cfRule>
  </conditionalFormatting>
  <conditionalFormatting sqref="H56:M56">
    <cfRule type="cellIs" dxfId="5299" priority="50" operator="lessThan">
      <formula>50</formula>
    </cfRule>
  </conditionalFormatting>
  <conditionalFormatting sqref="O56">
    <cfRule type="cellIs" dxfId="5298" priority="49" operator="lessThan">
      <formula>50</formula>
    </cfRule>
  </conditionalFormatting>
  <conditionalFormatting sqref="H57:M57">
    <cfRule type="expression" dxfId="5297" priority="47">
      <formula>5</formula>
    </cfRule>
    <cfRule type="cellIs" dxfId="5296" priority="48" operator="lessThan">
      <formula>5</formula>
    </cfRule>
  </conditionalFormatting>
  <conditionalFormatting sqref="H57:M57">
    <cfRule type="cellIs" dxfId="5295" priority="46" operator="lessThan">
      <formula>50</formula>
    </cfRule>
  </conditionalFormatting>
  <conditionalFormatting sqref="O57">
    <cfRule type="cellIs" dxfId="5294" priority="45" operator="lessThan">
      <formula>50</formula>
    </cfRule>
  </conditionalFormatting>
  <conditionalFormatting sqref="H58:M58">
    <cfRule type="expression" dxfId="5293" priority="43">
      <formula>5</formula>
    </cfRule>
    <cfRule type="cellIs" dxfId="5292" priority="44" operator="lessThan">
      <formula>5</formula>
    </cfRule>
  </conditionalFormatting>
  <conditionalFormatting sqref="H58:M58">
    <cfRule type="cellIs" dxfId="5291" priority="42" operator="lessThan">
      <formula>50</formula>
    </cfRule>
  </conditionalFormatting>
  <conditionalFormatting sqref="O58">
    <cfRule type="cellIs" dxfId="5290" priority="41" operator="lessThan">
      <formula>50</formula>
    </cfRule>
  </conditionalFormatting>
  <conditionalFormatting sqref="H59:M59">
    <cfRule type="expression" dxfId="5289" priority="39">
      <formula>5</formula>
    </cfRule>
    <cfRule type="cellIs" dxfId="5288" priority="40" operator="lessThan">
      <formula>5</formula>
    </cfRule>
  </conditionalFormatting>
  <conditionalFormatting sqref="H59:M59">
    <cfRule type="cellIs" dxfId="5287" priority="38" operator="lessThan">
      <formula>50</formula>
    </cfRule>
  </conditionalFormatting>
  <conditionalFormatting sqref="O59">
    <cfRule type="cellIs" dxfId="5286" priority="37" operator="lessThan">
      <formula>50</formula>
    </cfRule>
  </conditionalFormatting>
  <conditionalFormatting sqref="H60:M60">
    <cfRule type="expression" dxfId="5285" priority="35">
      <formula>5</formula>
    </cfRule>
    <cfRule type="cellIs" dxfId="5284" priority="36" operator="lessThan">
      <formula>5</formula>
    </cfRule>
  </conditionalFormatting>
  <conditionalFormatting sqref="H60:M60">
    <cfRule type="cellIs" dxfId="5283" priority="34" operator="lessThan">
      <formula>50</formula>
    </cfRule>
  </conditionalFormatting>
  <conditionalFormatting sqref="O60">
    <cfRule type="cellIs" dxfId="5282" priority="33" operator="lessThan">
      <formula>50</formula>
    </cfRule>
  </conditionalFormatting>
  <conditionalFormatting sqref="H61:M61">
    <cfRule type="expression" dxfId="5281" priority="31">
      <formula>5</formula>
    </cfRule>
    <cfRule type="cellIs" dxfId="5280" priority="32" operator="lessThan">
      <formula>5</formula>
    </cfRule>
  </conditionalFormatting>
  <conditionalFormatting sqref="H61:M61">
    <cfRule type="cellIs" dxfId="5279" priority="30" operator="lessThan">
      <formula>50</formula>
    </cfRule>
  </conditionalFormatting>
  <conditionalFormatting sqref="O61">
    <cfRule type="cellIs" dxfId="5278" priority="29" operator="lessThan">
      <formula>50</formula>
    </cfRule>
  </conditionalFormatting>
  <conditionalFormatting sqref="H62:M62">
    <cfRule type="expression" dxfId="5277" priority="27">
      <formula>5</formula>
    </cfRule>
    <cfRule type="cellIs" dxfId="5276" priority="28" operator="lessThan">
      <formula>5</formula>
    </cfRule>
  </conditionalFormatting>
  <conditionalFormatting sqref="H62:M62">
    <cfRule type="cellIs" dxfId="5275" priority="26" operator="lessThan">
      <formula>50</formula>
    </cfRule>
  </conditionalFormatting>
  <conditionalFormatting sqref="O62">
    <cfRule type="cellIs" dxfId="5274" priority="25" operator="lessThan">
      <formula>50</formula>
    </cfRule>
  </conditionalFormatting>
  <conditionalFormatting sqref="H63:M63">
    <cfRule type="expression" dxfId="5273" priority="23">
      <formula>5</formula>
    </cfRule>
    <cfRule type="cellIs" dxfId="5272" priority="24" operator="lessThan">
      <formula>5</formula>
    </cfRule>
  </conditionalFormatting>
  <conditionalFormatting sqref="H63:M63">
    <cfRule type="cellIs" dxfId="5271" priority="22" operator="lessThan">
      <formula>50</formula>
    </cfRule>
  </conditionalFormatting>
  <conditionalFormatting sqref="O63">
    <cfRule type="cellIs" dxfId="5270" priority="21" operator="lessThan">
      <formula>50</formula>
    </cfRule>
  </conditionalFormatting>
  <conditionalFormatting sqref="H64:M64">
    <cfRule type="expression" dxfId="5269" priority="19">
      <formula>5</formula>
    </cfRule>
    <cfRule type="cellIs" dxfId="5268" priority="20" operator="lessThan">
      <formula>5</formula>
    </cfRule>
  </conditionalFormatting>
  <conditionalFormatting sqref="H64:M64">
    <cfRule type="cellIs" dxfId="5267" priority="18" operator="lessThan">
      <formula>50</formula>
    </cfRule>
  </conditionalFormatting>
  <conditionalFormatting sqref="O64">
    <cfRule type="cellIs" dxfId="5266" priority="17" operator="lessThan">
      <formula>50</formula>
    </cfRule>
  </conditionalFormatting>
  <conditionalFormatting sqref="H65:M65">
    <cfRule type="expression" dxfId="5265" priority="15">
      <formula>5</formula>
    </cfRule>
    <cfRule type="cellIs" dxfId="5264" priority="16" operator="lessThan">
      <formula>5</formula>
    </cfRule>
  </conditionalFormatting>
  <conditionalFormatting sqref="H65:M65">
    <cfRule type="cellIs" dxfId="5263" priority="14" operator="lessThan">
      <formula>50</formula>
    </cfRule>
  </conditionalFormatting>
  <conditionalFormatting sqref="O65">
    <cfRule type="cellIs" dxfId="5262" priority="13" operator="lessThan">
      <formula>50</formula>
    </cfRule>
  </conditionalFormatting>
  <conditionalFormatting sqref="H66:M66">
    <cfRule type="expression" dxfId="5261" priority="11">
      <formula>5</formula>
    </cfRule>
    <cfRule type="cellIs" dxfId="5260" priority="12" operator="lessThan">
      <formula>5</formula>
    </cfRule>
  </conditionalFormatting>
  <conditionalFormatting sqref="H66:M66">
    <cfRule type="cellIs" dxfId="5259" priority="10" operator="lessThan">
      <formula>50</formula>
    </cfRule>
  </conditionalFormatting>
  <conditionalFormatting sqref="O66">
    <cfRule type="cellIs" dxfId="5258" priority="9" operator="lessThan">
      <formula>50</formula>
    </cfRule>
  </conditionalFormatting>
  <conditionalFormatting sqref="H67:M67">
    <cfRule type="expression" dxfId="5257" priority="7">
      <formula>5</formula>
    </cfRule>
    <cfRule type="cellIs" dxfId="5256" priority="8" operator="lessThan">
      <formula>5</formula>
    </cfRule>
  </conditionalFormatting>
  <conditionalFormatting sqref="H67:M67">
    <cfRule type="cellIs" dxfId="5255" priority="6" operator="lessThan">
      <formula>50</formula>
    </cfRule>
  </conditionalFormatting>
  <conditionalFormatting sqref="O67">
    <cfRule type="cellIs" dxfId="5254" priority="5" operator="lessThan">
      <formula>50</formula>
    </cfRule>
  </conditionalFormatting>
  <conditionalFormatting sqref="H68:M68">
    <cfRule type="expression" dxfId="5253" priority="3">
      <formula>5</formula>
    </cfRule>
    <cfRule type="cellIs" dxfId="5252" priority="4" operator="lessThan">
      <formula>5</formula>
    </cfRule>
  </conditionalFormatting>
  <conditionalFormatting sqref="H68:M68">
    <cfRule type="cellIs" dxfId="5251" priority="2" operator="lessThan">
      <formula>50</formula>
    </cfRule>
  </conditionalFormatting>
  <conditionalFormatting sqref="O68">
    <cfRule type="cellIs" dxfId="5250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0:E10 D13:E16 D17 D32:E32 D34:E35 D43:E45" xr:uid="{013F263F-B262-47A3-BF65-1698DD012B8A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25BC-2AB6-41CF-889C-CF74D9403292}">
  <sheetPr codeName="Sheet101"/>
  <dimension ref="A1:P66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3" width="4.7109375" customWidth="1"/>
    <col min="14" max="14" width="6.7109375" customWidth="1"/>
    <col min="15" max="16" width="4.7109375" customWidth="1"/>
  </cols>
  <sheetData>
    <row r="1" spans="1:16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1:16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3</v>
      </c>
      <c r="I6" s="39" t="s">
        <v>13</v>
      </c>
      <c r="J6" s="39" t="s">
        <v>14</v>
      </c>
      <c r="K6" s="39" t="s">
        <v>5317</v>
      </c>
      <c r="L6" s="39" t="s">
        <v>10</v>
      </c>
      <c r="M6" s="39" t="s">
        <v>15</v>
      </c>
      <c r="N6" s="39" t="s">
        <v>5320</v>
      </c>
      <c r="O6" s="39" t="s">
        <v>5321</v>
      </c>
      <c r="P6" s="39" t="s">
        <v>5324</v>
      </c>
    </row>
    <row r="7" spans="1:16" ht="18" customHeight="1" thickTop="1">
      <c r="A7" s="19">
        <v>1</v>
      </c>
      <c r="B7" s="2" t="s">
        <v>3006</v>
      </c>
      <c r="C7" s="1" t="s">
        <v>3007</v>
      </c>
      <c r="D7" s="3" t="s">
        <v>3008</v>
      </c>
      <c r="E7" s="1" t="s">
        <v>88</v>
      </c>
      <c r="F7" s="10" t="s">
        <v>2890</v>
      </c>
      <c r="G7" s="2">
        <v>14</v>
      </c>
      <c r="H7" s="6">
        <v>100</v>
      </c>
      <c r="I7" s="6">
        <v>84</v>
      </c>
      <c r="J7" s="6">
        <v>100</v>
      </c>
      <c r="K7" s="6">
        <v>80</v>
      </c>
      <c r="L7" s="6">
        <v>51</v>
      </c>
      <c r="M7" s="6">
        <v>92</v>
      </c>
      <c r="N7" s="1">
        <f t="shared" ref="N7:N38" si="0">SUBTOTAL(9,H7:M7)</f>
        <v>507</v>
      </c>
      <c r="O7" s="14">
        <f t="shared" ref="O7:O38" si="1">N7/6</f>
        <v>84.5</v>
      </c>
      <c r="P7" s="20">
        <f t="shared" ref="P7:P38" si="2">RANK(O7,O$7:O$310,0)</f>
        <v>1</v>
      </c>
    </row>
    <row r="8" spans="1:16" ht="18" customHeight="1">
      <c r="A8" s="19">
        <v>2</v>
      </c>
      <c r="B8" s="2" t="s">
        <v>2924</v>
      </c>
      <c r="C8" s="1" t="s">
        <v>2925</v>
      </c>
      <c r="D8" s="3" t="s">
        <v>2926</v>
      </c>
      <c r="E8" s="1" t="s">
        <v>79</v>
      </c>
      <c r="F8" s="10" t="s">
        <v>2890</v>
      </c>
      <c r="G8" s="2">
        <v>12</v>
      </c>
      <c r="H8" s="6">
        <v>95</v>
      </c>
      <c r="I8" s="6">
        <v>92</v>
      </c>
      <c r="J8" s="6">
        <v>88</v>
      </c>
      <c r="K8" s="6">
        <v>100</v>
      </c>
      <c r="L8" s="6">
        <v>84</v>
      </c>
      <c r="M8" s="6">
        <v>45</v>
      </c>
      <c r="N8" s="1">
        <f t="shared" si="0"/>
        <v>504</v>
      </c>
      <c r="O8" s="14">
        <f t="shared" si="1"/>
        <v>84</v>
      </c>
      <c r="P8" s="20">
        <f t="shared" si="2"/>
        <v>2</v>
      </c>
    </row>
    <row r="9" spans="1:16" ht="18" customHeight="1">
      <c r="A9" s="19">
        <v>3</v>
      </c>
      <c r="B9" s="2" t="s">
        <v>2991</v>
      </c>
      <c r="C9" s="1">
        <v>311230371</v>
      </c>
      <c r="D9" s="3" t="s">
        <v>83</v>
      </c>
      <c r="E9" s="1" t="s">
        <v>84</v>
      </c>
      <c r="F9" s="10" t="s">
        <v>2890</v>
      </c>
      <c r="G9" s="2">
        <v>13</v>
      </c>
      <c r="H9" s="6">
        <v>72</v>
      </c>
      <c r="I9" s="6">
        <v>92</v>
      </c>
      <c r="J9" s="6">
        <v>92</v>
      </c>
      <c r="K9" s="6">
        <v>100</v>
      </c>
      <c r="L9" s="6">
        <v>60</v>
      </c>
      <c r="M9" s="6">
        <v>72</v>
      </c>
      <c r="N9" s="1">
        <f t="shared" si="0"/>
        <v>488</v>
      </c>
      <c r="O9" s="14">
        <f t="shared" si="1"/>
        <v>81.333333333333329</v>
      </c>
      <c r="P9" s="20">
        <f t="shared" si="2"/>
        <v>3</v>
      </c>
    </row>
    <row r="10" spans="1:16" ht="18" customHeight="1">
      <c r="A10" s="19">
        <v>4</v>
      </c>
      <c r="B10" s="2" t="s">
        <v>3017</v>
      </c>
      <c r="C10" s="1" t="s">
        <v>3018</v>
      </c>
      <c r="D10" s="3" t="s">
        <v>3019</v>
      </c>
      <c r="E10" s="1" t="s">
        <v>82</v>
      </c>
      <c r="F10" s="10" t="s">
        <v>2890</v>
      </c>
      <c r="G10" s="2">
        <v>14</v>
      </c>
      <c r="H10" s="6">
        <v>72</v>
      </c>
      <c r="I10" s="6">
        <v>96</v>
      </c>
      <c r="J10" s="6">
        <v>60</v>
      </c>
      <c r="K10" s="6">
        <v>84</v>
      </c>
      <c r="L10" s="6">
        <v>88</v>
      </c>
      <c r="M10" s="6">
        <v>80</v>
      </c>
      <c r="N10" s="1">
        <f t="shared" si="0"/>
        <v>480</v>
      </c>
      <c r="O10" s="14">
        <f t="shared" si="1"/>
        <v>80</v>
      </c>
      <c r="P10" s="20">
        <f t="shared" si="2"/>
        <v>4</v>
      </c>
    </row>
    <row r="11" spans="1:16" ht="18" customHeight="1">
      <c r="A11" s="19">
        <v>5</v>
      </c>
      <c r="B11" s="2" t="s">
        <v>2980</v>
      </c>
      <c r="C11" s="1">
        <v>311230083</v>
      </c>
      <c r="D11" s="3" t="s">
        <v>2981</v>
      </c>
      <c r="E11" s="1" t="s">
        <v>73</v>
      </c>
      <c r="F11" s="10" t="s">
        <v>2890</v>
      </c>
      <c r="G11" s="2">
        <v>13</v>
      </c>
      <c r="H11" s="6">
        <v>79</v>
      </c>
      <c r="I11" s="6">
        <v>74</v>
      </c>
      <c r="J11" s="6">
        <v>88</v>
      </c>
      <c r="K11" s="6">
        <v>96</v>
      </c>
      <c r="L11" s="6">
        <v>74</v>
      </c>
      <c r="M11" s="6">
        <v>64</v>
      </c>
      <c r="N11" s="1">
        <f t="shared" si="0"/>
        <v>475</v>
      </c>
      <c r="O11" s="14">
        <f t="shared" si="1"/>
        <v>79.166666666666671</v>
      </c>
      <c r="P11" s="20">
        <f t="shared" si="2"/>
        <v>5</v>
      </c>
    </row>
    <row r="12" spans="1:16" ht="18" customHeight="1">
      <c r="A12" s="19">
        <v>6</v>
      </c>
      <c r="B12" s="2" t="s">
        <v>2988</v>
      </c>
      <c r="C12" s="1" t="s">
        <v>2989</v>
      </c>
      <c r="D12" s="3" t="s">
        <v>2990</v>
      </c>
      <c r="E12" s="1" t="s">
        <v>84</v>
      </c>
      <c r="F12" s="10" t="s">
        <v>2890</v>
      </c>
      <c r="G12" s="2">
        <v>13</v>
      </c>
      <c r="H12" s="6">
        <v>72</v>
      </c>
      <c r="I12" s="6">
        <v>84</v>
      </c>
      <c r="J12" s="6">
        <v>72</v>
      </c>
      <c r="K12" s="6">
        <v>92</v>
      </c>
      <c r="L12" s="6">
        <v>72</v>
      </c>
      <c r="M12" s="6">
        <v>80</v>
      </c>
      <c r="N12" s="1">
        <f t="shared" si="0"/>
        <v>472</v>
      </c>
      <c r="O12" s="14">
        <f t="shared" si="1"/>
        <v>78.666666666666671</v>
      </c>
      <c r="P12" s="20">
        <f t="shared" si="2"/>
        <v>6</v>
      </c>
    </row>
    <row r="13" spans="1:16" ht="18" customHeight="1">
      <c r="A13" s="19">
        <v>7</v>
      </c>
      <c r="B13" s="2" t="s">
        <v>3033</v>
      </c>
      <c r="C13" s="1" t="s">
        <v>3034</v>
      </c>
      <c r="D13" s="3" t="s">
        <v>3035</v>
      </c>
      <c r="E13" s="1" t="s">
        <v>75</v>
      </c>
      <c r="F13" s="10" t="s">
        <v>2890</v>
      </c>
      <c r="G13" s="2">
        <v>14</v>
      </c>
      <c r="H13" s="6">
        <v>100</v>
      </c>
      <c r="I13" s="6">
        <v>88</v>
      </c>
      <c r="J13" s="6">
        <v>60</v>
      </c>
      <c r="K13" s="6">
        <v>84</v>
      </c>
      <c r="L13" s="6">
        <v>70</v>
      </c>
      <c r="M13" s="6">
        <v>44</v>
      </c>
      <c r="N13" s="1">
        <f t="shared" si="0"/>
        <v>446</v>
      </c>
      <c r="O13" s="14">
        <f t="shared" si="1"/>
        <v>74.333333333333329</v>
      </c>
      <c r="P13" s="20">
        <f t="shared" si="2"/>
        <v>7</v>
      </c>
    </row>
    <row r="14" spans="1:16" ht="18" customHeight="1">
      <c r="A14" s="19">
        <v>8</v>
      </c>
      <c r="B14" s="2" t="s">
        <v>2997</v>
      </c>
      <c r="C14" s="1" t="s">
        <v>2998</v>
      </c>
      <c r="D14" s="3" t="s">
        <v>2999</v>
      </c>
      <c r="E14" s="1" t="s">
        <v>74</v>
      </c>
      <c r="F14" s="10" t="s">
        <v>2890</v>
      </c>
      <c r="G14" s="2">
        <v>13</v>
      </c>
      <c r="H14" s="6">
        <v>93</v>
      </c>
      <c r="I14" s="6">
        <v>92</v>
      </c>
      <c r="J14" s="6">
        <v>88</v>
      </c>
      <c r="K14" s="6">
        <v>84</v>
      </c>
      <c r="L14" s="6">
        <v>60</v>
      </c>
      <c r="M14" s="6">
        <v>28</v>
      </c>
      <c r="N14" s="1">
        <f t="shared" si="0"/>
        <v>445</v>
      </c>
      <c r="O14" s="14">
        <f t="shared" si="1"/>
        <v>74.166666666666671</v>
      </c>
      <c r="P14" s="20">
        <f t="shared" si="2"/>
        <v>8</v>
      </c>
    </row>
    <row r="15" spans="1:16" ht="18" customHeight="1">
      <c r="A15" s="19">
        <v>9</v>
      </c>
      <c r="B15" s="2" t="s">
        <v>3009</v>
      </c>
      <c r="C15" s="2" t="s">
        <v>3010</v>
      </c>
      <c r="D15" s="3" t="s">
        <v>3011</v>
      </c>
      <c r="E15" s="1" t="s">
        <v>2851</v>
      </c>
      <c r="F15" s="10" t="s">
        <v>2890</v>
      </c>
      <c r="G15" s="2">
        <v>14</v>
      </c>
      <c r="H15" s="6">
        <v>93</v>
      </c>
      <c r="I15" s="6">
        <v>80</v>
      </c>
      <c r="J15" s="6">
        <v>62</v>
      </c>
      <c r="K15" s="6">
        <v>74</v>
      </c>
      <c r="L15" s="6">
        <v>100</v>
      </c>
      <c r="M15" s="6">
        <v>36</v>
      </c>
      <c r="N15" s="1">
        <f t="shared" si="0"/>
        <v>445</v>
      </c>
      <c r="O15" s="14">
        <f t="shared" si="1"/>
        <v>74.166666666666671</v>
      </c>
      <c r="P15" s="20">
        <f t="shared" si="2"/>
        <v>8</v>
      </c>
    </row>
    <row r="16" spans="1:16" ht="18" customHeight="1">
      <c r="A16" s="19">
        <v>10</v>
      </c>
      <c r="B16" s="2" t="s">
        <v>2972</v>
      </c>
      <c r="C16" s="1" t="s">
        <v>2973</v>
      </c>
      <c r="D16" s="3" t="s">
        <v>2974</v>
      </c>
      <c r="E16" s="1" t="s">
        <v>80</v>
      </c>
      <c r="F16" s="10" t="s">
        <v>2890</v>
      </c>
      <c r="G16" s="2">
        <v>13</v>
      </c>
      <c r="H16" s="6">
        <v>79</v>
      </c>
      <c r="I16" s="6">
        <v>65</v>
      </c>
      <c r="J16" s="6">
        <v>80</v>
      </c>
      <c r="K16" s="6">
        <v>80</v>
      </c>
      <c r="L16" s="6">
        <v>92</v>
      </c>
      <c r="M16" s="6">
        <v>36</v>
      </c>
      <c r="N16" s="1">
        <f t="shared" si="0"/>
        <v>432</v>
      </c>
      <c r="O16" s="14">
        <f t="shared" si="1"/>
        <v>72</v>
      </c>
      <c r="P16" s="20">
        <f t="shared" si="2"/>
        <v>10</v>
      </c>
    </row>
    <row r="17" spans="1:16" ht="18" customHeight="1">
      <c r="A17" s="19">
        <v>11</v>
      </c>
      <c r="B17" s="2" t="s">
        <v>3042</v>
      </c>
      <c r="C17" s="1">
        <v>311260322</v>
      </c>
      <c r="D17" s="3" t="s">
        <v>3043</v>
      </c>
      <c r="E17" s="1" t="s">
        <v>58</v>
      </c>
      <c r="F17" s="10" t="s">
        <v>2890</v>
      </c>
      <c r="G17" s="2">
        <v>14</v>
      </c>
      <c r="H17" s="6">
        <v>93</v>
      </c>
      <c r="I17" s="6">
        <v>74</v>
      </c>
      <c r="J17" s="6">
        <v>64</v>
      </c>
      <c r="K17" s="6">
        <v>96</v>
      </c>
      <c r="L17" s="6">
        <v>52</v>
      </c>
      <c r="M17" s="6">
        <v>44</v>
      </c>
      <c r="N17" s="1">
        <f t="shared" si="0"/>
        <v>423</v>
      </c>
      <c r="O17" s="14">
        <f t="shared" si="1"/>
        <v>70.5</v>
      </c>
      <c r="P17" s="20">
        <f t="shared" si="2"/>
        <v>11</v>
      </c>
    </row>
    <row r="18" spans="1:16" ht="18" customHeight="1">
      <c r="A18" s="19">
        <v>12</v>
      </c>
      <c r="B18" s="2" t="s">
        <v>2969</v>
      </c>
      <c r="C18" s="1" t="s">
        <v>2970</v>
      </c>
      <c r="D18" s="3" t="s">
        <v>2971</v>
      </c>
      <c r="E18" s="1" t="s">
        <v>80</v>
      </c>
      <c r="F18" s="10" t="s">
        <v>2890</v>
      </c>
      <c r="G18" s="2">
        <v>13</v>
      </c>
      <c r="H18" s="6">
        <v>86</v>
      </c>
      <c r="I18" s="6">
        <v>62</v>
      </c>
      <c r="J18" s="6">
        <v>61</v>
      </c>
      <c r="K18" s="6">
        <v>92</v>
      </c>
      <c r="L18" s="6">
        <v>78</v>
      </c>
      <c r="M18" s="6">
        <v>36</v>
      </c>
      <c r="N18" s="1">
        <f t="shared" si="0"/>
        <v>415</v>
      </c>
      <c r="O18" s="14">
        <f t="shared" si="1"/>
        <v>69.166666666666671</v>
      </c>
      <c r="P18" s="20">
        <f t="shared" si="2"/>
        <v>12</v>
      </c>
    </row>
    <row r="19" spans="1:16" ht="18" customHeight="1">
      <c r="A19" s="19">
        <v>13</v>
      </c>
      <c r="B19" s="2" t="s">
        <v>2919</v>
      </c>
      <c r="C19" s="1">
        <v>311230086</v>
      </c>
      <c r="D19" s="3" t="s">
        <v>2920</v>
      </c>
      <c r="E19" s="1" t="s">
        <v>79</v>
      </c>
      <c r="F19" s="10" t="s">
        <v>2890</v>
      </c>
      <c r="G19" s="2">
        <v>12</v>
      </c>
      <c r="H19" s="6">
        <v>86</v>
      </c>
      <c r="I19" s="6">
        <v>84</v>
      </c>
      <c r="J19" s="6">
        <v>80</v>
      </c>
      <c r="K19" s="6">
        <v>72</v>
      </c>
      <c r="L19" s="6">
        <v>66</v>
      </c>
      <c r="M19" s="6">
        <v>26</v>
      </c>
      <c r="N19" s="1">
        <f t="shared" si="0"/>
        <v>414</v>
      </c>
      <c r="O19" s="14">
        <f t="shared" si="1"/>
        <v>69</v>
      </c>
      <c r="P19" s="20">
        <f t="shared" si="2"/>
        <v>13</v>
      </c>
    </row>
    <row r="20" spans="1:16" ht="18" customHeight="1">
      <c r="A20" s="19">
        <v>14</v>
      </c>
      <c r="B20" s="2" t="s">
        <v>2942</v>
      </c>
      <c r="C20" s="2" t="s">
        <v>2943</v>
      </c>
      <c r="D20" s="3" t="s">
        <v>2944</v>
      </c>
      <c r="E20" s="1" t="s">
        <v>57</v>
      </c>
      <c r="F20" s="10" t="s">
        <v>2890</v>
      </c>
      <c r="G20" s="2">
        <v>12</v>
      </c>
      <c r="H20" s="6">
        <v>86</v>
      </c>
      <c r="I20" s="6">
        <v>88</v>
      </c>
      <c r="J20" s="6">
        <v>62</v>
      </c>
      <c r="K20" s="6">
        <v>88</v>
      </c>
      <c r="L20" s="6">
        <v>66</v>
      </c>
      <c r="M20" s="6">
        <v>18</v>
      </c>
      <c r="N20" s="1">
        <f t="shared" si="0"/>
        <v>408</v>
      </c>
      <c r="O20" s="14">
        <f t="shared" si="1"/>
        <v>68</v>
      </c>
      <c r="P20" s="20">
        <f t="shared" si="2"/>
        <v>14</v>
      </c>
    </row>
    <row r="21" spans="1:16" ht="18" customHeight="1">
      <c r="A21" s="19">
        <v>15</v>
      </c>
      <c r="B21" s="2" t="s">
        <v>2894</v>
      </c>
      <c r="C21" s="1" t="s">
        <v>2895</v>
      </c>
      <c r="D21" s="3" t="s">
        <v>2896</v>
      </c>
      <c r="E21" s="1" t="s">
        <v>69</v>
      </c>
      <c r="F21" s="10" t="s">
        <v>2890</v>
      </c>
      <c r="G21" s="2">
        <v>12</v>
      </c>
      <c r="H21" s="6">
        <v>57</v>
      </c>
      <c r="I21" s="6">
        <v>70</v>
      </c>
      <c r="J21" s="6">
        <v>38</v>
      </c>
      <c r="K21" s="6">
        <v>88</v>
      </c>
      <c r="L21" s="6">
        <v>82</v>
      </c>
      <c r="M21" s="6">
        <v>70</v>
      </c>
      <c r="N21" s="1">
        <f t="shared" si="0"/>
        <v>405</v>
      </c>
      <c r="O21" s="14">
        <f t="shared" si="1"/>
        <v>67.5</v>
      </c>
      <c r="P21" s="20">
        <f t="shared" si="2"/>
        <v>15</v>
      </c>
    </row>
    <row r="22" spans="1:16" ht="18" customHeight="1">
      <c r="A22" s="19">
        <v>16</v>
      </c>
      <c r="B22" s="2" t="s">
        <v>2888</v>
      </c>
      <c r="C22" s="1">
        <v>311220707</v>
      </c>
      <c r="D22" s="3" t="s">
        <v>2889</v>
      </c>
      <c r="E22" s="1" t="s">
        <v>353</v>
      </c>
      <c r="F22" s="10" t="s">
        <v>2890</v>
      </c>
      <c r="G22" s="2">
        <v>11</v>
      </c>
      <c r="H22" s="6">
        <v>86</v>
      </c>
      <c r="I22" s="6">
        <v>76</v>
      </c>
      <c r="J22" s="6">
        <v>88</v>
      </c>
      <c r="K22" s="6">
        <v>84</v>
      </c>
      <c r="L22" s="6">
        <v>45</v>
      </c>
      <c r="M22" s="6">
        <v>25</v>
      </c>
      <c r="N22" s="1">
        <f t="shared" si="0"/>
        <v>404</v>
      </c>
      <c r="O22" s="14">
        <f t="shared" si="1"/>
        <v>67.333333333333329</v>
      </c>
      <c r="P22" s="20">
        <f t="shared" si="2"/>
        <v>16</v>
      </c>
    </row>
    <row r="23" spans="1:16" ht="18" customHeight="1">
      <c r="A23" s="19">
        <v>17</v>
      </c>
      <c r="B23" s="2" t="s">
        <v>2921</v>
      </c>
      <c r="C23" s="1" t="s">
        <v>2922</v>
      </c>
      <c r="D23" s="3" t="s">
        <v>2923</v>
      </c>
      <c r="E23" s="1" t="s">
        <v>79</v>
      </c>
      <c r="F23" s="10" t="s">
        <v>2890</v>
      </c>
      <c r="G23" s="2">
        <v>12</v>
      </c>
      <c r="H23" s="6">
        <v>100</v>
      </c>
      <c r="I23" s="6">
        <v>57</v>
      </c>
      <c r="J23" s="6">
        <v>26</v>
      </c>
      <c r="K23" s="6">
        <v>76</v>
      </c>
      <c r="L23" s="6">
        <v>39</v>
      </c>
      <c r="M23" s="6">
        <v>92</v>
      </c>
      <c r="N23" s="1">
        <f t="shared" si="0"/>
        <v>390</v>
      </c>
      <c r="O23" s="14">
        <f t="shared" si="1"/>
        <v>65</v>
      </c>
      <c r="P23" s="20">
        <f t="shared" si="2"/>
        <v>17</v>
      </c>
    </row>
    <row r="24" spans="1:16" ht="18" customHeight="1">
      <c r="A24" s="19">
        <v>18</v>
      </c>
      <c r="B24" s="2" t="s">
        <v>3020</v>
      </c>
      <c r="C24" s="1" t="s">
        <v>3021</v>
      </c>
      <c r="D24" s="3" t="s">
        <v>3022</v>
      </c>
      <c r="E24" s="1" t="s">
        <v>82</v>
      </c>
      <c r="F24" s="10" t="s">
        <v>2890</v>
      </c>
      <c r="G24" s="2">
        <v>14</v>
      </c>
      <c r="H24" s="6">
        <v>86</v>
      </c>
      <c r="I24" s="6">
        <v>84</v>
      </c>
      <c r="J24" s="6">
        <v>64</v>
      </c>
      <c r="K24" s="6">
        <v>60</v>
      </c>
      <c r="L24" s="6">
        <v>61</v>
      </c>
      <c r="M24" s="6">
        <v>30</v>
      </c>
      <c r="N24" s="1">
        <f t="shared" si="0"/>
        <v>385</v>
      </c>
      <c r="O24" s="14">
        <f t="shared" si="1"/>
        <v>64.166666666666671</v>
      </c>
      <c r="P24" s="20">
        <f t="shared" si="2"/>
        <v>18</v>
      </c>
    </row>
    <row r="25" spans="1:16" ht="18" customHeight="1">
      <c r="A25" s="19">
        <v>19</v>
      </c>
      <c r="B25" s="2" t="s">
        <v>3027</v>
      </c>
      <c r="C25" s="1" t="s">
        <v>3028</v>
      </c>
      <c r="D25" s="3" t="s">
        <v>3029</v>
      </c>
      <c r="E25" s="1" t="s">
        <v>353</v>
      </c>
      <c r="F25" s="10" t="s">
        <v>2890</v>
      </c>
      <c r="G25" s="2">
        <v>14</v>
      </c>
      <c r="H25" s="6">
        <v>93</v>
      </c>
      <c r="I25" s="6">
        <v>84</v>
      </c>
      <c r="J25" s="6">
        <v>21</v>
      </c>
      <c r="K25" s="6">
        <v>80</v>
      </c>
      <c r="L25" s="6">
        <v>52</v>
      </c>
      <c r="M25" s="6">
        <v>50</v>
      </c>
      <c r="N25" s="1">
        <f t="shared" si="0"/>
        <v>380</v>
      </c>
      <c r="O25" s="14">
        <f t="shared" si="1"/>
        <v>63.333333333333336</v>
      </c>
      <c r="P25" s="20">
        <f t="shared" si="2"/>
        <v>19</v>
      </c>
    </row>
    <row r="26" spans="1:16" ht="18" customHeight="1">
      <c r="A26" s="19">
        <v>20</v>
      </c>
      <c r="B26" s="2" t="s">
        <v>3025</v>
      </c>
      <c r="C26" s="1">
        <v>311230085</v>
      </c>
      <c r="D26" s="3" t="s">
        <v>3026</v>
      </c>
      <c r="E26" s="1" t="s">
        <v>353</v>
      </c>
      <c r="F26" s="10" t="s">
        <v>2890</v>
      </c>
      <c r="G26" s="2">
        <v>14</v>
      </c>
      <c r="H26" s="6">
        <v>86</v>
      </c>
      <c r="I26" s="6">
        <v>92</v>
      </c>
      <c r="J26" s="6">
        <v>36</v>
      </c>
      <c r="K26" s="6">
        <v>76</v>
      </c>
      <c r="L26" s="6">
        <v>47</v>
      </c>
      <c r="M26" s="6">
        <v>36</v>
      </c>
      <c r="N26" s="1">
        <f t="shared" si="0"/>
        <v>373</v>
      </c>
      <c r="O26" s="14">
        <f t="shared" si="1"/>
        <v>62.166666666666664</v>
      </c>
      <c r="P26" s="20">
        <f t="shared" si="2"/>
        <v>20</v>
      </c>
    </row>
    <row r="27" spans="1:16" ht="18" customHeight="1">
      <c r="A27" s="19">
        <v>21</v>
      </c>
      <c r="B27" s="2" t="s">
        <v>3040</v>
      </c>
      <c r="C27" s="1">
        <v>311260321</v>
      </c>
      <c r="D27" s="3" t="s">
        <v>3041</v>
      </c>
      <c r="E27" s="1" t="s">
        <v>55</v>
      </c>
      <c r="F27" s="10" t="s">
        <v>2890</v>
      </c>
      <c r="G27" s="2">
        <v>14</v>
      </c>
      <c r="H27" s="6">
        <v>93</v>
      </c>
      <c r="I27" s="6">
        <v>50</v>
      </c>
      <c r="J27" s="6">
        <v>64</v>
      </c>
      <c r="K27" s="6">
        <v>68</v>
      </c>
      <c r="L27" s="6">
        <v>62</v>
      </c>
      <c r="M27" s="6">
        <v>35</v>
      </c>
      <c r="N27" s="1">
        <f t="shared" si="0"/>
        <v>372</v>
      </c>
      <c r="O27" s="14">
        <f t="shared" si="1"/>
        <v>62</v>
      </c>
      <c r="P27" s="20">
        <f t="shared" si="2"/>
        <v>21</v>
      </c>
    </row>
    <row r="28" spans="1:16" ht="18" customHeight="1">
      <c r="A28" s="19">
        <v>22</v>
      </c>
      <c r="B28" s="2" t="s">
        <v>2985</v>
      </c>
      <c r="C28" s="1" t="s">
        <v>2986</v>
      </c>
      <c r="D28" s="3" t="s">
        <v>2987</v>
      </c>
      <c r="E28" s="1" t="s">
        <v>84</v>
      </c>
      <c r="F28" s="10" t="s">
        <v>2890</v>
      </c>
      <c r="G28" s="2">
        <v>13</v>
      </c>
      <c r="H28" s="6">
        <v>86</v>
      </c>
      <c r="I28" s="6">
        <v>80</v>
      </c>
      <c r="J28" s="6">
        <v>30</v>
      </c>
      <c r="K28" s="6">
        <v>76</v>
      </c>
      <c r="L28" s="6">
        <v>54</v>
      </c>
      <c r="M28" s="6">
        <v>40</v>
      </c>
      <c r="N28" s="1">
        <f t="shared" si="0"/>
        <v>366</v>
      </c>
      <c r="O28" s="14">
        <f t="shared" si="1"/>
        <v>61</v>
      </c>
      <c r="P28" s="20">
        <f t="shared" si="2"/>
        <v>22</v>
      </c>
    </row>
    <row r="29" spans="1:16" ht="18" customHeight="1">
      <c r="A29" s="19">
        <v>23</v>
      </c>
      <c r="B29" s="2" t="s">
        <v>2897</v>
      </c>
      <c r="C29" s="1" t="s">
        <v>2898</v>
      </c>
      <c r="D29" s="3" t="s">
        <v>2899</v>
      </c>
      <c r="E29" s="1" t="s">
        <v>69</v>
      </c>
      <c r="F29" s="10" t="s">
        <v>2890</v>
      </c>
      <c r="G29" s="2">
        <v>12</v>
      </c>
      <c r="H29" s="6">
        <v>93</v>
      </c>
      <c r="I29" s="6">
        <v>74</v>
      </c>
      <c r="J29" s="6">
        <v>66</v>
      </c>
      <c r="K29" s="6">
        <v>84</v>
      </c>
      <c r="L29" s="6">
        <v>23</v>
      </c>
      <c r="M29" s="6">
        <v>8</v>
      </c>
      <c r="N29" s="1">
        <f t="shared" si="0"/>
        <v>348</v>
      </c>
      <c r="O29" s="14">
        <f t="shared" si="1"/>
        <v>58</v>
      </c>
      <c r="P29" s="20">
        <f t="shared" si="2"/>
        <v>23</v>
      </c>
    </row>
    <row r="30" spans="1:16" ht="18" customHeight="1">
      <c r="A30" s="19">
        <v>24</v>
      </c>
      <c r="B30" s="2" t="s">
        <v>3046</v>
      </c>
      <c r="C30" s="1">
        <v>311260942</v>
      </c>
      <c r="D30" s="3" t="s">
        <v>3047</v>
      </c>
      <c r="E30" s="1" t="s">
        <v>59</v>
      </c>
      <c r="F30" s="10" t="s">
        <v>2890</v>
      </c>
      <c r="G30" s="2">
        <v>14</v>
      </c>
      <c r="H30" s="6">
        <v>79</v>
      </c>
      <c r="I30" s="6">
        <v>68</v>
      </c>
      <c r="J30" s="6">
        <v>61</v>
      </c>
      <c r="K30" s="6">
        <v>76</v>
      </c>
      <c r="L30" s="6">
        <v>35</v>
      </c>
      <c r="M30" s="6">
        <v>28</v>
      </c>
      <c r="N30" s="1">
        <f t="shared" si="0"/>
        <v>347</v>
      </c>
      <c r="O30" s="14">
        <f t="shared" si="1"/>
        <v>57.833333333333336</v>
      </c>
      <c r="P30" s="20">
        <f t="shared" si="2"/>
        <v>24</v>
      </c>
    </row>
    <row r="31" spans="1:16" ht="18" customHeight="1">
      <c r="A31" s="19">
        <v>25</v>
      </c>
      <c r="B31" s="2" t="s">
        <v>2927</v>
      </c>
      <c r="C31" s="1" t="s">
        <v>2928</v>
      </c>
      <c r="D31" s="3" t="s">
        <v>2929</v>
      </c>
      <c r="E31" s="1" t="s">
        <v>79</v>
      </c>
      <c r="F31" s="10" t="s">
        <v>2890</v>
      </c>
      <c r="G31" s="2">
        <v>12</v>
      </c>
      <c r="H31" s="6">
        <v>93</v>
      </c>
      <c r="I31" s="6">
        <v>54</v>
      </c>
      <c r="J31" s="6">
        <v>41</v>
      </c>
      <c r="K31" s="6">
        <v>72</v>
      </c>
      <c r="L31" s="6">
        <v>72</v>
      </c>
      <c r="M31" s="6">
        <v>12</v>
      </c>
      <c r="N31" s="1">
        <f t="shared" si="0"/>
        <v>344</v>
      </c>
      <c r="O31" s="14">
        <f t="shared" si="1"/>
        <v>57.333333333333336</v>
      </c>
      <c r="P31" s="20">
        <f t="shared" si="2"/>
        <v>25</v>
      </c>
    </row>
    <row r="32" spans="1:16" ht="18" customHeight="1">
      <c r="A32" s="19">
        <v>26</v>
      </c>
      <c r="B32" s="2" t="s">
        <v>2916</v>
      </c>
      <c r="C32" s="1" t="s">
        <v>2917</v>
      </c>
      <c r="D32" s="3" t="s">
        <v>2918</v>
      </c>
      <c r="E32" s="1" t="s">
        <v>55</v>
      </c>
      <c r="F32" s="10" t="s">
        <v>2890</v>
      </c>
      <c r="G32" s="2">
        <v>12</v>
      </c>
      <c r="H32" s="6">
        <v>79</v>
      </c>
      <c r="I32" s="6">
        <v>50</v>
      </c>
      <c r="J32" s="6">
        <v>40</v>
      </c>
      <c r="K32" s="6">
        <v>64</v>
      </c>
      <c r="L32" s="6">
        <v>62</v>
      </c>
      <c r="M32" s="6">
        <v>46</v>
      </c>
      <c r="N32" s="1">
        <f t="shared" si="0"/>
        <v>341</v>
      </c>
      <c r="O32" s="14">
        <f t="shared" si="1"/>
        <v>56.833333333333336</v>
      </c>
      <c r="P32" s="20">
        <f t="shared" si="2"/>
        <v>26</v>
      </c>
    </row>
    <row r="33" spans="1:16" ht="18" customHeight="1">
      <c r="A33" s="19">
        <v>27</v>
      </c>
      <c r="B33" s="2" t="s">
        <v>3012</v>
      </c>
      <c r="C33" s="1" t="s">
        <v>3013</v>
      </c>
      <c r="D33" s="3" t="s">
        <v>3014</v>
      </c>
      <c r="E33" s="1" t="s">
        <v>2075</v>
      </c>
      <c r="F33" s="10" t="s">
        <v>2890</v>
      </c>
      <c r="G33" s="2">
        <v>14</v>
      </c>
      <c r="H33" s="6">
        <v>72</v>
      </c>
      <c r="I33" s="6">
        <v>70</v>
      </c>
      <c r="J33" s="6">
        <v>44</v>
      </c>
      <c r="K33" s="6">
        <v>80</v>
      </c>
      <c r="L33" s="6">
        <v>36</v>
      </c>
      <c r="M33" s="6">
        <v>34</v>
      </c>
      <c r="N33" s="1">
        <f t="shared" si="0"/>
        <v>336</v>
      </c>
      <c r="O33" s="14">
        <f t="shared" si="1"/>
        <v>56</v>
      </c>
      <c r="P33" s="20">
        <f t="shared" si="2"/>
        <v>27</v>
      </c>
    </row>
    <row r="34" spans="1:16" ht="18" customHeight="1">
      <c r="A34" s="19">
        <v>28</v>
      </c>
      <c r="B34" s="2" t="s">
        <v>2958</v>
      </c>
      <c r="C34" s="1">
        <v>311220673</v>
      </c>
      <c r="D34" s="3" t="s">
        <v>2959</v>
      </c>
      <c r="E34" s="1" t="s">
        <v>72</v>
      </c>
      <c r="F34" s="10" t="s">
        <v>2890</v>
      </c>
      <c r="G34" s="2">
        <v>13</v>
      </c>
      <c r="H34" s="6">
        <v>57</v>
      </c>
      <c r="I34" s="6">
        <v>80</v>
      </c>
      <c r="J34" s="6">
        <v>53</v>
      </c>
      <c r="K34" s="6">
        <v>88</v>
      </c>
      <c r="L34" s="6">
        <v>34</v>
      </c>
      <c r="M34" s="6">
        <v>20</v>
      </c>
      <c r="N34" s="1">
        <f t="shared" si="0"/>
        <v>332</v>
      </c>
      <c r="O34" s="14">
        <f t="shared" si="1"/>
        <v>55.333333333333336</v>
      </c>
      <c r="P34" s="20">
        <f t="shared" si="2"/>
        <v>28</v>
      </c>
    </row>
    <row r="35" spans="1:16" ht="18" customHeight="1">
      <c r="A35" s="19">
        <v>29</v>
      </c>
      <c r="B35" s="2" t="s">
        <v>3030</v>
      </c>
      <c r="C35" s="1" t="s">
        <v>3031</v>
      </c>
      <c r="D35" s="3" t="s">
        <v>3032</v>
      </c>
      <c r="E35" s="1" t="s">
        <v>353</v>
      </c>
      <c r="F35" s="10" t="s">
        <v>2890</v>
      </c>
      <c r="G35" s="2">
        <v>14</v>
      </c>
      <c r="H35" s="6">
        <v>93</v>
      </c>
      <c r="I35" s="6">
        <v>61</v>
      </c>
      <c r="J35" s="6">
        <v>34</v>
      </c>
      <c r="K35" s="6">
        <v>84</v>
      </c>
      <c r="L35" s="6">
        <v>29</v>
      </c>
      <c r="M35" s="6">
        <v>30</v>
      </c>
      <c r="N35" s="1">
        <f t="shared" si="0"/>
        <v>331</v>
      </c>
      <c r="O35" s="14">
        <f t="shared" si="1"/>
        <v>55.166666666666664</v>
      </c>
      <c r="P35" s="20">
        <f t="shared" si="2"/>
        <v>29</v>
      </c>
    </row>
    <row r="36" spans="1:16" ht="18" customHeight="1">
      <c r="A36" s="19">
        <v>30</v>
      </c>
      <c r="B36" s="2" t="s">
        <v>2930</v>
      </c>
      <c r="C36" s="1" t="s">
        <v>2931</v>
      </c>
      <c r="D36" s="3" t="s">
        <v>2932</v>
      </c>
      <c r="E36" s="1" t="s">
        <v>70</v>
      </c>
      <c r="F36" s="10" t="s">
        <v>2890</v>
      </c>
      <c r="G36" s="2">
        <v>12</v>
      </c>
      <c r="H36" s="6">
        <v>93</v>
      </c>
      <c r="I36" s="6">
        <v>84</v>
      </c>
      <c r="J36" s="6">
        <v>46</v>
      </c>
      <c r="K36" s="6">
        <v>80</v>
      </c>
      <c r="L36" s="6">
        <v>22</v>
      </c>
      <c r="M36" s="6">
        <v>4</v>
      </c>
      <c r="N36" s="1">
        <f t="shared" si="0"/>
        <v>329</v>
      </c>
      <c r="O36" s="14">
        <f t="shared" si="1"/>
        <v>54.833333333333336</v>
      </c>
      <c r="P36" s="20">
        <f t="shared" si="2"/>
        <v>30</v>
      </c>
    </row>
    <row r="37" spans="1:16" ht="18" customHeight="1">
      <c r="A37" s="19">
        <v>31</v>
      </c>
      <c r="B37" s="2" t="s">
        <v>2939</v>
      </c>
      <c r="C37" s="1" t="s">
        <v>2940</v>
      </c>
      <c r="D37" s="3" t="s">
        <v>2941</v>
      </c>
      <c r="E37" s="1" t="s">
        <v>70</v>
      </c>
      <c r="F37" s="10" t="s">
        <v>2890</v>
      </c>
      <c r="G37" s="2">
        <v>12</v>
      </c>
      <c r="H37" s="6">
        <v>43</v>
      </c>
      <c r="I37" s="6">
        <v>58</v>
      </c>
      <c r="J37" s="6">
        <v>20</v>
      </c>
      <c r="K37" s="6">
        <v>76</v>
      </c>
      <c r="L37" s="6">
        <v>48</v>
      </c>
      <c r="M37" s="6">
        <v>84</v>
      </c>
      <c r="N37" s="1">
        <f t="shared" si="0"/>
        <v>329</v>
      </c>
      <c r="O37" s="14">
        <f t="shared" si="1"/>
        <v>54.833333333333336</v>
      </c>
      <c r="P37" s="20">
        <f t="shared" si="2"/>
        <v>30</v>
      </c>
    </row>
    <row r="38" spans="1:16" ht="18" customHeight="1">
      <c r="A38" s="19">
        <v>32</v>
      </c>
      <c r="B38" s="2" t="s">
        <v>2900</v>
      </c>
      <c r="C38" s="1">
        <v>311220613</v>
      </c>
      <c r="D38" s="3" t="s">
        <v>2901</v>
      </c>
      <c r="E38" s="1" t="s">
        <v>55</v>
      </c>
      <c r="F38" s="10" t="s">
        <v>2890</v>
      </c>
      <c r="G38" s="2">
        <v>12</v>
      </c>
      <c r="H38" s="6">
        <v>93</v>
      </c>
      <c r="I38" s="6">
        <v>60</v>
      </c>
      <c r="J38" s="6">
        <v>40</v>
      </c>
      <c r="K38" s="6">
        <v>96</v>
      </c>
      <c r="L38" s="6">
        <v>24</v>
      </c>
      <c r="M38" s="6">
        <v>12</v>
      </c>
      <c r="N38" s="1">
        <f t="shared" si="0"/>
        <v>325</v>
      </c>
      <c r="O38" s="14">
        <f t="shared" si="1"/>
        <v>54.166666666666664</v>
      </c>
      <c r="P38" s="20">
        <f t="shared" si="2"/>
        <v>32</v>
      </c>
    </row>
    <row r="39" spans="1:16" ht="18" customHeight="1">
      <c r="A39" s="19">
        <v>33</v>
      </c>
      <c r="B39" s="2" t="s">
        <v>2911</v>
      </c>
      <c r="C39" s="1" t="s">
        <v>2912</v>
      </c>
      <c r="D39" s="3" t="s">
        <v>2913</v>
      </c>
      <c r="E39" s="1" t="s">
        <v>55</v>
      </c>
      <c r="F39" s="10" t="s">
        <v>2890</v>
      </c>
      <c r="G39" s="2">
        <v>12</v>
      </c>
      <c r="H39" s="6">
        <v>93</v>
      </c>
      <c r="I39" s="6">
        <v>78</v>
      </c>
      <c r="J39" s="6">
        <v>34</v>
      </c>
      <c r="K39" s="6">
        <v>58</v>
      </c>
      <c r="L39" s="6">
        <v>38</v>
      </c>
      <c r="M39" s="6">
        <v>24</v>
      </c>
      <c r="N39" s="1">
        <f t="shared" ref="N39:N66" si="3">SUBTOTAL(9,H39:M39)</f>
        <v>325</v>
      </c>
      <c r="O39" s="14">
        <f t="shared" ref="O39:O66" si="4">N39/6</f>
        <v>54.166666666666664</v>
      </c>
      <c r="P39" s="20">
        <f t="shared" ref="P39:P66" si="5">RANK(O39,O$7:O$310,0)</f>
        <v>32</v>
      </c>
    </row>
    <row r="40" spans="1:16" ht="18" customHeight="1">
      <c r="A40" s="19">
        <v>34</v>
      </c>
      <c r="B40" s="2" t="s">
        <v>3003</v>
      </c>
      <c r="C40" s="1" t="s">
        <v>3004</v>
      </c>
      <c r="D40" s="3" t="s">
        <v>3005</v>
      </c>
      <c r="E40" s="1" t="s">
        <v>90</v>
      </c>
      <c r="F40" s="10" t="s">
        <v>2890</v>
      </c>
      <c r="G40" s="2">
        <v>14</v>
      </c>
      <c r="H40" s="6">
        <v>93</v>
      </c>
      <c r="I40" s="6">
        <v>70</v>
      </c>
      <c r="J40" s="6">
        <v>15</v>
      </c>
      <c r="K40" s="6">
        <v>80</v>
      </c>
      <c r="L40" s="6">
        <v>23</v>
      </c>
      <c r="M40" s="6">
        <v>37</v>
      </c>
      <c r="N40" s="1">
        <f t="shared" si="3"/>
        <v>318</v>
      </c>
      <c r="O40" s="14">
        <f t="shared" si="4"/>
        <v>53</v>
      </c>
      <c r="P40" s="20">
        <f t="shared" si="5"/>
        <v>34</v>
      </c>
    </row>
    <row r="41" spans="1:16" ht="18" customHeight="1">
      <c r="A41" s="19">
        <v>35</v>
      </c>
      <c r="B41" s="2" t="s">
        <v>2914</v>
      </c>
      <c r="C41" s="1">
        <v>311220939</v>
      </c>
      <c r="D41" s="3" t="s">
        <v>2915</v>
      </c>
      <c r="E41" s="1" t="s">
        <v>55</v>
      </c>
      <c r="F41" s="10" t="s">
        <v>2890</v>
      </c>
      <c r="G41" s="2">
        <v>12</v>
      </c>
      <c r="H41" s="6">
        <v>86</v>
      </c>
      <c r="I41" s="6">
        <v>66</v>
      </c>
      <c r="J41" s="6">
        <v>21</v>
      </c>
      <c r="K41" s="6">
        <v>72</v>
      </c>
      <c r="L41" s="6">
        <v>46</v>
      </c>
      <c r="M41" s="6">
        <v>25</v>
      </c>
      <c r="N41" s="1">
        <f t="shared" si="3"/>
        <v>316</v>
      </c>
      <c r="O41" s="14">
        <f t="shared" si="4"/>
        <v>52.666666666666664</v>
      </c>
      <c r="P41" s="20">
        <f t="shared" si="5"/>
        <v>35</v>
      </c>
    </row>
    <row r="42" spans="1:16" ht="18" customHeight="1">
      <c r="A42" s="19">
        <v>36</v>
      </c>
      <c r="B42" s="2" t="s">
        <v>3015</v>
      </c>
      <c r="C42" s="1">
        <v>311220639</v>
      </c>
      <c r="D42" s="3" t="s">
        <v>3016</v>
      </c>
      <c r="E42" s="1" t="s">
        <v>82</v>
      </c>
      <c r="F42" s="10" t="s">
        <v>2890</v>
      </c>
      <c r="G42" s="2">
        <v>14</v>
      </c>
      <c r="H42" s="6">
        <v>79</v>
      </c>
      <c r="I42" s="6">
        <v>44</v>
      </c>
      <c r="J42" s="6">
        <v>25</v>
      </c>
      <c r="K42" s="6">
        <v>80</v>
      </c>
      <c r="L42" s="6">
        <v>46</v>
      </c>
      <c r="M42" s="6">
        <v>40</v>
      </c>
      <c r="N42" s="1">
        <f t="shared" si="3"/>
        <v>314</v>
      </c>
      <c r="O42" s="14">
        <f t="shared" si="4"/>
        <v>52.333333333333336</v>
      </c>
      <c r="P42" s="20">
        <f t="shared" si="5"/>
        <v>36</v>
      </c>
    </row>
    <row r="43" spans="1:16" ht="18" customHeight="1">
      <c r="A43" s="19">
        <v>37</v>
      </c>
      <c r="B43" s="2" t="s">
        <v>2949</v>
      </c>
      <c r="C43" s="2" t="s">
        <v>2950</v>
      </c>
      <c r="D43" s="3" t="s">
        <v>2951</v>
      </c>
      <c r="E43" s="1" t="s">
        <v>71</v>
      </c>
      <c r="F43" s="10" t="s">
        <v>2890</v>
      </c>
      <c r="G43" s="2">
        <v>13</v>
      </c>
      <c r="H43" s="6">
        <v>79</v>
      </c>
      <c r="I43" s="6">
        <v>62</v>
      </c>
      <c r="J43" s="6">
        <v>26</v>
      </c>
      <c r="K43" s="6">
        <v>58</v>
      </c>
      <c r="L43" s="6">
        <v>60</v>
      </c>
      <c r="M43" s="6">
        <v>24</v>
      </c>
      <c r="N43" s="1">
        <f t="shared" si="3"/>
        <v>309</v>
      </c>
      <c r="O43" s="14">
        <f t="shared" si="4"/>
        <v>51.5</v>
      </c>
      <c r="P43" s="20">
        <f t="shared" si="5"/>
        <v>37</v>
      </c>
    </row>
    <row r="44" spans="1:16" ht="18" customHeight="1">
      <c r="A44" s="19">
        <v>38</v>
      </c>
      <c r="B44" s="2" t="s">
        <v>3038</v>
      </c>
      <c r="C44" s="2">
        <v>311260320</v>
      </c>
      <c r="D44" s="3" t="s">
        <v>3039</v>
      </c>
      <c r="E44" s="1" t="s">
        <v>55</v>
      </c>
      <c r="F44" s="10" t="s">
        <v>2890</v>
      </c>
      <c r="G44" s="2">
        <v>14</v>
      </c>
      <c r="H44" s="6">
        <v>72</v>
      </c>
      <c r="I44" s="6">
        <v>53</v>
      </c>
      <c r="J44" s="6">
        <v>66</v>
      </c>
      <c r="K44" s="6">
        <v>60</v>
      </c>
      <c r="L44" s="6">
        <v>21</v>
      </c>
      <c r="M44" s="6">
        <v>36</v>
      </c>
      <c r="N44" s="1">
        <f t="shared" si="3"/>
        <v>308</v>
      </c>
      <c r="O44" s="14">
        <f t="shared" si="4"/>
        <v>51.333333333333336</v>
      </c>
      <c r="P44" s="20">
        <f t="shared" si="5"/>
        <v>38</v>
      </c>
    </row>
    <row r="45" spans="1:16" ht="18" customHeight="1">
      <c r="A45" s="19">
        <v>39</v>
      </c>
      <c r="B45" s="2" t="s">
        <v>3044</v>
      </c>
      <c r="C45" s="1">
        <v>311260941</v>
      </c>
      <c r="D45" s="3" t="s">
        <v>3045</v>
      </c>
      <c r="E45" s="1" t="s">
        <v>71</v>
      </c>
      <c r="F45" s="10" t="s">
        <v>2890</v>
      </c>
      <c r="G45" s="2">
        <v>14</v>
      </c>
      <c r="H45" s="6">
        <v>93</v>
      </c>
      <c r="I45" s="6">
        <v>65</v>
      </c>
      <c r="J45" s="6">
        <v>45</v>
      </c>
      <c r="K45" s="6">
        <v>64</v>
      </c>
      <c r="L45" s="6">
        <v>24</v>
      </c>
      <c r="M45" s="6">
        <v>16</v>
      </c>
      <c r="N45" s="1">
        <f t="shared" si="3"/>
        <v>307</v>
      </c>
      <c r="O45" s="14">
        <f t="shared" si="4"/>
        <v>51.166666666666664</v>
      </c>
      <c r="P45" s="20">
        <f t="shared" si="5"/>
        <v>39</v>
      </c>
    </row>
    <row r="46" spans="1:16" ht="18" customHeight="1">
      <c r="A46" s="19">
        <v>40</v>
      </c>
      <c r="B46" s="2" t="s">
        <v>2955</v>
      </c>
      <c r="C46" s="1" t="s">
        <v>2956</v>
      </c>
      <c r="D46" s="3" t="s">
        <v>2957</v>
      </c>
      <c r="E46" s="1" t="s">
        <v>71</v>
      </c>
      <c r="F46" s="10" t="s">
        <v>2890</v>
      </c>
      <c r="G46" s="2">
        <v>13</v>
      </c>
      <c r="H46" s="6">
        <v>65</v>
      </c>
      <c r="I46" s="6">
        <v>41</v>
      </c>
      <c r="J46" s="6">
        <v>55</v>
      </c>
      <c r="K46" s="6">
        <v>68</v>
      </c>
      <c r="L46" s="6">
        <v>35</v>
      </c>
      <c r="M46" s="6">
        <v>36</v>
      </c>
      <c r="N46" s="1">
        <f t="shared" si="3"/>
        <v>300</v>
      </c>
      <c r="O46" s="14">
        <f t="shared" si="4"/>
        <v>50</v>
      </c>
      <c r="P46" s="20">
        <f t="shared" si="5"/>
        <v>40</v>
      </c>
    </row>
    <row r="47" spans="1:16" ht="18" customHeight="1">
      <c r="A47" s="19">
        <v>41</v>
      </c>
      <c r="B47" s="2" t="s">
        <v>2891</v>
      </c>
      <c r="C47" s="1" t="s">
        <v>2892</v>
      </c>
      <c r="D47" s="3" t="s">
        <v>2893</v>
      </c>
      <c r="E47" s="1" t="s">
        <v>69</v>
      </c>
      <c r="F47" s="10" t="s">
        <v>2890</v>
      </c>
      <c r="G47" s="2">
        <v>12</v>
      </c>
      <c r="H47" s="6">
        <v>43</v>
      </c>
      <c r="I47" s="6">
        <v>48</v>
      </c>
      <c r="J47" s="6">
        <v>4</v>
      </c>
      <c r="K47" s="6">
        <v>88</v>
      </c>
      <c r="L47" s="6">
        <v>38</v>
      </c>
      <c r="M47" s="6">
        <v>76</v>
      </c>
      <c r="N47" s="1">
        <f t="shared" si="3"/>
        <v>297</v>
      </c>
      <c r="O47" s="14">
        <f t="shared" si="4"/>
        <v>49.5</v>
      </c>
      <c r="P47" s="20">
        <f t="shared" si="5"/>
        <v>41</v>
      </c>
    </row>
    <row r="48" spans="1:16" ht="18" customHeight="1">
      <c r="A48" s="19">
        <v>42</v>
      </c>
      <c r="B48" s="2" t="s">
        <v>2966</v>
      </c>
      <c r="C48" s="1" t="s">
        <v>2967</v>
      </c>
      <c r="D48" s="3" t="s">
        <v>2968</v>
      </c>
      <c r="E48" s="1" t="s">
        <v>80</v>
      </c>
      <c r="F48" s="10" t="s">
        <v>2890</v>
      </c>
      <c r="G48" s="2">
        <v>13</v>
      </c>
      <c r="H48" s="6">
        <v>100</v>
      </c>
      <c r="I48" s="6">
        <v>38</v>
      </c>
      <c r="J48" s="6">
        <v>40</v>
      </c>
      <c r="K48" s="6">
        <v>58</v>
      </c>
      <c r="L48" s="6">
        <v>37</v>
      </c>
      <c r="M48" s="6">
        <v>18</v>
      </c>
      <c r="N48" s="1">
        <f t="shared" si="3"/>
        <v>291</v>
      </c>
      <c r="O48" s="14">
        <f t="shared" si="4"/>
        <v>48.5</v>
      </c>
      <c r="P48" s="20">
        <f t="shared" si="5"/>
        <v>42</v>
      </c>
    </row>
    <row r="49" spans="1:16" ht="18" customHeight="1">
      <c r="A49" s="19">
        <v>43</v>
      </c>
      <c r="B49" s="2" t="s">
        <v>2982</v>
      </c>
      <c r="C49" s="1" t="s">
        <v>2983</v>
      </c>
      <c r="D49" s="3" t="s">
        <v>2984</v>
      </c>
      <c r="E49" s="1" t="s">
        <v>2489</v>
      </c>
      <c r="F49" s="10" t="s">
        <v>2890</v>
      </c>
      <c r="G49" s="2">
        <v>13</v>
      </c>
      <c r="H49" s="6">
        <v>57</v>
      </c>
      <c r="I49" s="6">
        <v>52</v>
      </c>
      <c r="J49" s="6">
        <v>39</v>
      </c>
      <c r="K49" s="6">
        <v>68</v>
      </c>
      <c r="L49" s="6">
        <v>47</v>
      </c>
      <c r="M49" s="6">
        <v>23</v>
      </c>
      <c r="N49" s="1">
        <f t="shared" si="3"/>
        <v>286</v>
      </c>
      <c r="O49" s="14">
        <f t="shared" si="4"/>
        <v>47.666666666666664</v>
      </c>
      <c r="P49" s="20">
        <f t="shared" si="5"/>
        <v>43</v>
      </c>
    </row>
    <row r="50" spans="1:16" ht="18" customHeight="1">
      <c r="A50" s="19">
        <v>44</v>
      </c>
      <c r="B50" s="2" t="s">
        <v>2936</v>
      </c>
      <c r="C50" s="1" t="s">
        <v>2937</v>
      </c>
      <c r="D50" s="3" t="s">
        <v>2938</v>
      </c>
      <c r="E50" s="1" t="s">
        <v>70</v>
      </c>
      <c r="F50" s="10" t="s">
        <v>2890</v>
      </c>
      <c r="G50" s="2">
        <v>12</v>
      </c>
      <c r="H50" s="6">
        <v>79</v>
      </c>
      <c r="I50" s="6">
        <v>64</v>
      </c>
      <c r="J50" s="6">
        <v>20</v>
      </c>
      <c r="K50" s="6">
        <v>76</v>
      </c>
      <c r="L50" s="6">
        <v>30</v>
      </c>
      <c r="M50" s="6">
        <v>14</v>
      </c>
      <c r="N50" s="1">
        <f t="shared" si="3"/>
        <v>283</v>
      </c>
      <c r="O50" s="14">
        <f t="shared" si="4"/>
        <v>47.166666666666664</v>
      </c>
      <c r="P50" s="20">
        <f t="shared" si="5"/>
        <v>44</v>
      </c>
    </row>
    <row r="51" spans="1:16" ht="18" customHeight="1">
      <c r="A51" s="19">
        <v>45</v>
      </c>
      <c r="B51" s="2" t="s">
        <v>2963</v>
      </c>
      <c r="C51" s="1" t="s">
        <v>2964</v>
      </c>
      <c r="D51" s="3" t="s">
        <v>2965</v>
      </c>
      <c r="E51" s="1" t="s">
        <v>60</v>
      </c>
      <c r="F51" s="10" t="s">
        <v>2890</v>
      </c>
      <c r="G51" s="2">
        <v>13</v>
      </c>
      <c r="H51" s="6">
        <v>86</v>
      </c>
      <c r="I51" s="6">
        <v>31</v>
      </c>
      <c r="J51" s="6">
        <v>26</v>
      </c>
      <c r="K51" s="6">
        <v>72</v>
      </c>
      <c r="L51" s="6">
        <v>27</v>
      </c>
      <c r="M51" s="6">
        <v>26</v>
      </c>
      <c r="N51" s="1">
        <f t="shared" si="3"/>
        <v>268</v>
      </c>
      <c r="O51" s="14">
        <f t="shared" si="4"/>
        <v>44.666666666666664</v>
      </c>
      <c r="P51" s="20">
        <f t="shared" si="5"/>
        <v>45</v>
      </c>
    </row>
    <row r="52" spans="1:16" ht="18" customHeight="1">
      <c r="A52" s="19">
        <v>46</v>
      </c>
      <c r="B52" s="2" t="s">
        <v>3036</v>
      </c>
      <c r="C52" s="1">
        <v>311260319</v>
      </c>
      <c r="D52" s="3" t="s">
        <v>3037</v>
      </c>
      <c r="E52" s="1" t="s">
        <v>55</v>
      </c>
      <c r="F52" s="10" t="s">
        <v>2890</v>
      </c>
      <c r="G52" s="2">
        <v>14</v>
      </c>
      <c r="H52" s="6">
        <v>79</v>
      </c>
      <c r="I52" s="6">
        <v>44</v>
      </c>
      <c r="J52" s="6">
        <v>25</v>
      </c>
      <c r="K52" s="6">
        <v>64</v>
      </c>
      <c r="L52" s="6">
        <v>12</v>
      </c>
      <c r="M52" s="6">
        <v>36</v>
      </c>
      <c r="N52" s="1">
        <f t="shared" si="3"/>
        <v>260</v>
      </c>
      <c r="O52" s="14">
        <f t="shared" si="4"/>
        <v>43.333333333333336</v>
      </c>
      <c r="P52" s="20">
        <f t="shared" si="5"/>
        <v>46</v>
      </c>
    </row>
    <row r="53" spans="1:16" ht="18" customHeight="1">
      <c r="A53" s="19">
        <v>47</v>
      </c>
      <c r="B53" s="2" t="s">
        <v>2905</v>
      </c>
      <c r="C53" s="1" t="s">
        <v>2906</v>
      </c>
      <c r="D53" s="3" t="s">
        <v>2907</v>
      </c>
      <c r="E53" s="1" t="s">
        <v>55</v>
      </c>
      <c r="F53" s="10" t="s">
        <v>2890</v>
      </c>
      <c r="G53" s="2">
        <v>12</v>
      </c>
      <c r="H53" s="6">
        <v>79</v>
      </c>
      <c r="I53" s="6">
        <v>38</v>
      </c>
      <c r="J53" s="6">
        <v>54</v>
      </c>
      <c r="K53" s="6">
        <v>68</v>
      </c>
      <c r="L53" s="6">
        <v>17</v>
      </c>
      <c r="M53" s="6"/>
      <c r="N53" s="1">
        <f t="shared" si="3"/>
        <v>256</v>
      </c>
      <c r="O53" s="14">
        <f t="shared" si="4"/>
        <v>42.666666666666664</v>
      </c>
      <c r="P53" s="20">
        <f t="shared" si="5"/>
        <v>47</v>
      </c>
    </row>
    <row r="54" spans="1:16" ht="18" customHeight="1">
      <c r="A54" s="19">
        <v>48</v>
      </c>
      <c r="B54" s="2" t="s">
        <v>2978</v>
      </c>
      <c r="C54" s="1">
        <v>311240424</v>
      </c>
      <c r="D54" s="3" t="s">
        <v>2979</v>
      </c>
      <c r="E54" s="1" t="s">
        <v>81</v>
      </c>
      <c r="F54" s="10" t="s">
        <v>2890</v>
      </c>
      <c r="G54" s="2">
        <v>13</v>
      </c>
      <c r="H54" s="6">
        <v>72</v>
      </c>
      <c r="I54" s="6">
        <v>28</v>
      </c>
      <c r="J54" s="6">
        <v>36</v>
      </c>
      <c r="K54" s="6">
        <v>54</v>
      </c>
      <c r="L54" s="6">
        <v>32</v>
      </c>
      <c r="M54" s="6">
        <v>22</v>
      </c>
      <c r="N54" s="1">
        <f t="shared" si="3"/>
        <v>244</v>
      </c>
      <c r="O54" s="14">
        <f t="shared" si="4"/>
        <v>40.666666666666664</v>
      </c>
      <c r="P54" s="20">
        <f t="shared" si="5"/>
        <v>48</v>
      </c>
    </row>
    <row r="55" spans="1:16" ht="18" customHeight="1">
      <c r="A55" s="19">
        <v>49</v>
      </c>
      <c r="B55" s="2" t="s">
        <v>2902</v>
      </c>
      <c r="C55" s="1" t="s">
        <v>2903</v>
      </c>
      <c r="D55" s="3" t="s">
        <v>2904</v>
      </c>
      <c r="E55" s="1" t="s">
        <v>55</v>
      </c>
      <c r="F55" s="10" t="s">
        <v>2890</v>
      </c>
      <c r="G55" s="2">
        <v>12</v>
      </c>
      <c r="H55" s="6">
        <v>93</v>
      </c>
      <c r="I55" s="6">
        <v>32</v>
      </c>
      <c r="J55" s="6">
        <v>19</v>
      </c>
      <c r="K55" s="6">
        <v>68</v>
      </c>
      <c r="L55" s="6">
        <v>14</v>
      </c>
      <c r="M55" s="6">
        <v>12</v>
      </c>
      <c r="N55" s="1">
        <f t="shared" si="3"/>
        <v>238</v>
      </c>
      <c r="O55" s="14">
        <f t="shared" si="4"/>
        <v>39.666666666666664</v>
      </c>
      <c r="P55" s="20">
        <f t="shared" si="5"/>
        <v>49</v>
      </c>
    </row>
    <row r="56" spans="1:16" ht="18" customHeight="1">
      <c r="A56" s="19">
        <v>50</v>
      </c>
      <c r="B56" s="2" t="s">
        <v>2960</v>
      </c>
      <c r="C56" s="1" t="s">
        <v>2961</v>
      </c>
      <c r="D56" s="3" t="s">
        <v>2962</v>
      </c>
      <c r="E56" s="1" t="s">
        <v>58</v>
      </c>
      <c r="F56" s="10" t="s">
        <v>2890</v>
      </c>
      <c r="G56" s="2">
        <v>13</v>
      </c>
      <c r="H56" s="6">
        <v>65</v>
      </c>
      <c r="I56" s="6">
        <v>44</v>
      </c>
      <c r="J56" s="6">
        <v>13</v>
      </c>
      <c r="K56" s="6">
        <v>64</v>
      </c>
      <c r="L56" s="6">
        <v>35</v>
      </c>
      <c r="M56" s="6">
        <v>13</v>
      </c>
      <c r="N56" s="1">
        <f t="shared" si="3"/>
        <v>234</v>
      </c>
      <c r="O56" s="14">
        <f t="shared" si="4"/>
        <v>39</v>
      </c>
      <c r="P56" s="20">
        <f t="shared" si="5"/>
        <v>50</v>
      </c>
    </row>
    <row r="57" spans="1:16" ht="18" customHeight="1">
      <c r="A57" s="19">
        <v>51</v>
      </c>
      <c r="B57" s="2" t="s">
        <v>2933</v>
      </c>
      <c r="C57" s="1" t="s">
        <v>2934</v>
      </c>
      <c r="D57" s="3" t="s">
        <v>2935</v>
      </c>
      <c r="E57" s="1" t="s">
        <v>70</v>
      </c>
      <c r="F57" s="10" t="s">
        <v>2890</v>
      </c>
      <c r="G57" s="2">
        <v>12</v>
      </c>
      <c r="H57" s="6">
        <v>65</v>
      </c>
      <c r="I57" s="6">
        <v>33</v>
      </c>
      <c r="J57" s="6">
        <v>35</v>
      </c>
      <c r="K57" s="6">
        <v>42</v>
      </c>
      <c r="L57" s="6">
        <v>36</v>
      </c>
      <c r="M57" s="6">
        <v>21</v>
      </c>
      <c r="N57" s="1">
        <f t="shared" si="3"/>
        <v>232</v>
      </c>
      <c r="O57" s="14">
        <f t="shared" si="4"/>
        <v>38.666666666666664</v>
      </c>
      <c r="P57" s="20">
        <f t="shared" si="5"/>
        <v>51</v>
      </c>
    </row>
    <row r="58" spans="1:16" ht="18" customHeight="1">
      <c r="A58" s="19">
        <v>52</v>
      </c>
      <c r="B58" s="2" t="s">
        <v>2994</v>
      </c>
      <c r="C58" s="1" t="s">
        <v>2995</v>
      </c>
      <c r="D58" s="3" t="s">
        <v>2996</v>
      </c>
      <c r="E58" s="1" t="s">
        <v>84</v>
      </c>
      <c r="F58" s="10" t="s">
        <v>2890</v>
      </c>
      <c r="G58" s="2">
        <v>13</v>
      </c>
      <c r="H58" s="6">
        <v>36</v>
      </c>
      <c r="I58" s="6">
        <v>22</v>
      </c>
      <c r="J58" s="6">
        <v>31</v>
      </c>
      <c r="K58" s="6">
        <v>76</v>
      </c>
      <c r="L58" s="6">
        <v>33</v>
      </c>
      <c r="M58" s="6">
        <v>31</v>
      </c>
      <c r="N58" s="1">
        <f t="shared" si="3"/>
        <v>229</v>
      </c>
      <c r="O58" s="14">
        <f t="shared" si="4"/>
        <v>38.166666666666664</v>
      </c>
      <c r="P58" s="20">
        <f t="shared" si="5"/>
        <v>52</v>
      </c>
    </row>
    <row r="59" spans="1:16" ht="18" customHeight="1">
      <c r="A59" s="19">
        <v>53</v>
      </c>
      <c r="B59" s="2" t="s">
        <v>2952</v>
      </c>
      <c r="C59" s="1" t="s">
        <v>2953</v>
      </c>
      <c r="D59" s="3" t="s">
        <v>2954</v>
      </c>
      <c r="E59" s="1" t="s">
        <v>71</v>
      </c>
      <c r="F59" s="10" t="s">
        <v>2890</v>
      </c>
      <c r="G59" s="2">
        <v>13</v>
      </c>
      <c r="H59" s="6">
        <v>29</v>
      </c>
      <c r="I59" s="6">
        <v>38</v>
      </c>
      <c r="J59" s="6">
        <v>28</v>
      </c>
      <c r="K59" s="6">
        <v>67</v>
      </c>
      <c r="L59" s="6">
        <v>58</v>
      </c>
      <c r="M59" s="6">
        <v>8</v>
      </c>
      <c r="N59" s="1">
        <f t="shared" si="3"/>
        <v>228</v>
      </c>
      <c r="O59" s="14">
        <f t="shared" si="4"/>
        <v>38</v>
      </c>
      <c r="P59" s="20">
        <f t="shared" si="5"/>
        <v>53</v>
      </c>
    </row>
    <row r="60" spans="1:16" ht="18" customHeight="1">
      <c r="A60" s="19">
        <v>54</v>
      </c>
      <c r="B60" s="2" t="s">
        <v>2947</v>
      </c>
      <c r="C60" s="1">
        <v>311220666</v>
      </c>
      <c r="D60" s="3" t="s">
        <v>2948</v>
      </c>
      <c r="E60" s="1" t="s">
        <v>71</v>
      </c>
      <c r="F60" s="10" t="s">
        <v>2890</v>
      </c>
      <c r="G60" s="2">
        <v>12</v>
      </c>
      <c r="H60" s="6">
        <v>79</v>
      </c>
      <c r="I60" s="6">
        <v>22</v>
      </c>
      <c r="J60" s="6">
        <v>25</v>
      </c>
      <c r="K60" s="6">
        <v>56</v>
      </c>
      <c r="L60" s="6">
        <v>13</v>
      </c>
      <c r="M60" s="6">
        <v>24</v>
      </c>
      <c r="N60" s="1">
        <f t="shared" si="3"/>
        <v>219</v>
      </c>
      <c r="O60" s="14">
        <f t="shared" si="4"/>
        <v>36.5</v>
      </c>
      <c r="P60" s="20">
        <f t="shared" si="5"/>
        <v>54</v>
      </c>
    </row>
    <row r="61" spans="1:16" ht="18" customHeight="1">
      <c r="A61" s="19">
        <v>55</v>
      </c>
      <c r="B61" s="2" t="s">
        <v>3023</v>
      </c>
      <c r="C61" s="1">
        <v>311240415</v>
      </c>
      <c r="D61" s="3" t="s">
        <v>3024</v>
      </c>
      <c r="E61" s="1" t="s">
        <v>66</v>
      </c>
      <c r="F61" s="10" t="s">
        <v>2890</v>
      </c>
      <c r="G61" s="2">
        <v>14</v>
      </c>
      <c r="H61" s="6">
        <v>86</v>
      </c>
      <c r="I61" s="6">
        <v>23</v>
      </c>
      <c r="J61" s="6">
        <v>10</v>
      </c>
      <c r="K61" s="6">
        <v>54</v>
      </c>
      <c r="L61" s="6">
        <v>24</v>
      </c>
      <c r="M61" s="6">
        <v>17</v>
      </c>
      <c r="N61" s="1">
        <f t="shared" si="3"/>
        <v>214</v>
      </c>
      <c r="O61" s="14">
        <f t="shared" si="4"/>
        <v>35.666666666666664</v>
      </c>
      <c r="P61" s="20">
        <f t="shared" si="5"/>
        <v>55</v>
      </c>
    </row>
    <row r="62" spans="1:16" ht="18" customHeight="1">
      <c r="A62" s="19">
        <v>56</v>
      </c>
      <c r="B62" s="2" t="s">
        <v>2975</v>
      </c>
      <c r="C62" s="1" t="s">
        <v>2976</v>
      </c>
      <c r="D62" s="3" t="s">
        <v>2977</v>
      </c>
      <c r="E62" s="1" t="s">
        <v>81</v>
      </c>
      <c r="F62" s="10" t="s">
        <v>2890</v>
      </c>
      <c r="G62" s="2">
        <v>13</v>
      </c>
      <c r="H62" s="6">
        <v>50</v>
      </c>
      <c r="I62" s="6">
        <v>18</v>
      </c>
      <c r="J62" s="6">
        <v>26</v>
      </c>
      <c r="K62" s="6">
        <v>46</v>
      </c>
      <c r="L62" s="6">
        <v>27</v>
      </c>
      <c r="M62" s="6">
        <v>27</v>
      </c>
      <c r="N62" s="1">
        <f t="shared" si="3"/>
        <v>194</v>
      </c>
      <c r="O62" s="14">
        <f t="shared" si="4"/>
        <v>32.333333333333336</v>
      </c>
      <c r="P62" s="20">
        <f t="shared" si="5"/>
        <v>56</v>
      </c>
    </row>
    <row r="63" spans="1:16" ht="18" customHeight="1">
      <c r="A63" s="19">
        <v>57</v>
      </c>
      <c r="B63" s="2" t="s">
        <v>2945</v>
      </c>
      <c r="C63" s="1">
        <v>311220576</v>
      </c>
      <c r="D63" s="3" t="s">
        <v>2946</v>
      </c>
      <c r="E63" s="1" t="s">
        <v>57</v>
      </c>
      <c r="F63" s="10" t="s">
        <v>2890</v>
      </c>
      <c r="G63" s="2">
        <v>12</v>
      </c>
      <c r="H63" s="6">
        <v>43</v>
      </c>
      <c r="I63" s="6">
        <v>21</v>
      </c>
      <c r="J63" s="6">
        <v>21</v>
      </c>
      <c r="K63" s="6">
        <v>66</v>
      </c>
      <c r="L63" s="6">
        <v>25</v>
      </c>
      <c r="M63" s="6">
        <v>12</v>
      </c>
      <c r="N63" s="1">
        <f t="shared" si="3"/>
        <v>188</v>
      </c>
      <c r="O63" s="14">
        <f t="shared" si="4"/>
        <v>31.333333333333332</v>
      </c>
      <c r="P63" s="20">
        <f t="shared" si="5"/>
        <v>57</v>
      </c>
    </row>
    <row r="64" spans="1:16" ht="18" customHeight="1">
      <c r="A64" s="19">
        <v>58</v>
      </c>
      <c r="B64" s="2" t="s">
        <v>2992</v>
      </c>
      <c r="C64" s="1">
        <v>311220771</v>
      </c>
      <c r="D64" s="3" t="s">
        <v>2993</v>
      </c>
      <c r="E64" s="1" t="s">
        <v>84</v>
      </c>
      <c r="F64" s="10" t="s">
        <v>2890</v>
      </c>
      <c r="G64" s="2">
        <v>13</v>
      </c>
      <c r="H64" s="6">
        <v>57</v>
      </c>
      <c r="I64" s="6">
        <v>4</v>
      </c>
      <c r="J64" s="6">
        <v>21</v>
      </c>
      <c r="K64" s="6">
        <v>42</v>
      </c>
      <c r="L64" s="6">
        <v>19</v>
      </c>
      <c r="M64" s="6">
        <v>16</v>
      </c>
      <c r="N64" s="1">
        <f t="shared" si="3"/>
        <v>159</v>
      </c>
      <c r="O64" s="14">
        <f t="shared" si="4"/>
        <v>26.5</v>
      </c>
      <c r="P64" s="20">
        <f t="shared" si="5"/>
        <v>58</v>
      </c>
    </row>
    <row r="65" spans="1:16" ht="18" customHeight="1">
      <c r="A65" s="19">
        <v>59</v>
      </c>
      <c r="B65" s="2" t="s">
        <v>2908</v>
      </c>
      <c r="C65" s="1" t="s">
        <v>2909</v>
      </c>
      <c r="D65" s="3" t="s">
        <v>2910</v>
      </c>
      <c r="E65" s="1" t="s">
        <v>55</v>
      </c>
      <c r="F65" s="10" t="s">
        <v>2890</v>
      </c>
      <c r="G65" s="2">
        <v>12</v>
      </c>
      <c r="H65" s="6"/>
      <c r="I65" s="6"/>
      <c r="J65" s="6"/>
      <c r="K65" s="6"/>
      <c r="L65" s="6"/>
      <c r="M65" s="6"/>
      <c r="N65" s="1">
        <f t="shared" si="3"/>
        <v>0</v>
      </c>
      <c r="O65" s="14">
        <f t="shared" si="4"/>
        <v>0</v>
      </c>
      <c r="P65" s="20">
        <f t="shared" si="5"/>
        <v>59</v>
      </c>
    </row>
    <row r="66" spans="1:16" ht="18" customHeight="1">
      <c r="A66" s="19">
        <v>60</v>
      </c>
      <c r="B66" s="28" t="s">
        <v>3000</v>
      </c>
      <c r="C66" s="29" t="s">
        <v>3001</v>
      </c>
      <c r="D66" s="30" t="s">
        <v>3002</v>
      </c>
      <c r="E66" s="29" t="s">
        <v>74</v>
      </c>
      <c r="F66" s="31" t="s">
        <v>2890</v>
      </c>
      <c r="G66" s="28">
        <v>13</v>
      </c>
      <c r="H66" s="46"/>
      <c r="I66" s="46"/>
      <c r="J66" s="46"/>
      <c r="K66" s="46"/>
      <c r="L66" s="46"/>
      <c r="M66" s="46"/>
      <c r="N66" s="29">
        <f t="shared" si="3"/>
        <v>0</v>
      </c>
      <c r="O66" s="41">
        <f t="shared" si="4"/>
        <v>0</v>
      </c>
      <c r="P66" s="33">
        <f t="shared" si="5"/>
        <v>59</v>
      </c>
    </row>
  </sheetData>
  <mergeCells count="4">
    <mergeCell ref="A1:P1"/>
    <mergeCell ref="A2:P2"/>
    <mergeCell ref="A3:P3"/>
    <mergeCell ref="A5:B5"/>
  </mergeCells>
  <conditionalFormatting sqref="H7:M7">
    <cfRule type="expression" dxfId="5230" priority="239">
      <formula>5</formula>
    </cfRule>
    <cfRule type="cellIs" dxfId="5229" priority="240" operator="lessThan">
      <formula>5</formula>
    </cfRule>
  </conditionalFormatting>
  <conditionalFormatting sqref="H7:M7">
    <cfRule type="cellIs" dxfId="5228" priority="238" operator="lessThan">
      <formula>50</formula>
    </cfRule>
  </conditionalFormatting>
  <conditionalFormatting sqref="O7">
    <cfRule type="cellIs" dxfId="5227" priority="237" operator="lessThan">
      <formula>50</formula>
    </cfRule>
  </conditionalFormatting>
  <conditionalFormatting sqref="H8:M8">
    <cfRule type="expression" dxfId="5226" priority="235">
      <formula>5</formula>
    </cfRule>
    <cfRule type="cellIs" dxfId="5225" priority="236" operator="lessThan">
      <formula>5</formula>
    </cfRule>
  </conditionalFormatting>
  <conditionalFormatting sqref="H8:M8">
    <cfRule type="cellIs" dxfId="5224" priority="234" operator="lessThan">
      <formula>50</formula>
    </cfRule>
  </conditionalFormatting>
  <conditionalFormatting sqref="O8">
    <cfRule type="cellIs" dxfId="5223" priority="233" operator="lessThan">
      <formula>50</formula>
    </cfRule>
  </conditionalFormatting>
  <conditionalFormatting sqref="H9:M9">
    <cfRule type="expression" dxfId="5222" priority="231">
      <formula>5</formula>
    </cfRule>
    <cfRule type="cellIs" dxfId="5221" priority="232" operator="lessThan">
      <formula>5</formula>
    </cfRule>
  </conditionalFormatting>
  <conditionalFormatting sqref="H9:M9">
    <cfRule type="cellIs" dxfId="5220" priority="230" operator="lessThan">
      <formula>50</formula>
    </cfRule>
  </conditionalFormatting>
  <conditionalFormatting sqref="O9">
    <cfRule type="cellIs" dxfId="5219" priority="229" operator="lessThan">
      <formula>50</formula>
    </cfRule>
  </conditionalFormatting>
  <conditionalFormatting sqref="H10:M10">
    <cfRule type="expression" dxfId="5218" priority="227">
      <formula>5</formula>
    </cfRule>
    <cfRule type="cellIs" dxfId="5217" priority="228" operator="lessThan">
      <formula>5</formula>
    </cfRule>
  </conditionalFormatting>
  <conditionalFormatting sqref="H10:M10">
    <cfRule type="cellIs" dxfId="5216" priority="226" operator="lessThan">
      <formula>50</formula>
    </cfRule>
  </conditionalFormatting>
  <conditionalFormatting sqref="O10">
    <cfRule type="cellIs" dxfId="5215" priority="225" operator="lessThan">
      <formula>50</formula>
    </cfRule>
  </conditionalFormatting>
  <conditionalFormatting sqref="H11:M11">
    <cfRule type="expression" dxfId="5214" priority="223">
      <formula>5</formula>
    </cfRule>
    <cfRule type="cellIs" dxfId="5213" priority="224" operator="lessThan">
      <formula>5</formula>
    </cfRule>
  </conditionalFormatting>
  <conditionalFormatting sqref="H11:M11">
    <cfRule type="cellIs" dxfId="5212" priority="222" operator="lessThan">
      <formula>50</formula>
    </cfRule>
  </conditionalFormatting>
  <conditionalFormatting sqref="O11">
    <cfRule type="cellIs" dxfId="5211" priority="221" operator="lessThan">
      <formula>50</formula>
    </cfRule>
  </conditionalFormatting>
  <conditionalFormatting sqref="H12:M12">
    <cfRule type="expression" dxfId="5210" priority="219">
      <formula>5</formula>
    </cfRule>
    <cfRule type="cellIs" dxfId="5209" priority="220" operator="lessThan">
      <formula>5</formula>
    </cfRule>
  </conditionalFormatting>
  <conditionalFormatting sqref="H12:M12">
    <cfRule type="cellIs" dxfId="5208" priority="218" operator="lessThan">
      <formula>50</formula>
    </cfRule>
  </conditionalFormatting>
  <conditionalFormatting sqref="O12">
    <cfRule type="cellIs" dxfId="5207" priority="217" operator="lessThan">
      <formula>50</formula>
    </cfRule>
  </conditionalFormatting>
  <conditionalFormatting sqref="H13:M13">
    <cfRule type="expression" dxfId="5206" priority="215">
      <formula>5</formula>
    </cfRule>
    <cfRule type="cellIs" dxfId="5205" priority="216" operator="lessThan">
      <formula>5</formula>
    </cfRule>
  </conditionalFormatting>
  <conditionalFormatting sqref="H13:M13">
    <cfRule type="cellIs" dxfId="5204" priority="214" operator="lessThan">
      <formula>50</formula>
    </cfRule>
  </conditionalFormatting>
  <conditionalFormatting sqref="O13">
    <cfRule type="cellIs" dxfId="5203" priority="213" operator="lessThan">
      <formula>50</formula>
    </cfRule>
  </conditionalFormatting>
  <conditionalFormatting sqref="H14:M14">
    <cfRule type="expression" dxfId="5202" priority="211">
      <formula>5</formula>
    </cfRule>
    <cfRule type="cellIs" dxfId="5201" priority="212" operator="lessThan">
      <formula>5</formula>
    </cfRule>
  </conditionalFormatting>
  <conditionalFormatting sqref="H14:M14">
    <cfRule type="cellIs" dxfId="5200" priority="210" operator="lessThan">
      <formula>50</formula>
    </cfRule>
  </conditionalFormatting>
  <conditionalFormatting sqref="O14">
    <cfRule type="cellIs" dxfId="5199" priority="209" operator="lessThan">
      <formula>50</formula>
    </cfRule>
  </conditionalFormatting>
  <conditionalFormatting sqref="H15:M15">
    <cfRule type="expression" dxfId="5198" priority="207">
      <formula>5</formula>
    </cfRule>
    <cfRule type="cellIs" dxfId="5197" priority="208" operator="lessThan">
      <formula>5</formula>
    </cfRule>
  </conditionalFormatting>
  <conditionalFormatting sqref="H15:M15">
    <cfRule type="cellIs" dxfId="5196" priority="206" operator="lessThan">
      <formula>50</formula>
    </cfRule>
  </conditionalFormatting>
  <conditionalFormatting sqref="O15">
    <cfRule type="cellIs" dxfId="5195" priority="205" operator="lessThan">
      <formula>50</formula>
    </cfRule>
  </conditionalFormatting>
  <conditionalFormatting sqref="H16:M16">
    <cfRule type="expression" dxfId="5194" priority="203">
      <formula>5</formula>
    </cfRule>
    <cfRule type="cellIs" dxfId="5193" priority="204" operator="lessThan">
      <formula>5</formula>
    </cfRule>
  </conditionalFormatting>
  <conditionalFormatting sqref="H16:M16">
    <cfRule type="cellIs" dxfId="5192" priority="202" operator="lessThan">
      <formula>50</formula>
    </cfRule>
  </conditionalFormatting>
  <conditionalFormatting sqref="O16">
    <cfRule type="cellIs" dxfId="5191" priority="201" operator="lessThan">
      <formula>50</formula>
    </cfRule>
  </conditionalFormatting>
  <conditionalFormatting sqref="H17:M17">
    <cfRule type="expression" dxfId="5190" priority="199">
      <formula>5</formula>
    </cfRule>
    <cfRule type="cellIs" dxfId="5189" priority="200" operator="lessThan">
      <formula>5</formula>
    </cfRule>
  </conditionalFormatting>
  <conditionalFormatting sqref="H17:M17">
    <cfRule type="cellIs" dxfId="5188" priority="198" operator="lessThan">
      <formula>50</formula>
    </cfRule>
  </conditionalFormatting>
  <conditionalFormatting sqref="O17">
    <cfRule type="cellIs" dxfId="5187" priority="197" operator="lessThan">
      <formula>50</formula>
    </cfRule>
  </conditionalFormatting>
  <conditionalFormatting sqref="H18:M18">
    <cfRule type="expression" dxfId="5186" priority="195">
      <formula>5</formula>
    </cfRule>
    <cfRule type="cellIs" dxfId="5185" priority="196" operator="lessThan">
      <formula>5</formula>
    </cfRule>
  </conditionalFormatting>
  <conditionalFormatting sqref="H18:M18">
    <cfRule type="cellIs" dxfId="5184" priority="194" operator="lessThan">
      <formula>50</formula>
    </cfRule>
  </conditionalFormatting>
  <conditionalFormatting sqref="O18">
    <cfRule type="cellIs" dxfId="5183" priority="193" operator="lessThan">
      <formula>50</formula>
    </cfRule>
  </conditionalFormatting>
  <conditionalFormatting sqref="H19:M19">
    <cfRule type="expression" dxfId="5182" priority="191">
      <formula>5</formula>
    </cfRule>
    <cfRule type="cellIs" dxfId="5181" priority="192" operator="lessThan">
      <formula>5</formula>
    </cfRule>
  </conditionalFormatting>
  <conditionalFormatting sqref="H19:M19">
    <cfRule type="cellIs" dxfId="5180" priority="190" operator="lessThan">
      <formula>50</formula>
    </cfRule>
  </conditionalFormatting>
  <conditionalFormatting sqref="O19">
    <cfRule type="cellIs" dxfId="5179" priority="189" operator="lessThan">
      <formula>50</formula>
    </cfRule>
  </conditionalFormatting>
  <conditionalFormatting sqref="H20:M20">
    <cfRule type="expression" dxfId="5178" priority="187">
      <formula>5</formula>
    </cfRule>
    <cfRule type="cellIs" dxfId="5177" priority="188" operator="lessThan">
      <formula>5</formula>
    </cfRule>
  </conditionalFormatting>
  <conditionalFormatting sqref="H20:M20">
    <cfRule type="cellIs" dxfId="5176" priority="186" operator="lessThan">
      <formula>50</formula>
    </cfRule>
  </conditionalFormatting>
  <conditionalFormatting sqref="O20">
    <cfRule type="cellIs" dxfId="5175" priority="185" operator="lessThan">
      <formula>50</formula>
    </cfRule>
  </conditionalFormatting>
  <conditionalFormatting sqref="H21:M21">
    <cfRule type="expression" dxfId="5174" priority="183">
      <formula>5</formula>
    </cfRule>
    <cfRule type="cellIs" dxfId="5173" priority="184" operator="lessThan">
      <formula>5</formula>
    </cfRule>
  </conditionalFormatting>
  <conditionalFormatting sqref="H21:M21">
    <cfRule type="cellIs" dxfId="5172" priority="182" operator="lessThan">
      <formula>50</formula>
    </cfRule>
  </conditionalFormatting>
  <conditionalFormatting sqref="O21">
    <cfRule type="cellIs" dxfId="5171" priority="181" operator="lessThan">
      <formula>50</formula>
    </cfRule>
  </conditionalFormatting>
  <conditionalFormatting sqref="H22:M22">
    <cfRule type="expression" dxfId="5170" priority="179">
      <formula>5</formula>
    </cfRule>
    <cfRule type="cellIs" dxfId="5169" priority="180" operator="lessThan">
      <formula>5</formula>
    </cfRule>
  </conditionalFormatting>
  <conditionalFormatting sqref="H22:M22">
    <cfRule type="cellIs" dxfId="5168" priority="178" operator="lessThan">
      <formula>50</formula>
    </cfRule>
  </conditionalFormatting>
  <conditionalFormatting sqref="O22">
    <cfRule type="cellIs" dxfId="5167" priority="177" operator="lessThan">
      <formula>50</formula>
    </cfRule>
  </conditionalFormatting>
  <conditionalFormatting sqref="H23:M23">
    <cfRule type="expression" dxfId="5166" priority="175">
      <formula>5</formula>
    </cfRule>
    <cfRule type="cellIs" dxfId="5165" priority="176" operator="lessThan">
      <formula>5</formula>
    </cfRule>
  </conditionalFormatting>
  <conditionalFormatting sqref="H23:M23">
    <cfRule type="cellIs" dxfId="5164" priority="174" operator="lessThan">
      <formula>50</formula>
    </cfRule>
  </conditionalFormatting>
  <conditionalFormatting sqref="O23">
    <cfRule type="cellIs" dxfId="5163" priority="173" operator="lessThan">
      <formula>50</formula>
    </cfRule>
  </conditionalFormatting>
  <conditionalFormatting sqref="H24:M24">
    <cfRule type="expression" dxfId="5162" priority="171">
      <formula>5</formula>
    </cfRule>
    <cfRule type="cellIs" dxfId="5161" priority="172" operator="lessThan">
      <formula>5</formula>
    </cfRule>
  </conditionalFormatting>
  <conditionalFormatting sqref="H24:M24">
    <cfRule type="cellIs" dxfId="5160" priority="170" operator="lessThan">
      <formula>50</formula>
    </cfRule>
  </conditionalFormatting>
  <conditionalFormatting sqref="O24">
    <cfRule type="cellIs" dxfId="5159" priority="169" operator="lessThan">
      <formula>50</formula>
    </cfRule>
  </conditionalFormatting>
  <conditionalFormatting sqref="H25:M25">
    <cfRule type="expression" dxfId="5158" priority="167">
      <formula>5</formula>
    </cfRule>
    <cfRule type="cellIs" dxfId="5157" priority="168" operator="lessThan">
      <formula>5</formula>
    </cfRule>
  </conditionalFormatting>
  <conditionalFormatting sqref="H25:M25">
    <cfRule type="cellIs" dxfId="5156" priority="166" operator="lessThan">
      <formula>50</formula>
    </cfRule>
  </conditionalFormatting>
  <conditionalFormatting sqref="O25">
    <cfRule type="cellIs" dxfId="5155" priority="165" operator="lessThan">
      <formula>50</formula>
    </cfRule>
  </conditionalFormatting>
  <conditionalFormatting sqref="H26:M26">
    <cfRule type="expression" dxfId="5154" priority="163">
      <formula>5</formula>
    </cfRule>
    <cfRule type="cellIs" dxfId="5153" priority="164" operator="lessThan">
      <formula>5</formula>
    </cfRule>
  </conditionalFormatting>
  <conditionalFormatting sqref="H26:M26">
    <cfRule type="cellIs" dxfId="5152" priority="162" operator="lessThan">
      <formula>50</formula>
    </cfRule>
  </conditionalFormatting>
  <conditionalFormatting sqref="O26">
    <cfRule type="cellIs" dxfId="5151" priority="161" operator="lessThan">
      <formula>50</formula>
    </cfRule>
  </conditionalFormatting>
  <conditionalFormatting sqref="H27:M27">
    <cfRule type="expression" dxfId="5150" priority="159">
      <formula>5</formula>
    </cfRule>
    <cfRule type="cellIs" dxfId="5149" priority="160" operator="lessThan">
      <formula>5</formula>
    </cfRule>
  </conditionalFormatting>
  <conditionalFormatting sqref="H27:M27">
    <cfRule type="cellIs" dxfId="5148" priority="158" operator="lessThan">
      <formula>50</formula>
    </cfRule>
  </conditionalFormatting>
  <conditionalFormatting sqref="O27">
    <cfRule type="cellIs" dxfId="5147" priority="157" operator="lessThan">
      <formula>50</formula>
    </cfRule>
  </conditionalFormatting>
  <conditionalFormatting sqref="H28:M28">
    <cfRule type="expression" dxfId="5146" priority="155">
      <formula>5</formula>
    </cfRule>
    <cfRule type="cellIs" dxfId="5145" priority="156" operator="lessThan">
      <formula>5</formula>
    </cfRule>
  </conditionalFormatting>
  <conditionalFormatting sqref="H28:M28">
    <cfRule type="cellIs" dxfId="5144" priority="154" operator="lessThan">
      <formula>50</formula>
    </cfRule>
  </conditionalFormatting>
  <conditionalFormatting sqref="O28">
    <cfRule type="cellIs" dxfId="5143" priority="153" operator="lessThan">
      <formula>50</formula>
    </cfRule>
  </conditionalFormatting>
  <conditionalFormatting sqref="H29:M29">
    <cfRule type="expression" dxfId="5142" priority="151">
      <formula>5</formula>
    </cfRule>
    <cfRule type="cellIs" dxfId="5141" priority="152" operator="lessThan">
      <formula>5</formula>
    </cfRule>
  </conditionalFormatting>
  <conditionalFormatting sqref="H29:M29">
    <cfRule type="cellIs" dxfId="5140" priority="150" operator="lessThan">
      <formula>50</formula>
    </cfRule>
  </conditionalFormatting>
  <conditionalFormatting sqref="O29">
    <cfRule type="cellIs" dxfId="5139" priority="149" operator="lessThan">
      <formula>50</formula>
    </cfRule>
  </conditionalFormatting>
  <conditionalFormatting sqref="H30:M30">
    <cfRule type="expression" dxfId="5138" priority="147">
      <formula>5</formula>
    </cfRule>
    <cfRule type="cellIs" dxfId="5137" priority="148" operator="lessThan">
      <formula>5</formula>
    </cfRule>
  </conditionalFormatting>
  <conditionalFormatting sqref="H30:M30">
    <cfRule type="cellIs" dxfId="5136" priority="146" operator="lessThan">
      <formula>50</formula>
    </cfRule>
  </conditionalFormatting>
  <conditionalFormatting sqref="O30">
    <cfRule type="cellIs" dxfId="5135" priority="145" operator="lessThan">
      <formula>50</formula>
    </cfRule>
  </conditionalFormatting>
  <conditionalFormatting sqref="H31:M31">
    <cfRule type="expression" dxfId="5134" priority="143">
      <formula>5</formula>
    </cfRule>
    <cfRule type="cellIs" dxfId="5133" priority="144" operator="lessThan">
      <formula>5</formula>
    </cfRule>
  </conditionalFormatting>
  <conditionalFormatting sqref="H31:M31">
    <cfRule type="cellIs" dxfId="5132" priority="142" operator="lessThan">
      <formula>50</formula>
    </cfRule>
  </conditionalFormatting>
  <conditionalFormatting sqref="O31">
    <cfRule type="cellIs" dxfId="5131" priority="141" operator="lessThan">
      <formula>50</formula>
    </cfRule>
  </conditionalFormatting>
  <conditionalFormatting sqref="H32:M32">
    <cfRule type="expression" dxfId="5130" priority="139">
      <formula>5</formula>
    </cfRule>
    <cfRule type="cellIs" dxfId="5129" priority="140" operator="lessThan">
      <formula>5</formula>
    </cfRule>
  </conditionalFormatting>
  <conditionalFormatting sqref="H32:M32">
    <cfRule type="cellIs" dxfId="5128" priority="138" operator="lessThan">
      <formula>50</formula>
    </cfRule>
  </conditionalFormatting>
  <conditionalFormatting sqref="O32">
    <cfRule type="cellIs" dxfId="5127" priority="137" operator="lessThan">
      <formula>50</formula>
    </cfRule>
  </conditionalFormatting>
  <conditionalFormatting sqref="H33:M33">
    <cfRule type="expression" dxfId="5126" priority="135">
      <formula>5</formula>
    </cfRule>
    <cfRule type="cellIs" dxfId="5125" priority="136" operator="lessThan">
      <formula>5</formula>
    </cfRule>
  </conditionalFormatting>
  <conditionalFormatting sqref="H33:M33">
    <cfRule type="cellIs" dxfId="5124" priority="134" operator="lessThan">
      <formula>50</formula>
    </cfRule>
  </conditionalFormatting>
  <conditionalFormatting sqref="O33">
    <cfRule type="cellIs" dxfId="5123" priority="133" operator="lessThan">
      <formula>50</formula>
    </cfRule>
  </conditionalFormatting>
  <conditionalFormatting sqref="H34:M34">
    <cfRule type="expression" dxfId="5122" priority="131">
      <formula>5</formula>
    </cfRule>
    <cfRule type="cellIs" dxfId="5121" priority="132" operator="lessThan">
      <formula>5</formula>
    </cfRule>
  </conditionalFormatting>
  <conditionalFormatting sqref="H34:M34">
    <cfRule type="cellIs" dxfId="5120" priority="130" operator="lessThan">
      <formula>50</formula>
    </cfRule>
  </conditionalFormatting>
  <conditionalFormatting sqref="O34">
    <cfRule type="cellIs" dxfId="5119" priority="129" operator="lessThan">
      <formula>50</formula>
    </cfRule>
  </conditionalFormatting>
  <conditionalFormatting sqref="H35:M35">
    <cfRule type="expression" dxfId="5118" priority="127">
      <formula>5</formula>
    </cfRule>
    <cfRule type="cellIs" dxfId="5117" priority="128" operator="lessThan">
      <formula>5</formula>
    </cfRule>
  </conditionalFormatting>
  <conditionalFormatting sqref="H35:M35">
    <cfRule type="cellIs" dxfId="5116" priority="126" operator="lessThan">
      <formula>50</formula>
    </cfRule>
  </conditionalFormatting>
  <conditionalFormatting sqref="O35">
    <cfRule type="cellIs" dxfId="5115" priority="125" operator="lessThan">
      <formula>50</formula>
    </cfRule>
  </conditionalFormatting>
  <conditionalFormatting sqref="H36:M36">
    <cfRule type="expression" dxfId="5114" priority="123">
      <formula>5</formula>
    </cfRule>
    <cfRule type="cellIs" dxfId="5113" priority="124" operator="lessThan">
      <formula>5</formula>
    </cfRule>
  </conditionalFormatting>
  <conditionalFormatting sqref="H36:M36">
    <cfRule type="cellIs" dxfId="5112" priority="122" operator="lessThan">
      <formula>50</formula>
    </cfRule>
  </conditionalFormatting>
  <conditionalFormatting sqref="O36">
    <cfRule type="cellIs" dxfId="5111" priority="121" operator="lessThan">
      <formula>50</formula>
    </cfRule>
  </conditionalFormatting>
  <conditionalFormatting sqref="H37:M37">
    <cfRule type="expression" dxfId="5110" priority="119">
      <formula>5</formula>
    </cfRule>
    <cfRule type="cellIs" dxfId="5109" priority="120" operator="lessThan">
      <formula>5</formula>
    </cfRule>
  </conditionalFormatting>
  <conditionalFormatting sqref="H37:M37">
    <cfRule type="cellIs" dxfId="5108" priority="118" operator="lessThan">
      <formula>50</formula>
    </cfRule>
  </conditionalFormatting>
  <conditionalFormatting sqref="O37">
    <cfRule type="cellIs" dxfId="5107" priority="117" operator="lessThan">
      <formula>50</formula>
    </cfRule>
  </conditionalFormatting>
  <conditionalFormatting sqref="H38:M38">
    <cfRule type="expression" dxfId="5106" priority="115">
      <formula>5</formula>
    </cfRule>
    <cfRule type="cellIs" dxfId="5105" priority="116" operator="lessThan">
      <formula>5</formula>
    </cfRule>
  </conditionalFormatting>
  <conditionalFormatting sqref="H38:M38">
    <cfRule type="cellIs" dxfId="5104" priority="114" operator="lessThan">
      <formula>50</formula>
    </cfRule>
  </conditionalFormatting>
  <conditionalFormatting sqref="O38">
    <cfRule type="cellIs" dxfId="5103" priority="113" operator="lessThan">
      <formula>50</formula>
    </cfRule>
  </conditionalFormatting>
  <conditionalFormatting sqref="H39:M39">
    <cfRule type="expression" dxfId="5102" priority="111">
      <formula>5</formula>
    </cfRule>
    <cfRule type="cellIs" dxfId="5101" priority="112" operator="lessThan">
      <formula>5</formula>
    </cfRule>
  </conditionalFormatting>
  <conditionalFormatting sqref="H39:M39">
    <cfRule type="cellIs" dxfId="5100" priority="110" operator="lessThan">
      <formula>50</formula>
    </cfRule>
  </conditionalFormatting>
  <conditionalFormatting sqref="O39">
    <cfRule type="cellIs" dxfId="5099" priority="109" operator="lessThan">
      <formula>50</formula>
    </cfRule>
  </conditionalFormatting>
  <conditionalFormatting sqref="H40:M40">
    <cfRule type="expression" dxfId="5098" priority="107">
      <formula>5</formula>
    </cfRule>
    <cfRule type="cellIs" dxfId="5097" priority="108" operator="lessThan">
      <formula>5</formula>
    </cfRule>
  </conditionalFormatting>
  <conditionalFormatting sqref="H40:M40">
    <cfRule type="cellIs" dxfId="5096" priority="106" operator="lessThan">
      <formula>50</formula>
    </cfRule>
  </conditionalFormatting>
  <conditionalFormatting sqref="O40">
    <cfRule type="cellIs" dxfId="5095" priority="105" operator="lessThan">
      <formula>50</formula>
    </cfRule>
  </conditionalFormatting>
  <conditionalFormatting sqref="H41:M41">
    <cfRule type="expression" dxfId="5094" priority="103">
      <formula>5</formula>
    </cfRule>
    <cfRule type="cellIs" dxfId="5093" priority="104" operator="lessThan">
      <formula>5</formula>
    </cfRule>
  </conditionalFormatting>
  <conditionalFormatting sqref="H41:M41">
    <cfRule type="cellIs" dxfId="5092" priority="102" operator="lessThan">
      <formula>50</formula>
    </cfRule>
  </conditionalFormatting>
  <conditionalFormatting sqref="O41">
    <cfRule type="cellIs" dxfId="5091" priority="101" operator="lessThan">
      <formula>50</formula>
    </cfRule>
  </conditionalFormatting>
  <conditionalFormatting sqref="H42:M42">
    <cfRule type="expression" dxfId="5090" priority="99">
      <formula>5</formula>
    </cfRule>
    <cfRule type="cellIs" dxfId="5089" priority="100" operator="lessThan">
      <formula>5</formula>
    </cfRule>
  </conditionalFormatting>
  <conditionalFormatting sqref="H42:M42">
    <cfRule type="cellIs" dxfId="5088" priority="98" operator="lessThan">
      <formula>50</formula>
    </cfRule>
  </conditionalFormatting>
  <conditionalFormatting sqref="O42">
    <cfRule type="cellIs" dxfId="5087" priority="97" operator="lessThan">
      <formula>50</formula>
    </cfRule>
  </conditionalFormatting>
  <conditionalFormatting sqref="H43:M43">
    <cfRule type="expression" dxfId="5086" priority="95">
      <formula>5</formula>
    </cfRule>
    <cfRule type="cellIs" dxfId="5085" priority="96" operator="lessThan">
      <formula>5</formula>
    </cfRule>
  </conditionalFormatting>
  <conditionalFormatting sqref="H43:M43">
    <cfRule type="cellIs" dxfId="5084" priority="94" operator="lessThan">
      <formula>50</formula>
    </cfRule>
  </conditionalFormatting>
  <conditionalFormatting sqref="O43">
    <cfRule type="cellIs" dxfId="5083" priority="93" operator="lessThan">
      <formula>50</formula>
    </cfRule>
  </conditionalFormatting>
  <conditionalFormatting sqref="H44:M44">
    <cfRule type="expression" dxfId="5082" priority="91">
      <formula>5</formula>
    </cfRule>
    <cfRule type="cellIs" dxfId="5081" priority="92" operator="lessThan">
      <formula>5</formula>
    </cfRule>
  </conditionalFormatting>
  <conditionalFormatting sqref="H44:M44">
    <cfRule type="cellIs" dxfId="5080" priority="90" operator="lessThan">
      <formula>50</formula>
    </cfRule>
  </conditionalFormatting>
  <conditionalFormatting sqref="O44">
    <cfRule type="cellIs" dxfId="5079" priority="89" operator="lessThan">
      <formula>50</formula>
    </cfRule>
  </conditionalFormatting>
  <conditionalFormatting sqref="H45:M45">
    <cfRule type="expression" dxfId="5078" priority="87">
      <formula>5</formula>
    </cfRule>
    <cfRule type="cellIs" dxfId="5077" priority="88" operator="lessThan">
      <formula>5</formula>
    </cfRule>
  </conditionalFormatting>
  <conditionalFormatting sqref="H45:M45">
    <cfRule type="cellIs" dxfId="5076" priority="86" operator="lessThan">
      <formula>50</formula>
    </cfRule>
  </conditionalFormatting>
  <conditionalFormatting sqref="O45">
    <cfRule type="cellIs" dxfId="5075" priority="85" operator="lessThan">
      <formula>50</formula>
    </cfRule>
  </conditionalFormatting>
  <conditionalFormatting sqref="H46:M46">
    <cfRule type="expression" dxfId="5074" priority="83">
      <formula>5</formula>
    </cfRule>
    <cfRule type="cellIs" dxfId="5073" priority="84" operator="lessThan">
      <formula>5</formula>
    </cfRule>
  </conditionalFormatting>
  <conditionalFormatting sqref="H46:M46">
    <cfRule type="cellIs" dxfId="5072" priority="82" operator="lessThan">
      <formula>50</formula>
    </cfRule>
  </conditionalFormatting>
  <conditionalFormatting sqref="O46">
    <cfRule type="cellIs" dxfId="5071" priority="81" operator="lessThan">
      <formula>50</formula>
    </cfRule>
  </conditionalFormatting>
  <conditionalFormatting sqref="H47:M47">
    <cfRule type="expression" dxfId="5070" priority="79">
      <formula>5</formula>
    </cfRule>
    <cfRule type="cellIs" dxfId="5069" priority="80" operator="lessThan">
      <formula>5</formula>
    </cfRule>
  </conditionalFormatting>
  <conditionalFormatting sqref="H47:M47">
    <cfRule type="cellIs" dxfId="5068" priority="78" operator="lessThan">
      <formula>50</formula>
    </cfRule>
  </conditionalFormatting>
  <conditionalFormatting sqref="O47">
    <cfRule type="cellIs" dxfId="5067" priority="77" operator="lessThan">
      <formula>50</formula>
    </cfRule>
  </conditionalFormatting>
  <conditionalFormatting sqref="H48:M48">
    <cfRule type="expression" dxfId="5066" priority="75">
      <formula>5</formula>
    </cfRule>
    <cfRule type="cellIs" dxfId="5065" priority="76" operator="lessThan">
      <formula>5</formula>
    </cfRule>
  </conditionalFormatting>
  <conditionalFormatting sqref="H48:M48">
    <cfRule type="cellIs" dxfId="5064" priority="74" operator="lessThan">
      <formula>50</formula>
    </cfRule>
  </conditionalFormatting>
  <conditionalFormatting sqref="O48">
    <cfRule type="cellIs" dxfId="5063" priority="73" operator="lessThan">
      <formula>50</formula>
    </cfRule>
  </conditionalFormatting>
  <conditionalFormatting sqref="H49:M49">
    <cfRule type="expression" dxfId="5062" priority="71">
      <formula>5</formula>
    </cfRule>
    <cfRule type="cellIs" dxfId="5061" priority="72" operator="lessThan">
      <formula>5</formula>
    </cfRule>
  </conditionalFormatting>
  <conditionalFormatting sqref="H49:M49">
    <cfRule type="cellIs" dxfId="5060" priority="70" operator="lessThan">
      <formula>50</formula>
    </cfRule>
  </conditionalFormatting>
  <conditionalFormatting sqref="O49">
    <cfRule type="cellIs" dxfId="5059" priority="69" operator="lessThan">
      <formula>50</formula>
    </cfRule>
  </conditionalFormatting>
  <conditionalFormatting sqref="H50:M50">
    <cfRule type="expression" dxfId="5058" priority="67">
      <formula>5</formula>
    </cfRule>
    <cfRule type="cellIs" dxfId="5057" priority="68" operator="lessThan">
      <formula>5</formula>
    </cfRule>
  </conditionalFormatting>
  <conditionalFormatting sqref="H50:M50">
    <cfRule type="cellIs" dxfId="5056" priority="66" operator="lessThan">
      <formula>50</formula>
    </cfRule>
  </conditionalFormatting>
  <conditionalFormatting sqref="O50">
    <cfRule type="cellIs" dxfId="5055" priority="65" operator="lessThan">
      <formula>50</formula>
    </cfRule>
  </conditionalFormatting>
  <conditionalFormatting sqref="H51:M51">
    <cfRule type="expression" dxfId="5054" priority="63">
      <formula>5</formula>
    </cfRule>
    <cfRule type="cellIs" dxfId="5053" priority="64" operator="lessThan">
      <formula>5</formula>
    </cfRule>
  </conditionalFormatting>
  <conditionalFormatting sqref="H51:M51">
    <cfRule type="cellIs" dxfId="5052" priority="62" operator="lessThan">
      <formula>50</formula>
    </cfRule>
  </conditionalFormatting>
  <conditionalFormatting sqref="O51">
    <cfRule type="cellIs" dxfId="5051" priority="61" operator="lessThan">
      <formula>50</formula>
    </cfRule>
  </conditionalFormatting>
  <conditionalFormatting sqref="H52:M52">
    <cfRule type="expression" dxfId="5050" priority="59">
      <formula>5</formula>
    </cfRule>
    <cfRule type="cellIs" dxfId="5049" priority="60" operator="lessThan">
      <formula>5</formula>
    </cfRule>
  </conditionalFormatting>
  <conditionalFormatting sqref="H52:M52">
    <cfRule type="cellIs" dxfId="5048" priority="58" operator="lessThan">
      <formula>50</formula>
    </cfRule>
  </conditionalFormatting>
  <conditionalFormatting sqref="O52">
    <cfRule type="cellIs" dxfId="5047" priority="57" operator="lessThan">
      <formula>50</formula>
    </cfRule>
  </conditionalFormatting>
  <conditionalFormatting sqref="H53:M53">
    <cfRule type="expression" dxfId="5046" priority="55">
      <formula>5</formula>
    </cfRule>
    <cfRule type="cellIs" dxfId="5045" priority="56" operator="lessThan">
      <formula>5</formula>
    </cfRule>
  </conditionalFormatting>
  <conditionalFormatting sqref="H53:M53">
    <cfRule type="cellIs" dxfId="5044" priority="54" operator="lessThan">
      <formula>50</formula>
    </cfRule>
  </conditionalFormatting>
  <conditionalFormatting sqref="O53">
    <cfRule type="cellIs" dxfId="5043" priority="53" operator="lessThan">
      <formula>50</formula>
    </cfRule>
  </conditionalFormatting>
  <conditionalFormatting sqref="H54:M54">
    <cfRule type="expression" dxfId="5042" priority="51">
      <formula>5</formula>
    </cfRule>
    <cfRule type="cellIs" dxfId="5041" priority="52" operator="lessThan">
      <formula>5</formula>
    </cfRule>
  </conditionalFormatting>
  <conditionalFormatting sqref="H54:M54">
    <cfRule type="cellIs" dxfId="5040" priority="50" operator="lessThan">
      <formula>50</formula>
    </cfRule>
  </conditionalFormatting>
  <conditionalFormatting sqref="O54">
    <cfRule type="cellIs" dxfId="5039" priority="49" operator="lessThan">
      <formula>50</formula>
    </cfRule>
  </conditionalFormatting>
  <conditionalFormatting sqref="H55:M55">
    <cfRule type="expression" dxfId="5038" priority="47">
      <formula>5</formula>
    </cfRule>
    <cfRule type="cellIs" dxfId="5037" priority="48" operator="lessThan">
      <formula>5</formula>
    </cfRule>
  </conditionalFormatting>
  <conditionalFormatting sqref="H55:M55">
    <cfRule type="cellIs" dxfId="5036" priority="46" operator="lessThan">
      <formula>50</formula>
    </cfRule>
  </conditionalFormatting>
  <conditionalFormatting sqref="O55">
    <cfRule type="cellIs" dxfId="5035" priority="45" operator="lessThan">
      <formula>50</formula>
    </cfRule>
  </conditionalFormatting>
  <conditionalFormatting sqref="H56:M56">
    <cfRule type="expression" dxfId="5034" priority="43">
      <formula>5</formula>
    </cfRule>
    <cfRule type="cellIs" dxfId="5033" priority="44" operator="lessThan">
      <formula>5</formula>
    </cfRule>
  </conditionalFormatting>
  <conditionalFormatting sqref="H56:M56">
    <cfRule type="cellIs" dxfId="5032" priority="42" operator="lessThan">
      <formula>50</formula>
    </cfRule>
  </conditionalFormatting>
  <conditionalFormatting sqref="O56">
    <cfRule type="cellIs" dxfId="5031" priority="41" operator="lessThan">
      <formula>50</formula>
    </cfRule>
  </conditionalFormatting>
  <conditionalFormatting sqref="H57:M57">
    <cfRule type="expression" dxfId="5030" priority="39">
      <formula>5</formula>
    </cfRule>
    <cfRule type="cellIs" dxfId="5029" priority="40" operator="lessThan">
      <formula>5</formula>
    </cfRule>
  </conditionalFormatting>
  <conditionalFormatting sqref="H57:M57">
    <cfRule type="cellIs" dxfId="5028" priority="38" operator="lessThan">
      <formula>50</formula>
    </cfRule>
  </conditionalFormatting>
  <conditionalFormatting sqref="O57">
    <cfRule type="cellIs" dxfId="5027" priority="37" operator="lessThan">
      <formula>50</formula>
    </cfRule>
  </conditionalFormatting>
  <conditionalFormatting sqref="H58:M58">
    <cfRule type="expression" dxfId="5026" priority="35">
      <formula>5</formula>
    </cfRule>
    <cfRule type="cellIs" dxfId="5025" priority="36" operator="lessThan">
      <formula>5</formula>
    </cfRule>
  </conditionalFormatting>
  <conditionalFormatting sqref="H58:M58">
    <cfRule type="cellIs" dxfId="5024" priority="34" operator="lessThan">
      <formula>50</formula>
    </cfRule>
  </conditionalFormatting>
  <conditionalFormatting sqref="O58">
    <cfRule type="cellIs" dxfId="5023" priority="33" operator="lessThan">
      <formula>50</formula>
    </cfRule>
  </conditionalFormatting>
  <conditionalFormatting sqref="H59:M59">
    <cfRule type="expression" dxfId="5022" priority="31">
      <formula>5</formula>
    </cfRule>
    <cfRule type="cellIs" dxfId="5021" priority="32" operator="lessThan">
      <formula>5</formula>
    </cfRule>
  </conditionalFormatting>
  <conditionalFormatting sqref="H59:M59">
    <cfRule type="cellIs" dxfId="5020" priority="30" operator="lessThan">
      <formula>50</formula>
    </cfRule>
  </conditionalFormatting>
  <conditionalFormatting sqref="O59">
    <cfRule type="cellIs" dxfId="5019" priority="29" operator="lessThan">
      <formula>50</formula>
    </cfRule>
  </conditionalFormatting>
  <conditionalFormatting sqref="H60:M60">
    <cfRule type="expression" dxfId="5018" priority="27">
      <formula>5</formula>
    </cfRule>
    <cfRule type="cellIs" dxfId="5017" priority="28" operator="lessThan">
      <formula>5</formula>
    </cfRule>
  </conditionalFormatting>
  <conditionalFormatting sqref="H60:M60">
    <cfRule type="cellIs" dxfId="5016" priority="26" operator="lessThan">
      <formula>50</formula>
    </cfRule>
  </conditionalFormatting>
  <conditionalFormatting sqref="O60">
    <cfRule type="cellIs" dxfId="5015" priority="25" operator="lessThan">
      <formula>50</formula>
    </cfRule>
  </conditionalFormatting>
  <conditionalFormatting sqref="H61:M61">
    <cfRule type="expression" dxfId="5014" priority="23">
      <formula>5</formula>
    </cfRule>
    <cfRule type="cellIs" dxfId="5013" priority="24" operator="lessThan">
      <formula>5</formula>
    </cfRule>
  </conditionalFormatting>
  <conditionalFormatting sqref="H61:M61">
    <cfRule type="cellIs" dxfId="5012" priority="22" operator="lessThan">
      <formula>50</formula>
    </cfRule>
  </conditionalFormatting>
  <conditionalFormatting sqref="O61">
    <cfRule type="cellIs" dxfId="5011" priority="21" operator="lessThan">
      <formula>50</formula>
    </cfRule>
  </conditionalFormatting>
  <conditionalFormatting sqref="H62:M62">
    <cfRule type="expression" dxfId="5010" priority="19">
      <formula>5</formula>
    </cfRule>
    <cfRule type="cellIs" dxfId="5009" priority="20" operator="lessThan">
      <formula>5</formula>
    </cfRule>
  </conditionalFormatting>
  <conditionalFormatting sqref="H62:M62">
    <cfRule type="cellIs" dxfId="5008" priority="18" operator="lessThan">
      <formula>50</formula>
    </cfRule>
  </conditionalFormatting>
  <conditionalFormatting sqref="O62">
    <cfRule type="cellIs" dxfId="5007" priority="17" operator="lessThan">
      <formula>50</formula>
    </cfRule>
  </conditionalFormatting>
  <conditionalFormatting sqref="H63:M63">
    <cfRule type="expression" dxfId="5006" priority="15">
      <formula>5</formula>
    </cfRule>
    <cfRule type="cellIs" dxfId="5005" priority="16" operator="lessThan">
      <formula>5</formula>
    </cfRule>
  </conditionalFormatting>
  <conditionalFormatting sqref="H63:M63">
    <cfRule type="cellIs" dxfId="5004" priority="14" operator="lessThan">
      <formula>50</formula>
    </cfRule>
  </conditionalFormatting>
  <conditionalFormatting sqref="O63">
    <cfRule type="cellIs" dxfId="5003" priority="13" operator="lessThan">
      <formula>50</formula>
    </cfRule>
  </conditionalFormatting>
  <conditionalFormatting sqref="H64:M64">
    <cfRule type="expression" dxfId="5002" priority="11">
      <formula>5</formula>
    </cfRule>
    <cfRule type="cellIs" dxfId="5001" priority="12" operator="lessThan">
      <formula>5</formula>
    </cfRule>
  </conditionalFormatting>
  <conditionalFormatting sqref="H64:M64">
    <cfRule type="cellIs" dxfId="5000" priority="10" operator="lessThan">
      <formula>50</formula>
    </cfRule>
  </conditionalFormatting>
  <conditionalFormatting sqref="O64">
    <cfRule type="cellIs" dxfId="4999" priority="9" operator="lessThan">
      <formula>50</formula>
    </cfRule>
  </conditionalFormatting>
  <conditionalFormatting sqref="H65:M65">
    <cfRule type="expression" dxfId="4998" priority="7">
      <formula>5</formula>
    </cfRule>
    <cfRule type="cellIs" dxfId="4997" priority="8" operator="lessThan">
      <formula>5</formula>
    </cfRule>
  </conditionalFormatting>
  <conditionalFormatting sqref="H65:M65">
    <cfRule type="cellIs" dxfId="4996" priority="6" operator="lessThan">
      <formula>50</formula>
    </cfRule>
  </conditionalFormatting>
  <conditionalFormatting sqref="O65">
    <cfRule type="cellIs" dxfId="4995" priority="5" operator="lessThan">
      <formula>50</formula>
    </cfRule>
  </conditionalFormatting>
  <conditionalFormatting sqref="H66:M66">
    <cfRule type="expression" dxfId="4994" priority="3">
      <formula>5</formula>
    </cfRule>
    <cfRule type="cellIs" dxfId="4993" priority="4" operator="lessThan">
      <formula>5</formula>
    </cfRule>
  </conditionalFormatting>
  <conditionalFormatting sqref="H66:M66">
    <cfRule type="cellIs" dxfId="4992" priority="2" operator="lessThan">
      <formula>50</formula>
    </cfRule>
  </conditionalFormatting>
  <conditionalFormatting sqref="O66">
    <cfRule type="cellIs" dxfId="4991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8:E8 D10:E21 D35:E35 D38:E42 D52:E52" xr:uid="{921E8F5E-2ED0-48CA-9C41-A59FA2862BA5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ECA9-FE58-4C55-AE7D-8E6EE373FE51}">
  <sheetPr codeName="Sheet102"/>
  <dimension ref="A1:P67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3" width="4.7109375" customWidth="1"/>
    <col min="14" max="14" width="6.7109375" customWidth="1"/>
    <col min="15" max="16" width="4.7109375" customWidth="1"/>
  </cols>
  <sheetData>
    <row r="1" spans="1:16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1:16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3</v>
      </c>
      <c r="I6" s="39" t="s">
        <v>13</v>
      </c>
      <c r="J6" s="39" t="s">
        <v>14</v>
      </c>
      <c r="K6" s="39" t="s">
        <v>5317</v>
      </c>
      <c r="L6" s="39" t="s">
        <v>10</v>
      </c>
      <c r="M6" s="39" t="s">
        <v>15</v>
      </c>
      <c r="N6" s="39" t="s">
        <v>5320</v>
      </c>
      <c r="O6" s="39" t="s">
        <v>5321</v>
      </c>
      <c r="P6" s="39" t="s">
        <v>5324</v>
      </c>
    </row>
    <row r="7" spans="1:16" ht="18" customHeight="1" thickTop="1">
      <c r="A7" s="19">
        <v>1</v>
      </c>
      <c r="B7" s="2" t="s">
        <v>3496</v>
      </c>
      <c r="C7" s="1" t="s">
        <v>3497</v>
      </c>
      <c r="D7" s="3" t="s">
        <v>3498</v>
      </c>
      <c r="E7" s="1" t="s">
        <v>90</v>
      </c>
      <c r="F7" s="10" t="s">
        <v>3369</v>
      </c>
      <c r="G7" s="2">
        <v>23</v>
      </c>
      <c r="H7" s="6">
        <v>86</v>
      </c>
      <c r="I7" s="6">
        <v>100</v>
      </c>
      <c r="J7" s="6">
        <v>88</v>
      </c>
      <c r="K7" s="6">
        <v>92</v>
      </c>
      <c r="L7" s="6">
        <v>100</v>
      </c>
      <c r="M7" s="6">
        <v>92</v>
      </c>
      <c r="N7" s="1">
        <f t="shared" ref="N7:N38" si="0">SUBTOTAL(9,H7:M7)</f>
        <v>558</v>
      </c>
      <c r="O7" s="14">
        <f t="shared" ref="O7:O38" si="1">N7/6</f>
        <v>93</v>
      </c>
      <c r="P7" s="20">
        <f t="shared" ref="P7:P38" si="2">RANK(O7,O$7:O$310,0)</f>
        <v>1</v>
      </c>
    </row>
    <row r="8" spans="1:16" ht="18" customHeight="1">
      <c r="A8" s="19">
        <v>2</v>
      </c>
      <c r="B8" s="2" t="s">
        <v>3506</v>
      </c>
      <c r="C8" s="1" t="s">
        <v>3507</v>
      </c>
      <c r="D8" s="3" t="s">
        <v>3508</v>
      </c>
      <c r="E8" s="1" t="s">
        <v>65</v>
      </c>
      <c r="F8" s="10" t="s">
        <v>3369</v>
      </c>
      <c r="G8" s="2">
        <v>23</v>
      </c>
      <c r="H8" s="6">
        <v>93</v>
      </c>
      <c r="I8" s="6">
        <v>100</v>
      </c>
      <c r="J8" s="6">
        <v>80</v>
      </c>
      <c r="K8" s="6">
        <v>88</v>
      </c>
      <c r="L8" s="6">
        <v>88</v>
      </c>
      <c r="M8" s="6">
        <v>92</v>
      </c>
      <c r="N8" s="1">
        <f t="shared" si="0"/>
        <v>541</v>
      </c>
      <c r="O8" s="14">
        <f t="shared" si="1"/>
        <v>90.166666666666671</v>
      </c>
      <c r="P8" s="20">
        <f t="shared" si="2"/>
        <v>2</v>
      </c>
    </row>
    <row r="9" spans="1:16" ht="18" customHeight="1">
      <c r="A9" s="19">
        <v>3</v>
      </c>
      <c r="B9" s="2" t="s">
        <v>3419</v>
      </c>
      <c r="C9" s="1" t="s">
        <v>3420</v>
      </c>
      <c r="D9" s="3" t="s">
        <v>3421</v>
      </c>
      <c r="E9" s="1" t="s">
        <v>58</v>
      </c>
      <c r="F9" s="10" t="s">
        <v>3369</v>
      </c>
      <c r="G9" s="2">
        <v>21</v>
      </c>
      <c r="H9" s="6">
        <v>72</v>
      </c>
      <c r="I9" s="6">
        <v>100</v>
      </c>
      <c r="J9" s="6">
        <v>88</v>
      </c>
      <c r="K9" s="6">
        <v>100</v>
      </c>
      <c r="L9" s="6">
        <v>90</v>
      </c>
      <c r="M9" s="6">
        <v>84</v>
      </c>
      <c r="N9" s="1">
        <f t="shared" si="0"/>
        <v>534</v>
      </c>
      <c r="O9" s="14">
        <f t="shared" si="1"/>
        <v>89</v>
      </c>
      <c r="P9" s="20">
        <f t="shared" si="2"/>
        <v>3</v>
      </c>
    </row>
    <row r="10" spans="1:16" ht="18" customHeight="1">
      <c r="A10" s="19">
        <v>4</v>
      </c>
      <c r="B10" s="2" t="s">
        <v>3523</v>
      </c>
      <c r="C10" s="1">
        <v>311260446</v>
      </c>
      <c r="D10" s="3" t="s">
        <v>3524</v>
      </c>
      <c r="E10" s="1" t="s">
        <v>67</v>
      </c>
      <c r="F10" s="10" t="s">
        <v>3369</v>
      </c>
      <c r="G10" s="2">
        <v>23</v>
      </c>
      <c r="H10" s="6">
        <v>93</v>
      </c>
      <c r="I10" s="6">
        <v>92</v>
      </c>
      <c r="J10" s="6">
        <v>77</v>
      </c>
      <c r="K10" s="6">
        <v>84</v>
      </c>
      <c r="L10" s="6">
        <v>86</v>
      </c>
      <c r="M10" s="6">
        <v>88</v>
      </c>
      <c r="N10" s="1">
        <f t="shared" si="0"/>
        <v>520</v>
      </c>
      <c r="O10" s="14">
        <f t="shared" si="1"/>
        <v>86.666666666666671</v>
      </c>
      <c r="P10" s="20">
        <f t="shared" si="2"/>
        <v>4</v>
      </c>
    </row>
    <row r="11" spans="1:16" ht="18" customHeight="1">
      <c r="A11" s="19">
        <v>5</v>
      </c>
      <c r="B11" s="2" t="s">
        <v>3463</v>
      </c>
      <c r="C11" s="1" t="s">
        <v>3464</v>
      </c>
      <c r="D11" s="3" t="s">
        <v>3465</v>
      </c>
      <c r="E11" s="1" t="s">
        <v>73</v>
      </c>
      <c r="F11" s="10" t="s">
        <v>3369</v>
      </c>
      <c r="G11" s="2">
        <v>22</v>
      </c>
      <c r="H11" s="6">
        <v>93</v>
      </c>
      <c r="I11" s="6">
        <v>92</v>
      </c>
      <c r="J11" s="6">
        <v>72</v>
      </c>
      <c r="K11" s="6">
        <v>92</v>
      </c>
      <c r="L11" s="6">
        <v>88</v>
      </c>
      <c r="M11" s="6">
        <v>80</v>
      </c>
      <c r="N11" s="1">
        <f t="shared" si="0"/>
        <v>517</v>
      </c>
      <c r="O11" s="14">
        <f t="shared" si="1"/>
        <v>86.166666666666671</v>
      </c>
      <c r="P11" s="20">
        <f t="shared" si="2"/>
        <v>5</v>
      </c>
    </row>
    <row r="12" spans="1:16" ht="18" customHeight="1">
      <c r="A12" s="19">
        <v>6</v>
      </c>
      <c r="B12" s="2" t="s">
        <v>3427</v>
      </c>
      <c r="C12" s="1" t="s">
        <v>3428</v>
      </c>
      <c r="D12" s="3" t="s">
        <v>3429</v>
      </c>
      <c r="E12" s="1" t="s">
        <v>59</v>
      </c>
      <c r="F12" s="10" t="s">
        <v>3369</v>
      </c>
      <c r="G12" s="2">
        <v>22</v>
      </c>
      <c r="H12" s="6">
        <v>79</v>
      </c>
      <c r="I12" s="6">
        <v>100</v>
      </c>
      <c r="J12" s="6">
        <v>90</v>
      </c>
      <c r="K12" s="6">
        <v>74</v>
      </c>
      <c r="L12" s="6">
        <v>88</v>
      </c>
      <c r="M12" s="6">
        <v>78</v>
      </c>
      <c r="N12" s="1">
        <f t="shared" si="0"/>
        <v>509</v>
      </c>
      <c r="O12" s="14">
        <f t="shared" si="1"/>
        <v>84.833333333333329</v>
      </c>
      <c r="P12" s="20">
        <f t="shared" si="2"/>
        <v>6</v>
      </c>
    </row>
    <row r="13" spans="1:16" ht="18" customHeight="1">
      <c r="A13" s="19">
        <v>7</v>
      </c>
      <c r="B13" s="2" t="s">
        <v>3460</v>
      </c>
      <c r="C13" s="1" t="s">
        <v>3461</v>
      </c>
      <c r="D13" s="3" t="s">
        <v>3462</v>
      </c>
      <c r="E13" s="1" t="s">
        <v>73</v>
      </c>
      <c r="F13" s="10" t="s">
        <v>3369</v>
      </c>
      <c r="G13" s="2">
        <v>22</v>
      </c>
      <c r="H13" s="6">
        <v>86</v>
      </c>
      <c r="I13" s="6">
        <v>100</v>
      </c>
      <c r="J13" s="6">
        <v>53</v>
      </c>
      <c r="K13" s="6">
        <v>92</v>
      </c>
      <c r="L13" s="6">
        <v>69</v>
      </c>
      <c r="M13" s="6">
        <v>50</v>
      </c>
      <c r="N13" s="1">
        <f t="shared" si="0"/>
        <v>450</v>
      </c>
      <c r="O13" s="14">
        <f t="shared" si="1"/>
        <v>75</v>
      </c>
      <c r="P13" s="20">
        <f t="shared" si="2"/>
        <v>7</v>
      </c>
    </row>
    <row r="14" spans="1:16" ht="18" customHeight="1">
      <c r="A14" s="19">
        <v>8</v>
      </c>
      <c r="B14" s="2" t="s">
        <v>3525</v>
      </c>
      <c r="C14" s="1">
        <v>311260947</v>
      </c>
      <c r="D14" s="3" t="s">
        <v>3526</v>
      </c>
      <c r="E14" s="1" t="s">
        <v>69</v>
      </c>
      <c r="F14" s="10" t="s">
        <v>3369</v>
      </c>
      <c r="G14" s="2">
        <v>23</v>
      </c>
      <c r="H14" s="6">
        <v>86</v>
      </c>
      <c r="I14" s="6">
        <v>92</v>
      </c>
      <c r="J14" s="6">
        <v>62</v>
      </c>
      <c r="K14" s="6">
        <v>84</v>
      </c>
      <c r="L14" s="6">
        <v>60</v>
      </c>
      <c r="M14" s="6">
        <v>62</v>
      </c>
      <c r="N14" s="1">
        <f t="shared" si="0"/>
        <v>446</v>
      </c>
      <c r="O14" s="14">
        <f t="shared" si="1"/>
        <v>74.333333333333329</v>
      </c>
      <c r="P14" s="20">
        <f t="shared" si="2"/>
        <v>8</v>
      </c>
    </row>
    <row r="15" spans="1:16" ht="18" customHeight="1">
      <c r="A15" s="19">
        <v>9</v>
      </c>
      <c r="B15" s="2" t="s">
        <v>3466</v>
      </c>
      <c r="C15" s="1" t="s">
        <v>3467</v>
      </c>
      <c r="D15" s="3" t="s">
        <v>3468</v>
      </c>
      <c r="E15" s="1" t="s">
        <v>77</v>
      </c>
      <c r="F15" s="10" t="s">
        <v>3369</v>
      </c>
      <c r="G15" s="2">
        <v>22</v>
      </c>
      <c r="H15" s="6">
        <v>100</v>
      </c>
      <c r="I15" s="6">
        <v>72</v>
      </c>
      <c r="J15" s="6">
        <v>31</v>
      </c>
      <c r="K15" s="6">
        <v>92</v>
      </c>
      <c r="L15" s="6">
        <v>66</v>
      </c>
      <c r="M15" s="6">
        <v>60</v>
      </c>
      <c r="N15" s="1">
        <f t="shared" si="0"/>
        <v>421</v>
      </c>
      <c r="O15" s="14">
        <f t="shared" si="1"/>
        <v>70.166666666666671</v>
      </c>
      <c r="P15" s="20">
        <f t="shared" si="2"/>
        <v>9</v>
      </c>
    </row>
    <row r="16" spans="1:16" ht="18" customHeight="1">
      <c r="A16" s="19">
        <v>10</v>
      </c>
      <c r="B16" s="2" t="s">
        <v>3454</v>
      </c>
      <c r="C16" s="1" t="s">
        <v>3455</v>
      </c>
      <c r="D16" s="3" t="s">
        <v>3456</v>
      </c>
      <c r="E16" s="1" t="s">
        <v>81</v>
      </c>
      <c r="F16" s="10" t="s">
        <v>3369</v>
      </c>
      <c r="G16" s="2">
        <v>22</v>
      </c>
      <c r="H16" s="6">
        <v>86</v>
      </c>
      <c r="I16" s="6">
        <v>80</v>
      </c>
      <c r="J16" s="6">
        <v>41</v>
      </c>
      <c r="K16" s="6">
        <v>64</v>
      </c>
      <c r="L16" s="6">
        <v>86</v>
      </c>
      <c r="M16" s="6">
        <v>46</v>
      </c>
      <c r="N16" s="1">
        <f t="shared" si="0"/>
        <v>403</v>
      </c>
      <c r="O16" s="14">
        <f t="shared" si="1"/>
        <v>67.166666666666671</v>
      </c>
      <c r="P16" s="20">
        <f t="shared" si="2"/>
        <v>10</v>
      </c>
    </row>
    <row r="17" spans="1:16" ht="18" customHeight="1">
      <c r="A17" s="19">
        <v>11</v>
      </c>
      <c r="B17" s="2" t="s">
        <v>3430</v>
      </c>
      <c r="C17" s="1" t="s">
        <v>3431</v>
      </c>
      <c r="D17" s="3" t="s">
        <v>3432</v>
      </c>
      <c r="E17" s="1" t="s">
        <v>59</v>
      </c>
      <c r="F17" s="10" t="s">
        <v>3369</v>
      </c>
      <c r="G17" s="2">
        <v>22</v>
      </c>
      <c r="H17" s="6">
        <v>72</v>
      </c>
      <c r="I17" s="6">
        <v>80</v>
      </c>
      <c r="J17" s="6">
        <v>74</v>
      </c>
      <c r="K17" s="6">
        <v>96</v>
      </c>
      <c r="L17" s="6">
        <v>45</v>
      </c>
      <c r="M17" s="6">
        <v>33</v>
      </c>
      <c r="N17" s="1">
        <f t="shared" si="0"/>
        <v>400</v>
      </c>
      <c r="O17" s="14">
        <f t="shared" si="1"/>
        <v>66.666666666666671</v>
      </c>
      <c r="P17" s="20">
        <f t="shared" si="2"/>
        <v>11</v>
      </c>
    </row>
    <row r="18" spans="1:16" ht="18" customHeight="1">
      <c r="A18" s="19">
        <v>12</v>
      </c>
      <c r="B18" s="2" t="s">
        <v>3484</v>
      </c>
      <c r="C18" s="1">
        <v>311230112</v>
      </c>
      <c r="D18" s="3" t="s">
        <v>3485</v>
      </c>
      <c r="E18" s="1" t="s">
        <v>78</v>
      </c>
      <c r="F18" s="10" t="s">
        <v>3369</v>
      </c>
      <c r="G18" s="2">
        <v>23</v>
      </c>
      <c r="H18" s="6">
        <v>65</v>
      </c>
      <c r="I18" s="6">
        <v>62</v>
      </c>
      <c r="J18" s="6">
        <v>64</v>
      </c>
      <c r="K18" s="6">
        <v>92</v>
      </c>
      <c r="L18" s="6">
        <v>80</v>
      </c>
      <c r="M18" s="6">
        <v>27</v>
      </c>
      <c r="N18" s="1">
        <f t="shared" si="0"/>
        <v>390</v>
      </c>
      <c r="O18" s="14">
        <f t="shared" si="1"/>
        <v>65</v>
      </c>
      <c r="P18" s="20">
        <f t="shared" si="2"/>
        <v>12</v>
      </c>
    </row>
    <row r="19" spans="1:16" ht="18" customHeight="1">
      <c r="A19" s="19">
        <v>13</v>
      </c>
      <c r="B19" s="2" t="s">
        <v>3394</v>
      </c>
      <c r="C19" s="1">
        <v>311230087</v>
      </c>
      <c r="D19" s="3" t="s">
        <v>3395</v>
      </c>
      <c r="E19" s="1" t="s">
        <v>79</v>
      </c>
      <c r="F19" s="10" t="s">
        <v>3369</v>
      </c>
      <c r="G19" s="2">
        <v>21</v>
      </c>
      <c r="H19" s="6">
        <v>65</v>
      </c>
      <c r="I19" s="6">
        <v>80</v>
      </c>
      <c r="J19" s="6">
        <v>40</v>
      </c>
      <c r="K19" s="6">
        <v>88</v>
      </c>
      <c r="L19" s="6">
        <v>58</v>
      </c>
      <c r="M19" s="6">
        <v>56</v>
      </c>
      <c r="N19" s="1">
        <f t="shared" si="0"/>
        <v>387</v>
      </c>
      <c r="O19" s="14">
        <f t="shared" si="1"/>
        <v>64.5</v>
      </c>
      <c r="P19" s="20">
        <f t="shared" si="2"/>
        <v>13</v>
      </c>
    </row>
    <row r="20" spans="1:16" ht="18" customHeight="1">
      <c r="A20" s="19">
        <v>14</v>
      </c>
      <c r="B20" s="2" t="s">
        <v>3449</v>
      </c>
      <c r="C20" s="1" t="s">
        <v>3450</v>
      </c>
      <c r="D20" s="3" t="s">
        <v>3451</v>
      </c>
      <c r="E20" s="1" t="s">
        <v>80</v>
      </c>
      <c r="F20" s="10" t="s">
        <v>3369</v>
      </c>
      <c r="G20" s="2">
        <v>22</v>
      </c>
      <c r="H20" s="6">
        <v>72</v>
      </c>
      <c r="I20" s="6">
        <v>60</v>
      </c>
      <c r="J20" s="6">
        <v>64</v>
      </c>
      <c r="K20" s="6">
        <v>72</v>
      </c>
      <c r="L20" s="6">
        <v>76</v>
      </c>
      <c r="M20" s="6">
        <v>40</v>
      </c>
      <c r="N20" s="1">
        <f t="shared" si="0"/>
        <v>384</v>
      </c>
      <c r="O20" s="14">
        <f t="shared" si="1"/>
        <v>64</v>
      </c>
      <c r="P20" s="20">
        <f t="shared" si="2"/>
        <v>14</v>
      </c>
    </row>
    <row r="21" spans="1:16" ht="18" customHeight="1">
      <c r="A21" s="19">
        <v>15</v>
      </c>
      <c r="B21" s="2" t="s">
        <v>3370</v>
      </c>
      <c r="C21" s="1" t="s">
        <v>3371</v>
      </c>
      <c r="D21" s="3" t="s">
        <v>3372</v>
      </c>
      <c r="E21" s="1" t="s">
        <v>69</v>
      </c>
      <c r="F21" s="10" t="s">
        <v>3369</v>
      </c>
      <c r="G21" s="2">
        <v>21</v>
      </c>
      <c r="H21" s="6">
        <v>50</v>
      </c>
      <c r="I21" s="6">
        <v>96</v>
      </c>
      <c r="J21" s="6">
        <v>46</v>
      </c>
      <c r="K21" s="6">
        <v>96</v>
      </c>
      <c r="L21" s="6">
        <v>80</v>
      </c>
      <c r="M21" s="6">
        <v>8</v>
      </c>
      <c r="N21" s="1">
        <f t="shared" si="0"/>
        <v>376</v>
      </c>
      <c r="O21" s="14">
        <f t="shared" si="1"/>
        <v>62.666666666666664</v>
      </c>
      <c r="P21" s="20">
        <f t="shared" si="2"/>
        <v>15</v>
      </c>
    </row>
    <row r="22" spans="1:16" ht="18" customHeight="1">
      <c r="A22" s="19">
        <v>16</v>
      </c>
      <c r="B22" s="2" t="s">
        <v>3388</v>
      </c>
      <c r="C22" s="1" t="s">
        <v>3389</v>
      </c>
      <c r="D22" s="3" t="s">
        <v>3390</v>
      </c>
      <c r="E22" s="1" t="s">
        <v>79</v>
      </c>
      <c r="F22" s="10" t="s">
        <v>3369</v>
      </c>
      <c r="G22" s="2">
        <v>21</v>
      </c>
      <c r="H22" s="6">
        <v>97</v>
      </c>
      <c r="I22" s="6">
        <v>64</v>
      </c>
      <c r="J22" s="6">
        <v>60</v>
      </c>
      <c r="K22" s="6">
        <v>84</v>
      </c>
      <c r="L22" s="6">
        <v>52</v>
      </c>
      <c r="M22" s="6">
        <v>14</v>
      </c>
      <c r="N22" s="1">
        <f t="shared" si="0"/>
        <v>371</v>
      </c>
      <c r="O22" s="14">
        <f t="shared" si="1"/>
        <v>61.833333333333336</v>
      </c>
      <c r="P22" s="20">
        <f t="shared" si="2"/>
        <v>16</v>
      </c>
    </row>
    <row r="23" spans="1:16" ht="18" customHeight="1">
      <c r="A23" s="19">
        <v>17</v>
      </c>
      <c r="B23" s="2" t="s">
        <v>3422</v>
      </c>
      <c r="C23" s="1" t="s">
        <v>3423</v>
      </c>
      <c r="D23" s="3" t="s">
        <v>3424</v>
      </c>
      <c r="E23" s="1" t="s">
        <v>58</v>
      </c>
      <c r="F23" s="10" t="s">
        <v>3369</v>
      </c>
      <c r="G23" s="2">
        <v>21</v>
      </c>
      <c r="H23" s="6">
        <v>72</v>
      </c>
      <c r="I23" s="6">
        <v>88</v>
      </c>
      <c r="J23" s="6">
        <v>45</v>
      </c>
      <c r="K23" s="6">
        <v>82</v>
      </c>
      <c r="L23" s="6">
        <v>45</v>
      </c>
      <c r="M23" s="6">
        <v>38</v>
      </c>
      <c r="N23" s="1">
        <f t="shared" si="0"/>
        <v>370</v>
      </c>
      <c r="O23" s="14">
        <f t="shared" si="1"/>
        <v>61.666666666666664</v>
      </c>
      <c r="P23" s="20">
        <f t="shared" si="2"/>
        <v>17</v>
      </c>
    </row>
    <row r="24" spans="1:16" ht="18" customHeight="1">
      <c r="A24" s="19">
        <v>18</v>
      </c>
      <c r="B24" s="2" t="s">
        <v>3474</v>
      </c>
      <c r="C24" s="1" t="s">
        <v>3475</v>
      </c>
      <c r="D24" s="3" t="s">
        <v>3476</v>
      </c>
      <c r="E24" s="1" t="s">
        <v>63</v>
      </c>
      <c r="F24" s="10" t="s">
        <v>3369</v>
      </c>
      <c r="G24" s="2">
        <v>22</v>
      </c>
      <c r="H24" s="6">
        <v>72</v>
      </c>
      <c r="I24" s="6">
        <v>84</v>
      </c>
      <c r="J24" s="6">
        <v>28</v>
      </c>
      <c r="K24" s="6">
        <v>88</v>
      </c>
      <c r="L24" s="6">
        <v>80</v>
      </c>
      <c r="M24" s="6">
        <v>18</v>
      </c>
      <c r="N24" s="1">
        <f t="shared" si="0"/>
        <v>370</v>
      </c>
      <c r="O24" s="14">
        <f t="shared" si="1"/>
        <v>61.666666666666664</v>
      </c>
      <c r="P24" s="20">
        <f t="shared" si="2"/>
        <v>17</v>
      </c>
    </row>
    <row r="25" spans="1:16" ht="18" customHeight="1">
      <c r="A25" s="19">
        <v>19</v>
      </c>
      <c r="B25" s="2" t="s">
        <v>3382</v>
      </c>
      <c r="C25" s="1" t="s">
        <v>3383</v>
      </c>
      <c r="D25" s="3" t="s">
        <v>3384</v>
      </c>
      <c r="E25" s="1" t="s">
        <v>55</v>
      </c>
      <c r="F25" s="10" t="s">
        <v>3369</v>
      </c>
      <c r="G25" s="2">
        <v>21</v>
      </c>
      <c r="H25" s="6">
        <v>79</v>
      </c>
      <c r="I25" s="6">
        <v>86</v>
      </c>
      <c r="J25" s="6">
        <v>37</v>
      </c>
      <c r="K25" s="6">
        <v>84</v>
      </c>
      <c r="L25" s="6">
        <v>45</v>
      </c>
      <c r="M25" s="6">
        <v>32</v>
      </c>
      <c r="N25" s="1">
        <f t="shared" si="0"/>
        <v>363</v>
      </c>
      <c r="O25" s="14">
        <f t="shared" si="1"/>
        <v>60.5</v>
      </c>
      <c r="P25" s="20">
        <f t="shared" si="2"/>
        <v>19</v>
      </c>
    </row>
    <row r="26" spans="1:16" ht="18" customHeight="1">
      <c r="A26" s="19">
        <v>20</v>
      </c>
      <c r="B26" s="2" t="s">
        <v>3440</v>
      </c>
      <c r="C26" s="1" t="s">
        <v>3441</v>
      </c>
      <c r="D26" s="3" t="s">
        <v>3442</v>
      </c>
      <c r="E26" s="1" t="s">
        <v>3443</v>
      </c>
      <c r="F26" s="10" t="s">
        <v>3369</v>
      </c>
      <c r="G26" s="2">
        <v>22</v>
      </c>
      <c r="H26" s="6">
        <v>72</v>
      </c>
      <c r="I26" s="6">
        <v>62</v>
      </c>
      <c r="J26" s="6">
        <v>31</v>
      </c>
      <c r="K26" s="6">
        <v>80</v>
      </c>
      <c r="L26" s="6">
        <v>58</v>
      </c>
      <c r="M26" s="6">
        <v>39</v>
      </c>
      <c r="N26" s="1">
        <f t="shared" si="0"/>
        <v>342</v>
      </c>
      <c r="O26" s="14">
        <f t="shared" si="1"/>
        <v>57</v>
      </c>
      <c r="P26" s="20">
        <f t="shared" si="2"/>
        <v>20</v>
      </c>
    </row>
    <row r="27" spans="1:16" ht="18" customHeight="1">
      <c r="A27" s="19">
        <v>21</v>
      </c>
      <c r="B27" s="2" t="s">
        <v>3410</v>
      </c>
      <c r="C27" s="1" t="s">
        <v>3411</v>
      </c>
      <c r="D27" s="3" t="s">
        <v>3412</v>
      </c>
      <c r="E27" s="1" t="s">
        <v>57</v>
      </c>
      <c r="F27" s="10" t="s">
        <v>3369</v>
      </c>
      <c r="G27" s="2">
        <v>21</v>
      </c>
      <c r="H27" s="6">
        <v>86</v>
      </c>
      <c r="I27" s="6">
        <v>58</v>
      </c>
      <c r="J27" s="6">
        <v>26</v>
      </c>
      <c r="K27" s="6">
        <v>80</v>
      </c>
      <c r="L27" s="6">
        <v>52</v>
      </c>
      <c r="M27" s="6">
        <v>38</v>
      </c>
      <c r="N27" s="1">
        <f t="shared" si="0"/>
        <v>340</v>
      </c>
      <c r="O27" s="14">
        <f t="shared" si="1"/>
        <v>56.666666666666664</v>
      </c>
      <c r="P27" s="20">
        <f t="shared" si="2"/>
        <v>21</v>
      </c>
    </row>
    <row r="28" spans="1:16" ht="18" customHeight="1">
      <c r="A28" s="19">
        <v>22</v>
      </c>
      <c r="B28" s="2" t="s">
        <v>3402</v>
      </c>
      <c r="C28" s="1">
        <v>311240399</v>
      </c>
      <c r="D28" s="3" t="s">
        <v>3403</v>
      </c>
      <c r="E28" s="1" t="s">
        <v>70</v>
      </c>
      <c r="F28" s="10" t="s">
        <v>3369</v>
      </c>
      <c r="G28" s="2">
        <v>21</v>
      </c>
      <c r="H28" s="6">
        <v>72</v>
      </c>
      <c r="I28" s="6">
        <v>62</v>
      </c>
      <c r="J28" s="6">
        <v>31</v>
      </c>
      <c r="K28" s="6">
        <v>84</v>
      </c>
      <c r="L28" s="6">
        <v>70</v>
      </c>
      <c r="M28" s="6">
        <v>8</v>
      </c>
      <c r="N28" s="1">
        <f t="shared" si="0"/>
        <v>327</v>
      </c>
      <c r="O28" s="14">
        <f t="shared" si="1"/>
        <v>54.5</v>
      </c>
      <c r="P28" s="20">
        <f t="shared" si="2"/>
        <v>22</v>
      </c>
    </row>
    <row r="29" spans="1:16" ht="18" customHeight="1">
      <c r="A29" s="19">
        <v>23</v>
      </c>
      <c r="B29" s="2" t="s">
        <v>3527</v>
      </c>
      <c r="C29" s="1">
        <v>311260948</v>
      </c>
      <c r="D29" s="3" t="s">
        <v>3528</v>
      </c>
      <c r="E29" s="1" t="s">
        <v>71</v>
      </c>
      <c r="F29" s="10" t="s">
        <v>3369</v>
      </c>
      <c r="G29" s="2">
        <v>23</v>
      </c>
      <c r="H29" s="6">
        <v>86</v>
      </c>
      <c r="I29" s="6">
        <v>64</v>
      </c>
      <c r="J29" s="6">
        <v>35</v>
      </c>
      <c r="K29" s="6">
        <v>78</v>
      </c>
      <c r="L29" s="6">
        <v>24</v>
      </c>
      <c r="M29" s="6">
        <v>35</v>
      </c>
      <c r="N29" s="1">
        <f t="shared" si="0"/>
        <v>322</v>
      </c>
      <c r="O29" s="14">
        <f t="shared" si="1"/>
        <v>53.666666666666664</v>
      </c>
      <c r="P29" s="20">
        <f t="shared" si="2"/>
        <v>23</v>
      </c>
    </row>
    <row r="30" spans="1:16" ht="18" customHeight="1">
      <c r="A30" s="19">
        <v>24</v>
      </c>
      <c r="B30" s="2" t="s">
        <v>3472</v>
      </c>
      <c r="C30" s="1" t="s">
        <v>3473</v>
      </c>
      <c r="D30" s="3" t="s">
        <v>89</v>
      </c>
      <c r="E30" s="1" t="s">
        <v>63</v>
      </c>
      <c r="F30" s="10" t="s">
        <v>3369</v>
      </c>
      <c r="G30" s="2">
        <v>22</v>
      </c>
      <c r="H30" s="6">
        <v>79</v>
      </c>
      <c r="I30" s="6">
        <v>58</v>
      </c>
      <c r="J30" s="6">
        <v>49</v>
      </c>
      <c r="K30" s="6">
        <v>74</v>
      </c>
      <c r="L30" s="6">
        <v>31</v>
      </c>
      <c r="M30" s="6">
        <v>30</v>
      </c>
      <c r="N30" s="1">
        <f t="shared" si="0"/>
        <v>321</v>
      </c>
      <c r="O30" s="14">
        <f t="shared" si="1"/>
        <v>53.5</v>
      </c>
      <c r="P30" s="20">
        <f t="shared" si="2"/>
        <v>24</v>
      </c>
    </row>
    <row r="31" spans="1:16" ht="18" customHeight="1">
      <c r="A31" s="19">
        <v>25</v>
      </c>
      <c r="B31" s="2" t="s">
        <v>3457</v>
      </c>
      <c r="C31" s="1" t="s">
        <v>3458</v>
      </c>
      <c r="D31" s="3" t="s">
        <v>3459</v>
      </c>
      <c r="E31" s="1" t="s">
        <v>81</v>
      </c>
      <c r="F31" s="10" t="s">
        <v>3369</v>
      </c>
      <c r="G31" s="2">
        <v>22</v>
      </c>
      <c r="H31" s="6">
        <v>79</v>
      </c>
      <c r="I31" s="6">
        <v>46</v>
      </c>
      <c r="J31" s="6">
        <v>35</v>
      </c>
      <c r="K31" s="6">
        <v>80</v>
      </c>
      <c r="L31" s="6">
        <v>44</v>
      </c>
      <c r="M31" s="6">
        <v>31</v>
      </c>
      <c r="N31" s="1">
        <f t="shared" si="0"/>
        <v>315</v>
      </c>
      <c r="O31" s="14">
        <f t="shared" si="1"/>
        <v>52.5</v>
      </c>
      <c r="P31" s="20">
        <f t="shared" si="2"/>
        <v>25</v>
      </c>
    </row>
    <row r="32" spans="1:16" ht="18" customHeight="1">
      <c r="A32" s="19">
        <v>26</v>
      </c>
      <c r="B32" s="2" t="s">
        <v>3444</v>
      </c>
      <c r="C32" s="1" t="s">
        <v>3445</v>
      </c>
      <c r="D32" s="3" t="s">
        <v>3446</v>
      </c>
      <c r="E32" s="1" t="s">
        <v>62</v>
      </c>
      <c r="F32" s="10" t="s">
        <v>3369</v>
      </c>
      <c r="G32" s="2">
        <v>22</v>
      </c>
      <c r="H32" s="6">
        <v>79</v>
      </c>
      <c r="I32" s="6">
        <v>34</v>
      </c>
      <c r="J32" s="6">
        <v>41</v>
      </c>
      <c r="K32" s="6">
        <v>76</v>
      </c>
      <c r="L32" s="6">
        <v>32</v>
      </c>
      <c r="M32" s="6">
        <v>48</v>
      </c>
      <c r="N32" s="1">
        <f t="shared" si="0"/>
        <v>310</v>
      </c>
      <c r="O32" s="14">
        <f t="shared" si="1"/>
        <v>51.666666666666664</v>
      </c>
      <c r="P32" s="20">
        <f t="shared" si="2"/>
        <v>26</v>
      </c>
    </row>
    <row r="33" spans="1:16" ht="18" customHeight="1">
      <c r="A33" s="19">
        <v>27</v>
      </c>
      <c r="B33" s="2" t="s">
        <v>3469</v>
      </c>
      <c r="C33" s="1" t="s">
        <v>3470</v>
      </c>
      <c r="D33" s="3" t="s">
        <v>3471</v>
      </c>
      <c r="E33" s="1" t="s">
        <v>84</v>
      </c>
      <c r="F33" s="10" t="s">
        <v>3369</v>
      </c>
      <c r="G33" s="2">
        <v>22</v>
      </c>
      <c r="H33" s="6">
        <v>86</v>
      </c>
      <c r="I33" s="6">
        <v>43</v>
      </c>
      <c r="J33" s="6">
        <v>31</v>
      </c>
      <c r="K33" s="6">
        <v>80</v>
      </c>
      <c r="L33" s="6">
        <v>48</v>
      </c>
      <c r="M33" s="6">
        <v>22</v>
      </c>
      <c r="N33" s="1">
        <f t="shared" si="0"/>
        <v>310</v>
      </c>
      <c r="O33" s="14">
        <f t="shared" si="1"/>
        <v>51.666666666666664</v>
      </c>
      <c r="P33" s="20">
        <f t="shared" si="2"/>
        <v>26</v>
      </c>
    </row>
    <row r="34" spans="1:16" ht="18" customHeight="1">
      <c r="A34" s="19">
        <v>28</v>
      </c>
      <c r="B34" s="2" t="s">
        <v>3399</v>
      </c>
      <c r="C34" s="1" t="s">
        <v>3400</v>
      </c>
      <c r="D34" s="3" t="s">
        <v>3401</v>
      </c>
      <c r="E34" s="1" t="s">
        <v>70</v>
      </c>
      <c r="F34" s="10" t="s">
        <v>3369</v>
      </c>
      <c r="G34" s="2">
        <v>21</v>
      </c>
      <c r="H34" s="6">
        <v>50</v>
      </c>
      <c r="I34" s="6">
        <v>72</v>
      </c>
      <c r="J34" s="6">
        <v>40</v>
      </c>
      <c r="K34" s="6">
        <v>60</v>
      </c>
      <c r="L34" s="6">
        <v>50</v>
      </c>
      <c r="M34" s="6">
        <v>36</v>
      </c>
      <c r="N34" s="1">
        <f t="shared" si="0"/>
        <v>308</v>
      </c>
      <c r="O34" s="14">
        <f t="shared" si="1"/>
        <v>51.333333333333336</v>
      </c>
      <c r="P34" s="20">
        <f t="shared" si="2"/>
        <v>28</v>
      </c>
    </row>
    <row r="35" spans="1:16" ht="18" customHeight="1">
      <c r="A35" s="19">
        <v>29</v>
      </c>
      <c r="B35" s="2" t="s">
        <v>3409</v>
      </c>
      <c r="C35" s="1">
        <v>311220624</v>
      </c>
      <c r="D35" s="3" t="s">
        <v>3163</v>
      </c>
      <c r="E35" s="1" t="s">
        <v>57</v>
      </c>
      <c r="F35" s="10" t="s">
        <v>3369</v>
      </c>
      <c r="G35" s="2">
        <v>21</v>
      </c>
      <c r="H35" s="6">
        <v>93</v>
      </c>
      <c r="I35" s="6">
        <v>52</v>
      </c>
      <c r="J35" s="6">
        <v>50</v>
      </c>
      <c r="K35" s="6">
        <v>54</v>
      </c>
      <c r="L35" s="6">
        <v>29</v>
      </c>
      <c r="M35" s="6">
        <v>27</v>
      </c>
      <c r="N35" s="1">
        <f t="shared" si="0"/>
        <v>305</v>
      </c>
      <c r="O35" s="14">
        <f t="shared" si="1"/>
        <v>50.833333333333336</v>
      </c>
      <c r="P35" s="20">
        <f t="shared" si="2"/>
        <v>29</v>
      </c>
    </row>
    <row r="36" spans="1:16" ht="18" customHeight="1">
      <c r="A36" s="19">
        <v>30</v>
      </c>
      <c r="B36" s="2" t="s">
        <v>3433</v>
      </c>
      <c r="C36" s="1" t="s">
        <v>3434</v>
      </c>
      <c r="D36" s="3" t="s">
        <v>3435</v>
      </c>
      <c r="E36" s="1" t="s">
        <v>60</v>
      </c>
      <c r="F36" s="10" t="s">
        <v>3369</v>
      </c>
      <c r="G36" s="2">
        <v>22</v>
      </c>
      <c r="H36" s="6">
        <v>100</v>
      </c>
      <c r="I36" s="6">
        <v>40</v>
      </c>
      <c r="J36" s="6">
        <v>49</v>
      </c>
      <c r="K36" s="6">
        <v>66</v>
      </c>
      <c r="L36" s="6">
        <v>17</v>
      </c>
      <c r="M36" s="6">
        <v>33</v>
      </c>
      <c r="N36" s="1">
        <f t="shared" si="0"/>
        <v>305</v>
      </c>
      <c r="O36" s="14">
        <f t="shared" si="1"/>
        <v>50.833333333333336</v>
      </c>
      <c r="P36" s="20">
        <f t="shared" si="2"/>
        <v>29</v>
      </c>
    </row>
    <row r="37" spans="1:16" ht="18" customHeight="1">
      <c r="A37" s="19">
        <v>31</v>
      </c>
      <c r="B37" s="2" t="s">
        <v>3488</v>
      </c>
      <c r="C37" s="1" t="s">
        <v>3489</v>
      </c>
      <c r="D37" s="3" t="s">
        <v>3490</v>
      </c>
      <c r="E37" s="1" t="s">
        <v>78</v>
      </c>
      <c r="F37" s="10" t="s">
        <v>3369</v>
      </c>
      <c r="G37" s="2">
        <v>23</v>
      </c>
      <c r="H37" s="6">
        <v>79</v>
      </c>
      <c r="I37" s="6">
        <v>41</v>
      </c>
      <c r="J37" s="6">
        <v>14</v>
      </c>
      <c r="K37" s="6">
        <v>64</v>
      </c>
      <c r="L37" s="6">
        <v>61</v>
      </c>
      <c r="M37" s="6">
        <v>37</v>
      </c>
      <c r="N37" s="1">
        <f t="shared" si="0"/>
        <v>296</v>
      </c>
      <c r="O37" s="14">
        <f t="shared" si="1"/>
        <v>49.333333333333336</v>
      </c>
      <c r="P37" s="20">
        <f t="shared" si="2"/>
        <v>31</v>
      </c>
    </row>
    <row r="38" spans="1:16" ht="18" customHeight="1">
      <c r="A38" s="19">
        <v>32</v>
      </c>
      <c r="B38" s="2" t="s">
        <v>3518</v>
      </c>
      <c r="C38" s="1">
        <v>331220005</v>
      </c>
      <c r="D38" s="3" t="s">
        <v>3519</v>
      </c>
      <c r="E38" s="1" t="s">
        <v>353</v>
      </c>
      <c r="F38" s="10" t="s">
        <v>3369</v>
      </c>
      <c r="G38" s="2">
        <v>23</v>
      </c>
      <c r="H38" s="6">
        <v>57</v>
      </c>
      <c r="I38" s="6">
        <v>76</v>
      </c>
      <c r="J38" s="6">
        <v>12</v>
      </c>
      <c r="K38" s="6">
        <v>80</v>
      </c>
      <c r="L38" s="6">
        <v>13</v>
      </c>
      <c r="M38" s="6">
        <v>56</v>
      </c>
      <c r="N38" s="1">
        <f t="shared" si="0"/>
        <v>294</v>
      </c>
      <c r="O38" s="14">
        <f t="shared" si="1"/>
        <v>49</v>
      </c>
      <c r="P38" s="20">
        <f t="shared" si="2"/>
        <v>32</v>
      </c>
    </row>
    <row r="39" spans="1:16" ht="18" customHeight="1">
      <c r="A39" s="19">
        <v>33</v>
      </c>
      <c r="B39" s="2" t="s">
        <v>3385</v>
      </c>
      <c r="C39" s="1" t="s">
        <v>3386</v>
      </c>
      <c r="D39" s="3" t="s">
        <v>3387</v>
      </c>
      <c r="E39" s="1" t="s">
        <v>55</v>
      </c>
      <c r="F39" s="10" t="s">
        <v>3369</v>
      </c>
      <c r="G39" s="2">
        <v>21</v>
      </c>
      <c r="H39" s="6">
        <v>72</v>
      </c>
      <c r="I39" s="6">
        <v>57</v>
      </c>
      <c r="J39" s="6">
        <v>54</v>
      </c>
      <c r="K39" s="6">
        <v>60</v>
      </c>
      <c r="L39" s="6">
        <v>39</v>
      </c>
      <c r="M39" s="6">
        <v>4</v>
      </c>
      <c r="N39" s="1">
        <f t="shared" ref="N39:N67" si="3">SUBTOTAL(9,H39:M39)</f>
        <v>286</v>
      </c>
      <c r="O39" s="14">
        <f t="shared" ref="O39:O67" si="4">N39/6</f>
        <v>47.666666666666664</v>
      </c>
      <c r="P39" s="20">
        <f t="shared" ref="P39:P67" si="5">RANK(O39,O$7:O$310,0)</f>
        <v>33</v>
      </c>
    </row>
    <row r="40" spans="1:16" ht="18" customHeight="1">
      <c r="A40" s="19">
        <v>34</v>
      </c>
      <c r="B40" s="2" t="s">
        <v>3480</v>
      </c>
      <c r="C40" s="1">
        <v>311240410</v>
      </c>
      <c r="D40" s="3" t="s">
        <v>3481</v>
      </c>
      <c r="E40" s="1" t="s">
        <v>74</v>
      </c>
      <c r="F40" s="10" t="s">
        <v>3369</v>
      </c>
      <c r="G40" s="2">
        <v>23</v>
      </c>
      <c r="H40" s="6">
        <v>65</v>
      </c>
      <c r="I40" s="6">
        <v>48</v>
      </c>
      <c r="J40" s="6">
        <v>36</v>
      </c>
      <c r="K40" s="6">
        <v>68</v>
      </c>
      <c r="L40" s="6">
        <v>42</v>
      </c>
      <c r="M40" s="6">
        <v>24</v>
      </c>
      <c r="N40" s="1">
        <f t="shared" si="3"/>
        <v>283</v>
      </c>
      <c r="O40" s="14">
        <f t="shared" si="4"/>
        <v>47.166666666666664</v>
      </c>
      <c r="P40" s="20">
        <f t="shared" si="5"/>
        <v>34</v>
      </c>
    </row>
    <row r="41" spans="1:16" ht="18" customHeight="1">
      <c r="A41" s="19">
        <v>35</v>
      </c>
      <c r="B41" s="2" t="s">
        <v>3482</v>
      </c>
      <c r="C41" s="1" t="s">
        <v>3483</v>
      </c>
      <c r="D41" s="3" t="s">
        <v>355</v>
      </c>
      <c r="E41" s="1" t="s">
        <v>64</v>
      </c>
      <c r="F41" s="10" t="s">
        <v>3369</v>
      </c>
      <c r="G41" s="2">
        <v>23</v>
      </c>
      <c r="H41" s="6">
        <v>86</v>
      </c>
      <c r="I41" s="6">
        <v>66</v>
      </c>
      <c r="J41" s="6">
        <v>17</v>
      </c>
      <c r="K41" s="6">
        <v>64</v>
      </c>
      <c r="L41" s="6">
        <v>33</v>
      </c>
      <c r="M41" s="6">
        <v>17</v>
      </c>
      <c r="N41" s="1">
        <f t="shared" si="3"/>
        <v>283</v>
      </c>
      <c r="O41" s="14">
        <f t="shared" si="4"/>
        <v>47.166666666666664</v>
      </c>
      <c r="P41" s="20">
        <f t="shared" si="5"/>
        <v>34</v>
      </c>
    </row>
    <row r="42" spans="1:16" ht="18" customHeight="1">
      <c r="A42" s="19">
        <v>36</v>
      </c>
      <c r="B42" s="2" t="s">
        <v>3379</v>
      </c>
      <c r="C42" s="1" t="s">
        <v>3380</v>
      </c>
      <c r="D42" s="3" t="s">
        <v>3381</v>
      </c>
      <c r="E42" s="1" t="s">
        <v>55</v>
      </c>
      <c r="F42" s="10" t="s">
        <v>3369</v>
      </c>
      <c r="G42" s="2">
        <v>21</v>
      </c>
      <c r="H42" s="6">
        <v>50</v>
      </c>
      <c r="I42" s="6">
        <v>72</v>
      </c>
      <c r="J42" s="6">
        <v>9</v>
      </c>
      <c r="K42" s="6">
        <v>100</v>
      </c>
      <c r="L42" s="6">
        <v>48</v>
      </c>
      <c r="M42" s="6"/>
      <c r="N42" s="1">
        <f t="shared" si="3"/>
        <v>279</v>
      </c>
      <c r="O42" s="14">
        <f t="shared" si="4"/>
        <v>46.5</v>
      </c>
      <c r="P42" s="20">
        <f t="shared" si="5"/>
        <v>36</v>
      </c>
    </row>
    <row r="43" spans="1:16" ht="18" customHeight="1">
      <c r="A43" s="19">
        <v>37</v>
      </c>
      <c r="B43" s="2" t="s">
        <v>3413</v>
      </c>
      <c r="C43" s="1" t="s">
        <v>3414</v>
      </c>
      <c r="D43" s="3" t="s">
        <v>3415</v>
      </c>
      <c r="E43" s="1" t="s">
        <v>72</v>
      </c>
      <c r="F43" s="10" t="s">
        <v>3369</v>
      </c>
      <c r="G43" s="2">
        <v>21</v>
      </c>
      <c r="H43" s="6">
        <v>86</v>
      </c>
      <c r="I43" s="6">
        <v>52</v>
      </c>
      <c r="J43" s="6">
        <v>58</v>
      </c>
      <c r="K43" s="6">
        <v>54</v>
      </c>
      <c r="L43" s="6">
        <v>17</v>
      </c>
      <c r="M43" s="6">
        <v>9</v>
      </c>
      <c r="N43" s="1">
        <f t="shared" si="3"/>
        <v>276</v>
      </c>
      <c r="O43" s="14">
        <f t="shared" si="4"/>
        <v>46</v>
      </c>
      <c r="P43" s="20">
        <f t="shared" si="5"/>
        <v>37</v>
      </c>
    </row>
    <row r="44" spans="1:16" ht="18" customHeight="1">
      <c r="A44" s="19">
        <v>38</v>
      </c>
      <c r="B44" s="2" t="s">
        <v>3512</v>
      </c>
      <c r="C44" s="1" t="s">
        <v>3513</v>
      </c>
      <c r="D44" s="3" t="s">
        <v>3514</v>
      </c>
      <c r="E44" s="1" t="s">
        <v>67</v>
      </c>
      <c r="F44" s="10" t="s">
        <v>3369</v>
      </c>
      <c r="G44" s="2">
        <v>23</v>
      </c>
      <c r="H44" s="6">
        <v>72</v>
      </c>
      <c r="I44" s="6">
        <v>45</v>
      </c>
      <c r="J44" s="6">
        <v>13</v>
      </c>
      <c r="K44" s="6">
        <v>58</v>
      </c>
      <c r="L44" s="6">
        <v>44</v>
      </c>
      <c r="M44" s="6">
        <v>42</v>
      </c>
      <c r="N44" s="1">
        <f t="shared" si="3"/>
        <v>274</v>
      </c>
      <c r="O44" s="14">
        <f t="shared" si="4"/>
        <v>45.666666666666664</v>
      </c>
      <c r="P44" s="20">
        <f t="shared" si="5"/>
        <v>38</v>
      </c>
    </row>
    <row r="45" spans="1:16" ht="18" customHeight="1">
      <c r="A45" s="19">
        <v>39</v>
      </c>
      <c r="B45" s="2" t="s">
        <v>3376</v>
      </c>
      <c r="C45" s="1" t="s">
        <v>3377</v>
      </c>
      <c r="D45" s="3" t="s">
        <v>3378</v>
      </c>
      <c r="E45" s="1" t="s">
        <v>69</v>
      </c>
      <c r="F45" s="10" t="s">
        <v>3369</v>
      </c>
      <c r="G45" s="2">
        <v>21</v>
      </c>
      <c r="H45" s="6">
        <v>72</v>
      </c>
      <c r="I45" s="6">
        <v>48</v>
      </c>
      <c r="J45" s="6">
        <v>25</v>
      </c>
      <c r="K45" s="6">
        <v>72</v>
      </c>
      <c r="L45" s="6">
        <v>33</v>
      </c>
      <c r="M45" s="6">
        <v>22</v>
      </c>
      <c r="N45" s="1">
        <f t="shared" si="3"/>
        <v>272</v>
      </c>
      <c r="O45" s="14">
        <f t="shared" si="4"/>
        <v>45.333333333333336</v>
      </c>
      <c r="P45" s="20">
        <f t="shared" si="5"/>
        <v>39</v>
      </c>
    </row>
    <row r="46" spans="1:16" ht="18" customHeight="1">
      <c r="A46" s="19">
        <v>40</v>
      </c>
      <c r="B46" s="2" t="s">
        <v>3366</v>
      </c>
      <c r="C46" s="1" t="s">
        <v>3367</v>
      </c>
      <c r="D46" s="3" t="s">
        <v>3368</v>
      </c>
      <c r="E46" s="1" t="s">
        <v>84</v>
      </c>
      <c r="F46" s="10" t="s">
        <v>3369</v>
      </c>
      <c r="G46" s="2">
        <v>20</v>
      </c>
      <c r="H46" s="6">
        <v>93</v>
      </c>
      <c r="I46" s="6">
        <v>32</v>
      </c>
      <c r="J46" s="6">
        <v>40</v>
      </c>
      <c r="K46" s="6">
        <v>64</v>
      </c>
      <c r="L46" s="6">
        <v>17</v>
      </c>
      <c r="M46" s="6">
        <v>24</v>
      </c>
      <c r="N46" s="1">
        <f t="shared" si="3"/>
        <v>270</v>
      </c>
      <c r="O46" s="14">
        <f t="shared" si="4"/>
        <v>45</v>
      </c>
      <c r="P46" s="20">
        <f t="shared" si="5"/>
        <v>40</v>
      </c>
    </row>
    <row r="47" spans="1:16" ht="18" customHeight="1">
      <c r="A47" s="19">
        <v>41</v>
      </c>
      <c r="B47" s="2" t="s">
        <v>3416</v>
      </c>
      <c r="C47" s="1" t="s">
        <v>3417</v>
      </c>
      <c r="D47" s="3" t="s">
        <v>3418</v>
      </c>
      <c r="E47" s="1" t="s">
        <v>72</v>
      </c>
      <c r="F47" s="10" t="s">
        <v>3369</v>
      </c>
      <c r="G47" s="2">
        <v>21</v>
      </c>
      <c r="H47" s="6">
        <v>86</v>
      </c>
      <c r="I47" s="6">
        <v>62</v>
      </c>
      <c r="J47" s="6">
        <v>0</v>
      </c>
      <c r="K47" s="6">
        <v>58</v>
      </c>
      <c r="L47" s="6">
        <v>39</v>
      </c>
      <c r="M47" s="6">
        <v>19</v>
      </c>
      <c r="N47" s="1">
        <f t="shared" si="3"/>
        <v>264</v>
      </c>
      <c r="O47" s="14">
        <f t="shared" si="4"/>
        <v>44</v>
      </c>
      <c r="P47" s="20">
        <f t="shared" si="5"/>
        <v>41</v>
      </c>
    </row>
    <row r="48" spans="1:16" ht="18" customHeight="1">
      <c r="A48" s="19">
        <v>42</v>
      </c>
      <c r="B48" s="2" t="s">
        <v>3373</v>
      </c>
      <c r="C48" s="1" t="s">
        <v>3374</v>
      </c>
      <c r="D48" s="3" t="s">
        <v>3375</v>
      </c>
      <c r="E48" s="1" t="s">
        <v>69</v>
      </c>
      <c r="F48" s="10" t="s">
        <v>3369</v>
      </c>
      <c r="G48" s="2">
        <v>21</v>
      </c>
      <c r="H48" s="6">
        <v>65</v>
      </c>
      <c r="I48" s="6">
        <v>41</v>
      </c>
      <c r="J48" s="6">
        <v>37</v>
      </c>
      <c r="K48" s="6">
        <v>68</v>
      </c>
      <c r="L48" s="6">
        <v>28</v>
      </c>
      <c r="M48" s="6">
        <v>16</v>
      </c>
      <c r="N48" s="1">
        <f t="shared" si="3"/>
        <v>255</v>
      </c>
      <c r="O48" s="14">
        <f t="shared" si="4"/>
        <v>42.5</v>
      </c>
      <c r="P48" s="20">
        <f t="shared" si="5"/>
        <v>42</v>
      </c>
    </row>
    <row r="49" spans="1:16" ht="18" customHeight="1">
      <c r="A49" s="19">
        <v>43</v>
      </c>
      <c r="B49" s="2" t="s">
        <v>3515</v>
      </c>
      <c r="C49" s="1" t="s">
        <v>3516</v>
      </c>
      <c r="D49" s="3" t="s">
        <v>3517</v>
      </c>
      <c r="E49" s="1" t="s">
        <v>67</v>
      </c>
      <c r="F49" s="10" t="s">
        <v>3369</v>
      </c>
      <c r="G49" s="2">
        <v>23</v>
      </c>
      <c r="H49" s="6">
        <v>15</v>
      </c>
      <c r="I49" s="6">
        <v>72</v>
      </c>
      <c r="J49" s="6">
        <v>18</v>
      </c>
      <c r="K49" s="6">
        <v>76</v>
      </c>
      <c r="L49" s="6">
        <v>44</v>
      </c>
      <c r="M49" s="6">
        <v>29</v>
      </c>
      <c r="N49" s="1">
        <f t="shared" si="3"/>
        <v>254</v>
      </c>
      <c r="O49" s="14">
        <f t="shared" si="4"/>
        <v>42.333333333333336</v>
      </c>
      <c r="P49" s="20">
        <f t="shared" si="5"/>
        <v>43</v>
      </c>
    </row>
    <row r="50" spans="1:16" ht="18" customHeight="1">
      <c r="A50" s="19">
        <v>44</v>
      </c>
      <c r="B50" s="2" t="s">
        <v>3520</v>
      </c>
      <c r="C50" s="1" t="s">
        <v>3521</v>
      </c>
      <c r="D50" s="3" t="s">
        <v>3522</v>
      </c>
      <c r="E50" s="1" t="s">
        <v>76</v>
      </c>
      <c r="F50" s="10" t="s">
        <v>3369</v>
      </c>
      <c r="G50" s="2">
        <v>23</v>
      </c>
      <c r="H50" s="6">
        <v>72</v>
      </c>
      <c r="I50" s="6">
        <v>40</v>
      </c>
      <c r="J50" s="6">
        <v>36</v>
      </c>
      <c r="K50" s="6">
        <v>41</v>
      </c>
      <c r="L50" s="6">
        <v>40</v>
      </c>
      <c r="M50" s="6">
        <v>21</v>
      </c>
      <c r="N50" s="1">
        <f t="shared" si="3"/>
        <v>250</v>
      </c>
      <c r="O50" s="14">
        <f t="shared" si="4"/>
        <v>41.666666666666664</v>
      </c>
      <c r="P50" s="20">
        <f t="shared" si="5"/>
        <v>44</v>
      </c>
    </row>
    <row r="51" spans="1:16" ht="18" customHeight="1">
      <c r="A51" s="19">
        <v>45</v>
      </c>
      <c r="B51" s="2" t="s">
        <v>3447</v>
      </c>
      <c r="C51" s="1">
        <v>311240405</v>
      </c>
      <c r="D51" s="3" t="s">
        <v>3448</v>
      </c>
      <c r="E51" s="1" t="s">
        <v>80</v>
      </c>
      <c r="F51" s="10" t="s">
        <v>3369</v>
      </c>
      <c r="G51" s="2">
        <v>22</v>
      </c>
      <c r="H51" s="6">
        <v>57</v>
      </c>
      <c r="I51" s="6">
        <v>39</v>
      </c>
      <c r="J51" s="6">
        <v>32</v>
      </c>
      <c r="K51" s="6">
        <v>64</v>
      </c>
      <c r="L51" s="6">
        <v>31</v>
      </c>
      <c r="M51" s="6">
        <v>22</v>
      </c>
      <c r="N51" s="1">
        <f t="shared" si="3"/>
        <v>245</v>
      </c>
      <c r="O51" s="14">
        <f t="shared" si="4"/>
        <v>40.833333333333336</v>
      </c>
      <c r="P51" s="20">
        <f t="shared" si="5"/>
        <v>45</v>
      </c>
    </row>
    <row r="52" spans="1:16" ht="18" customHeight="1">
      <c r="A52" s="19">
        <v>46</v>
      </c>
      <c r="B52" s="2" t="s">
        <v>3404</v>
      </c>
      <c r="C52" s="1" t="s">
        <v>3405</v>
      </c>
      <c r="D52" s="3" t="s">
        <v>3406</v>
      </c>
      <c r="E52" s="1" t="s">
        <v>70</v>
      </c>
      <c r="F52" s="10" t="s">
        <v>3369</v>
      </c>
      <c r="G52" s="2">
        <v>21</v>
      </c>
      <c r="H52" s="6">
        <v>72</v>
      </c>
      <c r="I52" s="6">
        <v>18</v>
      </c>
      <c r="J52" s="6">
        <v>18</v>
      </c>
      <c r="K52" s="6">
        <v>46</v>
      </c>
      <c r="L52" s="6">
        <v>48</v>
      </c>
      <c r="M52" s="6">
        <v>40</v>
      </c>
      <c r="N52" s="1">
        <f t="shared" si="3"/>
        <v>242</v>
      </c>
      <c r="O52" s="14">
        <f t="shared" si="4"/>
        <v>40.333333333333336</v>
      </c>
      <c r="P52" s="20">
        <f t="shared" si="5"/>
        <v>46</v>
      </c>
    </row>
    <row r="53" spans="1:16" ht="18" customHeight="1">
      <c r="A53" s="19">
        <v>47</v>
      </c>
      <c r="B53" s="2" t="s">
        <v>3391</v>
      </c>
      <c r="C53" s="1" t="s">
        <v>3392</v>
      </c>
      <c r="D53" s="3" t="s">
        <v>3393</v>
      </c>
      <c r="E53" s="1" t="s">
        <v>79</v>
      </c>
      <c r="F53" s="10" t="s">
        <v>3369</v>
      </c>
      <c r="G53" s="2">
        <v>21</v>
      </c>
      <c r="H53" s="6">
        <v>50</v>
      </c>
      <c r="I53" s="6">
        <v>46</v>
      </c>
      <c r="J53" s="6">
        <v>27</v>
      </c>
      <c r="K53" s="6">
        <v>52</v>
      </c>
      <c r="L53" s="6">
        <v>50</v>
      </c>
      <c r="M53" s="6">
        <v>14</v>
      </c>
      <c r="N53" s="1">
        <f t="shared" si="3"/>
        <v>239</v>
      </c>
      <c r="O53" s="14">
        <f t="shared" si="4"/>
        <v>39.833333333333336</v>
      </c>
      <c r="P53" s="20">
        <f t="shared" si="5"/>
        <v>47</v>
      </c>
    </row>
    <row r="54" spans="1:16" ht="18" customHeight="1">
      <c r="A54" s="19">
        <v>48</v>
      </c>
      <c r="B54" s="2" t="s">
        <v>3477</v>
      </c>
      <c r="C54" s="1" t="s">
        <v>3478</v>
      </c>
      <c r="D54" s="3" t="s">
        <v>3479</v>
      </c>
      <c r="E54" s="1" t="s">
        <v>74</v>
      </c>
      <c r="F54" s="10" t="s">
        <v>3369</v>
      </c>
      <c r="G54" s="2">
        <v>22</v>
      </c>
      <c r="H54" s="6">
        <v>72.900000000000006</v>
      </c>
      <c r="I54" s="6">
        <v>50</v>
      </c>
      <c r="J54" s="6">
        <v>19</v>
      </c>
      <c r="K54" s="6">
        <v>60</v>
      </c>
      <c r="L54" s="6">
        <v>20</v>
      </c>
      <c r="M54" s="6">
        <v>16</v>
      </c>
      <c r="N54" s="1">
        <f t="shared" si="3"/>
        <v>237.9</v>
      </c>
      <c r="O54" s="14">
        <f t="shared" si="4"/>
        <v>39.65</v>
      </c>
      <c r="P54" s="20">
        <f t="shared" si="5"/>
        <v>48</v>
      </c>
    </row>
    <row r="55" spans="1:16" ht="18" customHeight="1">
      <c r="A55" s="19">
        <v>49</v>
      </c>
      <c r="B55" s="2" t="s">
        <v>3452</v>
      </c>
      <c r="C55" s="1">
        <v>311240406</v>
      </c>
      <c r="D55" s="3" t="s">
        <v>3453</v>
      </c>
      <c r="E55" s="1" t="s">
        <v>81</v>
      </c>
      <c r="F55" s="10" t="s">
        <v>3369</v>
      </c>
      <c r="G55" s="2">
        <v>22</v>
      </c>
      <c r="H55" s="6">
        <v>65</v>
      </c>
      <c r="I55" s="6">
        <v>33</v>
      </c>
      <c r="J55" s="6">
        <v>25</v>
      </c>
      <c r="K55" s="6">
        <v>52</v>
      </c>
      <c r="L55" s="6">
        <v>36</v>
      </c>
      <c r="M55" s="6">
        <v>13</v>
      </c>
      <c r="N55" s="1">
        <f t="shared" si="3"/>
        <v>224</v>
      </c>
      <c r="O55" s="14">
        <f t="shared" si="4"/>
        <v>37.333333333333336</v>
      </c>
      <c r="P55" s="20">
        <f t="shared" si="5"/>
        <v>49</v>
      </c>
    </row>
    <row r="56" spans="1:16" ht="18" customHeight="1">
      <c r="A56" s="19">
        <v>50</v>
      </c>
      <c r="B56" s="2" t="s">
        <v>3491</v>
      </c>
      <c r="C56" s="1" t="s">
        <v>3492</v>
      </c>
      <c r="D56" s="3" t="s">
        <v>3493</v>
      </c>
      <c r="E56" s="1" t="s">
        <v>90</v>
      </c>
      <c r="F56" s="10" t="s">
        <v>3369</v>
      </c>
      <c r="G56" s="2">
        <v>23</v>
      </c>
      <c r="H56" s="6">
        <v>93</v>
      </c>
      <c r="I56" s="6">
        <v>17</v>
      </c>
      <c r="J56" s="6">
        <v>41</v>
      </c>
      <c r="K56" s="6">
        <v>60</v>
      </c>
      <c r="L56" s="6">
        <v>4</v>
      </c>
      <c r="M56" s="6">
        <v>4</v>
      </c>
      <c r="N56" s="1">
        <f t="shared" si="3"/>
        <v>219</v>
      </c>
      <c r="O56" s="14">
        <f t="shared" si="4"/>
        <v>36.5</v>
      </c>
      <c r="P56" s="20">
        <f t="shared" si="5"/>
        <v>50</v>
      </c>
    </row>
    <row r="57" spans="1:16" ht="18" customHeight="1">
      <c r="A57" s="19">
        <v>51</v>
      </c>
      <c r="B57" s="2" t="s">
        <v>3396</v>
      </c>
      <c r="C57" s="1" t="s">
        <v>3397</v>
      </c>
      <c r="D57" s="3" t="s">
        <v>3398</v>
      </c>
      <c r="E57" s="1" t="s">
        <v>79</v>
      </c>
      <c r="F57" s="10" t="s">
        <v>3369</v>
      </c>
      <c r="G57" s="2">
        <v>21</v>
      </c>
      <c r="H57" s="6">
        <v>65</v>
      </c>
      <c r="I57" s="6">
        <v>22</v>
      </c>
      <c r="J57" s="6">
        <v>27</v>
      </c>
      <c r="K57" s="6">
        <v>46</v>
      </c>
      <c r="L57" s="6">
        <v>21</v>
      </c>
      <c r="M57" s="6">
        <v>17</v>
      </c>
      <c r="N57" s="1">
        <f t="shared" si="3"/>
        <v>198</v>
      </c>
      <c r="O57" s="14">
        <f t="shared" si="4"/>
        <v>33</v>
      </c>
      <c r="P57" s="20">
        <f t="shared" si="5"/>
        <v>51</v>
      </c>
    </row>
    <row r="58" spans="1:16" ht="18" customHeight="1">
      <c r="A58" s="19">
        <v>52</v>
      </c>
      <c r="B58" s="2" t="s">
        <v>3438</v>
      </c>
      <c r="C58" s="1">
        <v>311240437</v>
      </c>
      <c r="D58" s="3" t="s">
        <v>3439</v>
      </c>
      <c r="E58" s="1" t="s">
        <v>61</v>
      </c>
      <c r="F58" s="10" t="s">
        <v>3369</v>
      </c>
      <c r="G58" s="2">
        <v>22</v>
      </c>
      <c r="H58" s="6">
        <v>29</v>
      </c>
      <c r="I58" s="6">
        <v>25</v>
      </c>
      <c r="J58" s="6">
        <v>23</v>
      </c>
      <c r="K58" s="6">
        <v>58</v>
      </c>
      <c r="L58" s="6">
        <v>16</v>
      </c>
      <c r="M58" s="6">
        <v>40</v>
      </c>
      <c r="N58" s="1">
        <f t="shared" si="3"/>
        <v>191</v>
      </c>
      <c r="O58" s="14">
        <f t="shared" si="4"/>
        <v>31.833333333333332</v>
      </c>
      <c r="P58" s="20">
        <f t="shared" si="5"/>
        <v>52</v>
      </c>
    </row>
    <row r="59" spans="1:16" ht="18" customHeight="1">
      <c r="A59" s="19">
        <v>53</v>
      </c>
      <c r="B59" s="2" t="s">
        <v>3503</v>
      </c>
      <c r="C59" s="1" t="s">
        <v>3504</v>
      </c>
      <c r="D59" s="3" t="s">
        <v>3505</v>
      </c>
      <c r="E59" s="1" t="s">
        <v>2075</v>
      </c>
      <c r="F59" s="10" t="s">
        <v>3369</v>
      </c>
      <c r="G59" s="2">
        <v>23</v>
      </c>
      <c r="H59" s="6">
        <v>50</v>
      </c>
      <c r="I59" s="6">
        <v>22</v>
      </c>
      <c r="J59" s="6">
        <v>22</v>
      </c>
      <c r="K59" s="6">
        <v>52</v>
      </c>
      <c r="L59" s="6">
        <v>30</v>
      </c>
      <c r="M59" s="6">
        <v>15</v>
      </c>
      <c r="N59" s="1">
        <f t="shared" si="3"/>
        <v>191</v>
      </c>
      <c r="O59" s="14">
        <f t="shared" si="4"/>
        <v>31.833333333333332</v>
      </c>
      <c r="P59" s="20">
        <f t="shared" si="5"/>
        <v>52</v>
      </c>
    </row>
    <row r="60" spans="1:16" ht="18" customHeight="1">
      <c r="A60" s="19">
        <v>54</v>
      </c>
      <c r="B60" s="2" t="s">
        <v>3425</v>
      </c>
      <c r="C60" s="1">
        <v>311240420</v>
      </c>
      <c r="D60" s="3" t="s">
        <v>3426</v>
      </c>
      <c r="E60" s="1" t="s">
        <v>58</v>
      </c>
      <c r="F60" s="10" t="s">
        <v>3369</v>
      </c>
      <c r="G60" s="2">
        <v>22</v>
      </c>
      <c r="H60" s="6">
        <v>22</v>
      </c>
      <c r="I60" s="6">
        <v>32</v>
      </c>
      <c r="J60" s="6">
        <v>23</v>
      </c>
      <c r="K60" s="6">
        <v>64</v>
      </c>
      <c r="L60" s="6">
        <v>25</v>
      </c>
      <c r="M60" s="6">
        <v>4</v>
      </c>
      <c r="N60" s="1">
        <f t="shared" si="3"/>
        <v>170</v>
      </c>
      <c r="O60" s="14">
        <f t="shared" si="4"/>
        <v>28.333333333333332</v>
      </c>
      <c r="P60" s="20">
        <f t="shared" si="5"/>
        <v>54</v>
      </c>
    </row>
    <row r="61" spans="1:16" ht="18" customHeight="1">
      <c r="A61" s="19">
        <v>55</v>
      </c>
      <c r="B61" s="2" t="s">
        <v>3486</v>
      </c>
      <c r="C61" s="1">
        <v>311230105</v>
      </c>
      <c r="D61" s="3" t="s">
        <v>3487</v>
      </c>
      <c r="E61" s="1" t="s">
        <v>78</v>
      </c>
      <c r="F61" s="10" t="s">
        <v>3369</v>
      </c>
      <c r="G61" s="2">
        <v>23</v>
      </c>
      <c r="H61" s="6">
        <v>50</v>
      </c>
      <c r="I61" s="6">
        <v>17</v>
      </c>
      <c r="J61" s="6">
        <v>18</v>
      </c>
      <c r="K61" s="6">
        <v>56</v>
      </c>
      <c r="L61" s="6">
        <v>8</v>
      </c>
      <c r="M61" s="6">
        <v>17</v>
      </c>
      <c r="N61" s="1">
        <f t="shared" si="3"/>
        <v>166</v>
      </c>
      <c r="O61" s="14">
        <f t="shared" si="4"/>
        <v>27.666666666666668</v>
      </c>
      <c r="P61" s="20">
        <f t="shared" si="5"/>
        <v>55</v>
      </c>
    </row>
    <row r="62" spans="1:16" ht="18" customHeight="1">
      <c r="A62" s="19">
        <v>56</v>
      </c>
      <c r="B62" s="2" t="s">
        <v>3509</v>
      </c>
      <c r="C62" s="1" t="s">
        <v>3510</v>
      </c>
      <c r="D62" s="3" t="s">
        <v>3511</v>
      </c>
      <c r="E62" s="1" t="s">
        <v>67</v>
      </c>
      <c r="F62" s="10" t="s">
        <v>3369</v>
      </c>
      <c r="G62" s="2">
        <v>23</v>
      </c>
      <c r="H62" s="6">
        <v>36</v>
      </c>
      <c r="I62" s="6">
        <v>32</v>
      </c>
      <c r="J62" s="6">
        <v>28</v>
      </c>
      <c r="K62" s="6">
        <v>40</v>
      </c>
      <c r="L62" s="6">
        <v>18</v>
      </c>
      <c r="M62" s="6">
        <v>12</v>
      </c>
      <c r="N62" s="1">
        <f t="shared" si="3"/>
        <v>166</v>
      </c>
      <c r="O62" s="14">
        <f t="shared" si="4"/>
        <v>27.666666666666668</v>
      </c>
      <c r="P62" s="20">
        <f t="shared" si="5"/>
        <v>55</v>
      </c>
    </row>
    <row r="63" spans="1:16" ht="18" customHeight="1">
      <c r="A63" s="19">
        <v>57</v>
      </c>
      <c r="B63" s="2" t="s">
        <v>3436</v>
      </c>
      <c r="C63" s="1">
        <v>311240423</v>
      </c>
      <c r="D63" s="3" t="s">
        <v>3437</v>
      </c>
      <c r="E63" s="1" t="s">
        <v>60</v>
      </c>
      <c r="F63" s="10" t="s">
        <v>3369</v>
      </c>
      <c r="G63" s="2">
        <v>22</v>
      </c>
      <c r="H63" s="6">
        <v>65</v>
      </c>
      <c r="I63" s="6">
        <v>0</v>
      </c>
      <c r="J63" s="6">
        <v>14</v>
      </c>
      <c r="K63" s="6">
        <v>60</v>
      </c>
      <c r="L63" s="6">
        <v>8</v>
      </c>
      <c r="M63" s="6">
        <v>13</v>
      </c>
      <c r="N63" s="1">
        <f t="shared" si="3"/>
        <v>160</v>
      </c>
      <c r="O63" s="14">
        <f t="shared" si="4"/>
        <v>26.666666666666668</v>
      </c>
      <c r="P63" s="20">
        <f t="shared" si="5"/>
        <v>57</v>
      </c>
    </row>
    <row r="64" spans="1:16" ht="18" customHeight="1">
      <c r="A64" s="19">
        <v>58</v>
      </c>
      <c r="B64" s="2" t="s">
        <v>3407</v>
      </c>
      <c r="C64" s="1">
        <v>311220693</v>
      </c>
      <c r="D64" s="3" t="s">
        <v>3408</v>
      </c>
      <c r="E64" s="1" t="s">
        <v>56</v>
      </c>
      <c r="F64" s="10" t="s">
        <v>3369</v>
      </c>
      <c r="G64" s="2">
        <v>21</v>
      </c>
      <c r="H64" s="6"/>
      <c r="I64" s="6"/>
      <c r="J64" s="6"/>
      <c r="K64" s="6"/>
      <c r="L64" s="6"/>
      <c r="M64" s="6"/>
      <c r="N64" s="1">
        <f t="shared" si="3"/>
        <v>0</v>
      </c>
      <c r="O64" s="14">
        <f t="shared" si="4"/>
        <v>0</v>
      </c>
      <c r="P64" s="20">
        <f t="shared" si="5"/>
        <v>58</v>
      </c>
    </row>
    <row r="65" spans="1:16" ht="18" customHeight="1">
      <c r="A65" s="19">
        <v>59</v>
      </c>
      <c r="B65" s="2" t="s">
        <v>3529</v>
      </c>
      <c r="C65" s="1">
        <v>311260949</v>
      </c>
      <c r="D65" s="3" t="s">
        <v>3530</v>
      </c>
      <c r="E65" s="1" t="s">
        <v>73</v>
      </c>
      <c r="F65" s="10" t="s">
        <v>3369</v>
      </c>
      <c r="G65" s="2">
        <v>23</v>
      </c>
      <c r="H65" s="6"/>
      <c r="I65" s="6"/>
      <c r="J65" s="6"/>
      <c r="K65" s="6"/>
      <c r="L65" s="6"/>
      <c r="M65" s="6"/>
      <c r="N65" s="1">
        <f t="shared" si="3"/>
        <v>0</v>
      </c>
      <c r="O65" s="14">
        <f t="shared" si="4"/>
        <v>0</v>
      </c>
      <c r="P65" s="20">
        <f t="shared" si="5"/>
        <v>58</v>
      </c>
    </row>
    <row r="66" spans="1:16" ht="18" customHeight="1">
      <c r="A66" s="19">
        <v>60</v>
      </c>
      <c r="B66" s="2" t="s">
        <v>3494</v>
      </c>
      <c r="C66" s="1">
        <v>311220937</v>
      </c>
      <c r="D66" s="3" t="s">
        <v>3495</v>
      </c>
      <c r="E66" s="1" t="s">
        <v>90</v>
      </c>
      <c r="F66" s="10" t="s">
        <v>3369</v>
      </c>
      <c r="G66" s="2">
        <v>23</v>
      </c>
      <c r="H66" s="6"/>
      <c r="I66" s="6"/>
      <c r="J66" s="6"/>
      <c r="K66" s="6"/>
      <c r="L66" s="6"/>
      <c r="M66" s="6"/>
      <c r="N66" s="1">
        <f t="shared" si="3"/>
        <v>0</v>
      </c>
      <c r="O66" s="14">
        <f t="shared" si="4"/>
        <v>0</v>
      </c>
      <c r="P66" s="20">
        <f t="shared" si="5"/>
        <v>58</v>
      </c>
    </row>
    <row r="67" spans="1:16" ht="18" customHeight="1">
      <c r="A67" s="19">
        <v>61</v>
      </c>
      <c r="B67" s="28" t="s">
        <v>3499</v>
      </c>
      <c r="C67" s="29" t="s">
        <v>3500</v>
      </c>
      <c r="D67" s="30" t="s">
        <v>3501</v>
      </c>
      <c r="E67" s="29" t="s">
        <v>3502</v>
      </c>
      <c r="F67" s="31" t="s">
        <v>3369</v>
      </c>
      <c r="G67" s="28">
        <v>23</v>
      </c>
      <c r="H67" s="46"/>
      <c r="I67" s="46"/>
      <c r="J67" s="46"/>
      <c r="K67" s="46"/>
      <c r="L67" s="46"/>
      <c r="M67" s="46"/>
      <c r="N67" s="29">
        <f t="shared" si="3"/>
        <v>0</v>
      </c>
      <c r="O67" s="41">
        <f t="shared" si="4"/>
        <v>0</v>
      </c>
      <c r="P67" s="33">
        <f t="shared" si="5"/>
        <v>58</v>
      </c>
    </row>
  </sheetData>
  <mergeCells count="4">
    <mergeCell ref="A1:P1"/>
    <mergeCell ref="A2:P2"/>
    <mergeCell ref="A3:P3"/>
    <mergeCell ref="A5:B5"/>
  </mergeCells>
  <conditionalFormatting sqref="H7:M7">
    <cfRule type="expression" dxfId="4971" priority="243">
      <formula>5</formula>
    </cfRule>
    <cfRule type="cellIs" dxfId="4970" priority="244" operator="lessThan">
      <formula>5</formula>
    </cfRule>
  </conditionalFormatting>
  <conditionalFormatting sqref="H7:M7">
    <cfRule type="cellIs" dxfId="4969" priority="242" operator="lessThan">
      <formula>50</formula>
    </cfRule>
  </conditionalFormatting>
  <conditionalFormatting sqref="O7">
    <cfRule type="cellIs" dxfId="4968" priority="241" operator="lessThan">
      <formula>50</formula>
    </cfRule>
  </conditionalFormatting>
  <conditionalFormatting sqref="H8:M8">
    <cfRule type="expression" dxfId="4967" priority="239">
      <formula>5</formula>
    </cfRule>
    <cfRule type="cellIs" dxfId="4966" priority="240" operator="lessThan">
      <formula>5</formula>
    </cfRule>
  </conditionalFormatting>
  <conditionalFormatting sqref="H8:M8">
    <cfRule type="cellIs" dxfId="4965" priority="238" operator="lessThan">
      <formula>50</formula>
    </cfRule>
  </conditionalFormatting>
  <conditionalFormatting sqref="O8">
    <cfRule type="cellIs" dxfId="4964" priority="237" operator="lessThan">
      <formula>50</formula>
    </cfRule>
  </conditionalFormatting>
  <conditionalFormatting sqref="H9:M9">
    <cfRule type="expression" dxfId="4963" priority="235">
      <formula>5</formula>
    </cfRule>
    <cfRule type="cellIs" dxfId="4962" priority="236" operator="lessThan">
      <formula>5</formula>
    </cfRule>
  </conditionalFormatting>
  <conditionalFormatting sqref="H9:M9">
    <cfRule type="cellIs" dxfId="4961" priority="234" operator="lessThan">
      <formula>50</formula>
    </cfRule>
  </conditionalFormatting>
  <conditionalFormatting sqref="O9">
    <cfRule type="cellIs" dxfId="4960" priority="233" operator="lessThan">
      <formula>50</formula>
    </cfRule>
  </conditionalFormatting>
  <conditionalFormatting sqref="H10:M10">
    <cfRule type="expression" dxfId="4959" priority="231">
      <formula>5</formula>
    </cfRule>
    <cfRule type="cellIs" dxfId="4958" priority="232" operator="lessThan">
      <formula>5</formula>
    </cfRule>
  </conditionalFormatting>
  <conditionalFormatting sqref="H10:M10">
    <cfRule type="cellIs" dxfId="4957" priority="230" operator="lessThan">
      <formula>50</formula>
    </cfRule>
  </conditionalFormatting>
  <conditionalFormatting sqref="O10">
    <cfRule type="cellIs" dxfId="4956" priority="229" operator="lessThan">
      <formula>50</formula>
    </cfRule>
  </conditionalFormatting>
  <conditionalFormatting sqref="H11:M11">
    <cfRule type="expression" dxfId="4955" priority="227">
      <formula>5</formula>
    </cfRule>
    <cfRule type="cellIs" dxfId="4954" priority="228" operator="lessThan">
      <formula>5</formula>
    </cfRule>
  </conditionalFormatting>
  <conditionalFormatting sqref="H11:M11">
    <cfRule type="cellIs" dxfId="4953" priority="226" operator="lessThan">
      <formula>50</formula>
    </cfRule>
  </conditionalFormatting>
  <conditionalFormatting sqref="O11">
    <cfRule type="cellIs" dxfId="4952" priority="225" operator="lessThan">
      <formula>50</formula>
    </cfRule>
  </conditionalFormatting>
  <conditionalFormatting sqref="H12:M12">
    <cfRule type="expression" dxfId="4951" priority="223">
      <formula>5</formula>
    </cfRule>
    <cfRule type="cellIs" dxfId="4950" priority="224" operator="lessThan">
      <formula>5</formula>
    </cfRule>
  </conditionalFormatting>
  <conditionalFormatting sqref="H12:M12">
    <cfRule type="cellIs" dxfId="4949" priority="222" operator="lessThan">
      <formula>50</formula>
    </cfRule>
  </conditionalFormatting>
  <conditionalFormatting sqref="O12">
    <cfRule type="cellIs" dxfId="4948" priority="221" operator="lessThan">
      <formula>50</formula>
    </cfRule>
  </conditionalFormatting>
  <conditionalFormatting sqref="H13:M13">
    <cfRule type="expression" dxfId="4947" priority="219">
      <formula>5</formula>
    </cfRule>
    <cfRule type="cellIs" dxfId="4946" priority="220" operator="lessThan">
      <formula>5</formula>
    </cfRule>
  </conditionalFormatting>
  <conditionalFormatting sqref="H13:M13">
    <cfRule type="cellIs" dxfId="4945" priority="218" operator="lessThan">
      <formula>50</formula>
    </cfRule>
  </conditionalFormatting>
  <conditionalFormatting sqref="O13">
    <cfRule type="cellIs" dxfId="4944" priority="217" operator="lessThan">
      <formula>50</formula>
    </cfRule>
  </conditionalFormatting>
  <conditionalFormatting sqref="H14:M14">
    <cfRule type="expression" dxfId="4943" priority="215">
      <formula>5</formula>
    </cfRule>
    <cfRule type="cellIs" dxfId="4942" priority="216" operator="lessThan">
      <formula>5</formula>
    </cfRule>
  </conditionalFormatting>
  <conditionalFormatting sqref="H14:M14">
    <cfRule type="cellIs" dxfId="4941" priority="214" operator="lessThan">
      <formula>50</formula>
    </cfRule>
  </conditionalFormatting>
  <conditionalFormatting sqref="O14">
    <cfRule type="cellIs" dxfId="4940" priority="213" operator="lessThan">
      <formula>50</formula>
    </cfRule>
  </conditionalFormatting>
  <conditionalFormatting sqref="H15:M15">
    <cfRule type="expression" dxfId="4939" priority="211">
      <formula>5</formula>
    </cfRule>
    <cfRule type="cellIs" dxfId="4938" priority="212" operator="lessThan">
      <formula>5</formula>
    </cfRule>
  </conditionalFormatting>
  <conditionalFormatting sqref="H15:M15">
    <cfRule type="cellIs" dxfId="4937" priority="210" operator="lessThan">
      <formula>50</formula>
    </cfRule>
  </conditionalFormatting>
  <conditionalFormatting sqref="O15">
    <cfRule type="cellIs" dxfId="4936" priority="209" operator="lessThan">
      <formula>50</formula>
    </cfRule>
  </conditionalFormatting>
  <conditionalFormatting sqref="H16:M16">
    <cfRule type="expression" dxfId="4935" priority="207">
      <formula>5</formula>
    </cfRule>
    <cfRule type="cellIs" dxfId="4934" priority="208" operator="lessThan">
      <formula>5</formula>
    </cfRule>
  </conditionalFormatting>
  <conditionalFormatting sqref="H16:M16">
    <cfRule type="cellIs" dxfId="4933" priority="206" operator="lessThan">
      <formula>50</formula>
    </cfRule>
  </conditionalFormatting>
  <conditionalFormatting sqref="O16">
    <cfRule type="cellIs" dxfId="4932" priority="205" operator="lessThan">
      <formula>50</formula>
    </cfRule>
  </conditionalFormatting>
  <conditionalFormatting sqref="H17:M17">
    <cfRule type="expression" dxfId="4931" priority="203">
      <formula>5</formula>
    </cfRule>
    <cfRule type="cellIs" dxfId="4930" priority="204" operator="lessThan">
      <formula>5</formula>
    </cfRule>
  </conditionalFormatting>
  <conditionalFormatting sqref="H17:M17">
    <cfRule type="cellIs" dxfId="4929" priority="202" operator="lessThan">
      <formula>50</formula>
    </cfRule>
  </conditionalFormatting>
  <conditionalFormatting sqref="O17">
    <cfRule type="cellIs" dxfId="4928" priority="201" operator="lessThan">
      <formula>50</formula>
    </cfRule>
  </conditionalFormatting>
  <conditionalFormatting sqref="H18:M18">
    <cfRule type="expression" dxfId="4927" priority="199">
      <formula>5</formula>
    </cfRule>
    <cfRule type="cellIs" dxfId="4926" priority="200" operator="lessThan">
      <formula>5</formula>
    </cfRule>
  </conditionalFormatting>
  <conditionalFormatting sqref="H18:M18">
    <cfRule type="cellIs" dxfId="4925" priority="198" operator="lessThan">
      <formula>50</formula>
    </cfRule>
  </conditionalFormatting>
  <conditionalFormatting sqref="O18">
    <cfRule type="cellIs" dxfId="4924" priority="197" operator="lessThan">
      <formula>50</formula>
    </cfRule>
  </conditionalFormatting>
  <conditionalFormatting sqref="H19:M19">
    <cfRule type="expression" dxfId="4923" priority="195">
      <formula>5</formula>
    </cfRule>
    <cfRule type="cellIs" dxfId="4922" priority="196" operator="lessThan">
      <formula>5</formula>
    </cfRule>
  </conditionalFormatting>
  <conditionalFormatting sqref="H19:M19">
    <cfRule type="cellIs" dxfId="4921" priority="194" operator="lessThan">
      <formula>50</formula>
    </cfRule>
  </conditionalFormatting>
  <conditionalFormatting sqref="O19">
    <cfRule type="cellIs" dxfId="4920" priority="193" operator="lessThan">
      <formula>50</formula>
    </cfRule>
  </conditionalFormatting>
  <conditionalFormatting sqref="H20:M20">
    <cfRule type="expression" dxfId="4919" priority="191">
      <formula>5</formula>
    </cfRule>
    <cfRule type="cellIs" dxfId="4918" priority="192" operator="lessThan">
      <formula>5</formula>
    </cfRule>
  </conditionalFormatting>
  <conditionalFormatting sqref="H20:M20">
    <cfRule type="cellIs" dxfId="4917" priority="190" operator="lessThan">
      <formula>50</formula>
    </cfRule>
  </conditionalFormatting>
  <conditionalFormatting sqref="O20">
    <cfRule type="cellIs" dxfId="4916" priority="189" operator="lessThan">
      <formula>50</formula>
    </cfRule>
  </conditionalFormatting>
  <conditionalFormatting sqref="H21:M21">
    <cfRule type="expression" dxfId="4915" priority="187">
      <formula>5</formula>
    </cfRule>
    <cfRule type="cellIs" dxfId="4914" priority="188" operator="lessThan">
      <formula>5</formula>
    </cfRule>
  </conditionalFormatting>
  <conditionalFormatting sqref="H21:M21">
    <cfRule type="cellIs" dxfId="4913" priority="186" operator="lessThan">
      <formula>50</formula>
    </cfRule>
  </conditionalFormatting>
  <conditionalFormatting sqref="O21">
    <cfRule type="cellIs" dxfId="4912" priority="185" operator="lessThan">
      <formula>50</formula>
    </cfRule>
  </conditionalFormatting>
  <conditionalFormatting sqref="H22:M22">
    <cfRule type="expression" dxfId="4911" priority="183">
      <formula>5</formula>
    </cfRule>
    <cfRule type="cellIs" dxfId="4910" priority="184" operator="lessThan">
      <formula>5</formula>
    </cfRule>
  </conditionalFormatting>
  <conditionalFormatting sqref="H22:M22">
    <cfRule type="cellIs" dxfId="4909" priority="182" operator="lessThan">
      <formula>50</formula>
    </cfRule>
  </conditionalFormatting>
  <conditionalFormatting sqref="O22">
    <cfRule type="cellIs" dxfId="4908" priority="181" operator="lessThan">
      <formula>50</formula>
    </cfRule>
  </conditionalFormatting>
  <conditionalFormatting sqref="H23:M23">
    <cfRule type="expression" dxfId="4907" priority="179">
      <formula>5</formula>
    </cfRule>
    <cfRule type="cellIs" dxfId="4906" priority="180" operator="lessThan">
      <formula>5</formula>
    </cfRule>
  </conditionalFormatting>
  <conditionalFormatting sqref="H23:M23">
    <cfRule type="cellIs" dxfId="4905" priority="178" operator="lessThan">
      <formula>50</formula>
    </cfRule>
  </conditionalFormatting>
  <conditionalFormatting sqref="O23">
    <cfRule type="cellIs" dxfId="4904" priority="177" operator="lessThan">
      <formula>50</formula>
    </cfRule>
  </conditionalFormatting>
  <conditionalFormatting sqref="H24:M24">
    <cfRule type="expression" dxfId="4903" priority="175">
      <formula>5</formula>
    </cfRule>
    <cfRule type="cellIs" dxfId="4902" priority="176" operator="lessThan">
      <formula>5</formula>
    </cfRule>
  </conditionalFormatting>
  <conditionalFormatting sqref="H24:M24">
    <cfRule type="cellIs" dxfId="4901" priority="174" operator="lessThan">
      <formula>50</formula>
    </cfRule>
  </conditionalFormatting>
  <conditionalFormatting sqref="O24">
    <cfRule type="cellIs" dxfId="4900" priority="173" operator="lessThan">
      <formula>50</formula>
    </cfRule>
  </conditionalFormatting>
  <conditionalFormatting sqref="H25:M25">
    <cfRule type="expression" dxfId="4899" priority="171">
      <formula>5</formula>
    </cfRule>
    <cfRule type="cellIs" dxfId="4898" priority="172" operator="lessThan">
      <formula>5</formula>
    </cfRule>
  </conditionalFormatting>
  <conditionalFormatting sqref="H25:M25">
    <cfRule type="cellIs" dxfId="4897" priority="170" operator="lessThan">
      <formula>50</formula>
    </cfRule>
  </conditionalFormatting>
  <conditionalFormatting sqref="O25">
    <cfRule type="cellIs" dxfId="4896" priority="169" operator="lessThan">
      <formula>50</formula>
    </cfRule>
  </conditionalFormatting>
  <conditionalFormatting sqref="H26:M26">
    <cfRule type="expression" dxfId="4895" priority="167">
      <formula>5</formula>
    </cfRule>
    <cfRule type="cellIs" dxfId="4894" priority="168" operator="lessThan">
      <formula>5</formula>
    </cfRule>
  </conditionalFormatting>
  <conditionalFormatting sqref="H26:M26">
    <cfRule type="cellIs" dxfId="4893" priority="166" operator="lessThan">
      <formula>50</formula>
    </cfRule>
  </conditionalFormatting>
  <conditionalFormatting sqref="O26">
    <cfRule type="cellIs" dxfId="4892" priority="165" operator="lessThan">
      <formula>50</formula>
    </cfRule>
  </conditionalFormatting>
  <conditionalFormatting sqref="H27:M27">
    <cfRule type="expression" dxfId="4891" priority="163">
      <formula>5</formula>
    </cfRule>
    <cfRule type="cellIs" dxfId="4890" priority="164" operator="lessThan">
      <formula>5</formula>
    </cfRule>
  </conditionalFormatting>
  <conditionalFormatting sqref="H27:M27">
    <cfRule type="cellIs" dxfId="4889" priority="162" operator="lessThan">
      <formula>50</formula>
    </cfRule>
  </conditionalFormatting>
  <conditionalFormatting sqref="O27">
    <cfRule type="cellIs" dxfId="4888" priority="161" operator="lessThan">
      <formula>50</formula>
    </cfRule>
  </conditionalFormatting>
  <conditionalFormatting sqref="H28:M28">
    <cfRule type="expression" dxfId="4887" priority="159">
      <formula>5</formula>
    </cfRule>
    <cfRule type="cellIs" dxfId="4886" priority="160" operator="lessThan">
      <formula>5</formula>
    </cfRule>
  </conditionalFormatting>
  <conditionalFormatting sqref="H28:M28">
    <cfRule type="cellIs" dxfId="4885" priority="158" operator="lessThan">
      <formula>50</formula>
    </cfRule>
  </conditionalFormatting>
  <conditionalFormatting sqref="O28">
    <cfRule type="cellIs" dxfId="4884" priority="157" operator="lessThan">
      <formula>50</formula>
    </cfRule>
  </conditionalFormatting>
  <conditionalFormatting sqref="H29:M29">
    <cfRule type="expression" dxfId="4883" priority="155">
      <formula>5</formula>
    </cfRule>
    <cfRule type="cellIs" dxfId="4882" priority="156" operator="lessThan">
      <formula>5</formula>
    </cfRule>
  </conditionalFormatting>
  <conditionalFormatting sqref="H29:M29">
    <cfRule type="cellIs" dxfId="4881" priority="154" operator="lessThan">
      <formula>50</formula>
    </cfRule>
  </conditionalFormatting>
  <conditionalFormatting sqref="O29">
    <cfRule type="cellIs" dxfId="4880" priority="153" operator="lessThan">
      <formula>50</formula>
    </cfRule>
  </conditionalFormatting>
  <conditionalFormatting sqref="H30:M30">
    <cfRule type="expression" dxfId="4879" priority="151">
      <formula>5</formula>
    </cfRule>
    <cfRule type="cellIs" dxfId="4878" priority="152" operator="lessThan">
      <formula>5</formula>
    </cfRule>
  </conditionalFormatting>
  <conditionalFormatting sqref="H30:M30">
    <cfRule type="cellIs" dxfId="4877" priority="150" operator="lessThan">
      <formula>50</formula>
    </cfRule>
  </conditionalFormatting>
  <conditionalFormatting sqref="O30">
    <cfRule type="cellIs" dxfId="4876" priority="149" operator="lessThan">
      <formula>50</formula>
    </cfRule>
  </conditionalFormatting>
  <conditionalFormatting sqref="H31:M31">
    <cfRule type="expression" dxfId="4875" priority="147">
      <formula>5</formula>
    </cfRule>
    <cfRule type="cellIs" dxfId="4874" priority="148" operator="lessThan">
      <formula>5</formula>
    </cfRule>
  </conditionalFormatting>
  <conditionalFormatting sqref="H31:M31">
    <cfRule type="cellIs" dxfId="4873" priority="146" operator="lessThan">
      <formula>50</formula>
    </cfRule>
  </conditionalFormatting>
  <conditionalFormatting sqref="O31">
    <cfRule type="cellIs" dxfId="4872" priority="145" operator="lessThan">
      <formula>50</formula>
    </cfRule>
  </conditionalFormatting>
  <conditionalFormatting sqref="H32:M32">
    <cfRule type="expression" dxfId="4871" priority="143">
      <formula>5</formula>
    </cfRule>
    <cfRule type="cellIs" dxfId="4870" priority="144" operator="lessThan">
      <formula>5</formula>
    </cfRule>
  </conditionalFormatting>
  <conditionalFormatting sqref="H32:M32">
    <cfRule type="cellIs" dxfId="4869" priority="142" operator="lessThan">
      <formula>50</formula>
    </cfRule>
  </conditionalFormatting>
  <conditionalFormatting sqref="O32">
    <cfRule type="cellIs" dxfId="4868" priority="141" operator="lessThan">
      <formula>50</formula>
    </cfRule>
  </conditionalFormatting>
  <conditionalFormatting sqref="H33:M33">
    <cfRule type="expression" dxfId="4867" priority="139">
      <formula>5</formula>
    </cfRule>
    <cfRule type="cellIs" dxfId="4866" priority="140" operator="lessThan">
      <formula>5</formula>
    </cfRule>
  </conditionalFormatting>
  <conditionalFormatting sqref="H33:M33">
    <cfRule type="cellIs" dxfId="4865" priority="138" operator="lessThan">
      <formula>50</formula>
    </cfRule>
  </conditionalFormatting>
  <conditionalFormatting sqref="O33">
    <cfRule type="cellIs" dxfId="4864" priority="137" operator="lessThan">
      <formula>50</formula>
    </cfRule>
  </conditionalFormatting>
  <conditionalFormatting sqref="H34:M34">
    <cfRule type="expression" dxfId="4863" priority="135">
      <formula>5</formula>
    </cfRule>
    <cfRule type="cellIs" dxfId="4862" priority="136" operator="lessThan">
      <formula>5</formula>
    </cfRule>
  </conditionalFormatting>
  <conditionalFormatting sqref="H34:M34">
    <cfRule type="cellIs" dxfId="4861" priority="134" operator="lessThan">
      <formula>50</formula>
    </cfRule>
  </conditionalFormatting>
  <conditionalFormatting sqref="O34">
    <cfRule type="cellIs" dxfId="4860" priority="133" operator="lessThan">
      <formula>50</formula>
    </cfRule>
  </conditionalFormatting>
  <conditionalFormatting sqref="H35:M35">
    <cfRule type="expression" dxfId="4859" priority="131">
      <formula>5</formula>
    </cfRule>
    <cfRule type="cellIs" dxfId="4858" priority="132" operator="lessThan">
      <formula>5</formula>
    </cfRule>
  </conditionalFormatting>
  <conditionalFormatting sqref="H35:M35">
    <cfRule type="cellIs" dxfId="4857" priority="130" operator="lessThan">
      <formula>50</formula>
    </cfRule>
  </conditionalFormatting>
  <conditionalFormatting sqref="O35">
    <cfRule type="cellIs" dxfId="4856" priority="129" operator="lessThan">
      <formula>50</formula>
    </cfRule>
  </conditionalFormatting>
  <conditionalFormatting sqref="H36:M36">
    <cfRule type="expression" dxfId="4855" priority="127">
      <formula>5</formula>
    </cfRule>
    <cfRule type="cellIs" dxfId="4854" priority="128" operator="lessThan">
      <formula>5</formula>
    </cfRule>
  </conditionalFormatting>
  <conditionalFormatting sqref="H36:M36">
    <cfRule type="cellIs" dxfId="4853" priority="126" operator="lessThan">
      <formula>50</formula>
    </cfRule>
  </conditionalFormatting>
  <conditionalFormatting sqref="O36">
    <cfRule type="cellIs" dxfId="4852" priority="125" operator="lessThan">
      <formula>50</formula>
    </cfRule>
  </conditionalFormatting>
  <conditionalFormatting sqref="H37:M37">
    <cfRule type="expression" dxfId="4851" priority="123">
      <formula>5</formula>
    </cfRule>
    <cfRule type="cellIs" dxfId="4850" priority="124" operator="lessThan">
      <formula>5</formula>
    </cfRule>
  </conditionalFormatting>
  <conditionalFormatting sqref="H37:M37">
    <cfRule type="cellIs" dxfId="4849" priority="122" operator="lessThan">
      <formula>50</formula>
    </cfRule>
  </conditionalFormatting>
  <conditionalFormatting sqref="O37">
    <cfRule type="cellIs" dxfId="4848" priority="121" operator="lessThan">
      <formula>50</formula>
    </cfRule>
  </conditionalFormatting>
  <conditionalFormatting sqref="H38:M38">
    <cfRule type="expression" dxfId="4847" priority="119">
      <formula>5</formula>
    </cfRule>
    <cfRule type="cellIs" dxfId="4846" priority="120" operator="lessThan">
      <formula>5</formula>
    </cfRule>
  </conditionalFormatting>
  <conditionalFormatting sqref="H38:M38">
    <cfRule type="cellIs" dxfId="4845" priority="118" operator="lessThan">
      <formula>50</formula>
    </cfRule>
  </conditionalFormatting>
  <conditionalFormatting sqref="O38">
    <cfRule type="cellIs" dxfId="4844" priority="117" operator="lessThan">
      <formula>50</formula>
    </cfRule>
  </conditionalFormatting>
  <conditionalFormatting sqref="H39:M39">
    <cfRule type="expression" dxfId="4843" priority="115">
      <formula>5</formula>
    </cfRule>
    <cfRule type="cellIs" dxfId="4842" priority="116" operator="lessThan">
      <formula>5</formula>
    </cfRule>
  </conditionalFormatting>
  <conditionalFormatting sqref="H39:M39">
    <cfRule type="cellIs" dxfId="4841" priority="114" operator="lessThan">
      <formula>50</formula>
    </cfRule>
  </conditionalFormatting>
  <conditionalFormatting sqref="O39">
    <cfRule type="cellIs" dxfId="4840" priority="113" operator="lessThan">
      <formula>50</formula>
    </cfRule>
  </conditionalFormatting>
  <conditionalFormatting sqref="H40:M40">
    <cfRule type="expression" dxfId="4839" priority="111">
      <formula>5</formula>
    </cfRule>
    <cfRule type="cellIs" dxfId="4838" priority="112" operator="lessThan">
      <formula>5</formula>
    </cfRule>
  </conditionalFormatting>
  <conditionalFormatting sqref="H40:M40">
    <cfRule type="cellIs" dxfId="4837" priority="110" operator="lessThan">
      <formula>50</formula>
    </cfRule>
  </conditionalFormatting>
  <conditionalFormatting sqref="O40">
    <cfRule type="cellIs" dxfId="4836" priority="109" operator="lessThan">
      <formula>50</formula>
    </cfRule>
  </conditionalFormatting>
  <conditionalFormatting sqref="H41:M41">
    <cfRule type="expression" dxfId="4835" priority="107">
      <formula>5</formula>
    </cfRule>
    <cfRule type="cellIs" dxfId="4834" priority="108" operator="lessThan">
      <formula>5</formula>
    </cfRule>
  </conditionalFormatting>
  <conditionalFormatting sqref="H41:M41">
    <cfRule type="cellIs" dxfId="4833" priority="106" operator="lessThan">
      <formula>50</formula>
    </cfRule>
  </conditionalFormatting>
  <conditionalFormatting sqref="O41">
    <cfRule type="cellIs" dxfId="4832" priority="105" operator="lessThan">
      <formula>50</formula>
    </cfRule>
  </conditionalFormatting>
  <conditionalFormatting sqref="H42:M42">
    <cfRule type="expression" dxfId="4831" priority="103">
      <formula>5</formula>
    </cfRule>
    <cfRule type="cellIs" dxfId="4830" priority="104" operator="lessThan">
      <formula>5</formula>
    </cfRule>
  </conditionalFormatting>
  <conditionalFormatting sqref="H42:M42">
    <cfRule type="cellIs" dxfId="4829" priority="102" operator="lessThan">
      <formula>50</formula>
    </cfRule>
  </conditionalFormatting>
  <conditionalFormatting sqref="O42">
    <cfRule type="cellIs" dxfId="4828" priority="101" operator="lessThan">
      <formula>50</formula>
    </cfRule>
  </conditionalFormatting>
  <conditionalFormatting sqref="H43:M43">
    <cfRule type="expression" dxfId="4827" priority="99">
      <formula>5</formula>
    </cfRule>
    <cfRule type="cellIs" dxfId="4826" priority="100" operator="lessThan">
      <formula>5</formula>
    </cfRule>
  </conditionalFormatting>
  <conditionalFormatting sqref="H43:M43">
    <cfRule type="cellIs" dxfId="4825" priority="98" operator="lessThan">
      <formula>50</formula>
    </cfRule>
  </conditionalFormatting>
  <conditionalFormatting sqref="O43">
    <cfRule type="cellIs" dxfId="4824" priority="97" operator="lessThan">
      <formula>50</formula>
    </cfRule>
  </conditionalFormatting>
  <conditionalFormatting sqref="H44:M44">
    <cfRule type="expression" dxfId="4823" priority="95">
      <formula>5</formula>
    </cfRule>
    <cfRule type="cellIs" dxfId="4822" priority="96" operator="lessThan">
      <formula>5</formula>
    </cfRule>
  </conditionalFormatting>
  <conditionalFormatting sqref="H44:M44">
    <cfRule type="cellIs" dxfId="4821" priority="94" operator="lessThan">
      <formula>50</formula>
    </cfRule>
  </conditionalFormatting>
  <conditionalFormatting sqref="O44">
    <cfRule type="cellIs" dxfId="4820" priority="93" operator="lessThan">
      <formula>50</formula>
    </cfRule>
  </conditionalFormatting>
  <conditionalFormatting sqref="H45:M45">
    <cfRule type="expression" dxfId="4819" priority="91">
      <formula>5</formula>
    </cfRule>
    <cfRule type="cellIs" dxfId="4818" priority="92" operator="lessThan">
      <formula>5</formula>
    </cfRule>
  </conditionalFormatting>
  <conditionalFormatting sqref="H45:M45">
    <cfRule type="cellIs" dxfId="4817" priority="90" operator="lessThan">
      <formula>50</formula>
    </cfRule>
  </conditionalFormatting>
  <conditionalFormatting sqref="O45">
    <cfRule type="cellIs" dxfId="4816" priority="89" operator="lessThan">
      <formula>50</formula>
    </cfRule>
  </conditionalFormatting>
  <conditionalFormatting sqref="H46:M46">
    <cfRule type="expression" dxfId="4815" priority="87">
      <formula>5</formula>
    </cfRule>
    <cfRule type="cellIs" dxfId="4814" priority="88" operator="lessThan">
      <formula>5</formula>
    </cfRule>
  </conditionalFormatting>
  <conditionalFormatting sqref="H46:M46">
    <cfRule type="cellIs" dxfId="4813" priority="86" operator="lessThan">
      <formula>50</formula>
    </cfRule>
  </conditionalFormatting>
  <conditionalFormatting sqref="O46">
    <cfRule type="cellIs" dxfId="4812" priority="85" operator="lessThan">
      <formula>50</formula>
    </cfRule>
  </conditionalFormatting>
  <conditionalFormatting sqref="H47:M47">
    <cfRule type="expression" dxfId="4811" priority="83">
      <formula>5</formula>
    </cfRule>
    <cfRule type="cellIs" dxfId="4810" priority="84" operator="lessThan">
      <formula>5</formula>
    </cfRule>
  </conditionalFormatting>
  <conditionalFormatting sqref="H47:M47">
    <cfRule type="cellIs" dxfId="4809" priority="82" operator="lessThan">
      <formula>50</formula>
    </cfRule>
  </conditionalFormatting>
  <conditionalFormatting sqref="O47">
    <cfRule type="cellIs" dxfId="4808" priority="81" operator="lessThan">
      <formula>50</formula>
    </cfRule>
  </conditionalFormatting>
  <conditionalFormatting sqref="H48:M48">
    <cfRule type="expression" dxfId="4807" priority="79">
      <formula>5</formula>
    </cfRule>
    <cfRule type="cellIs" dxfId="4806" priority="80" operator="lessThan">
      <formula>5</formula>
    </cfRule>
  </conditionalFormatting>
  <conditionalFormatting sqref="H48:M48">
    <cfRule type="cellIs" dxfId="4805" priority="78" operator="lessThan">
      <formula>50</formula>
    </cfRule>
  </conditionalFormatting>
  <conditionalFormatting sqref="O48">
    <cfRule type="cellIs" dxfId="4804" priority="77" operator="lessThan">
      <formula>50</formula>
    </cfRule>
  </conditionalFormatting>
  <conditionalFormatting sqref="H49:M49">
    <cfRule type="expression" dxfId="4803" priority="75">
      <formula>5</formula>
    </cfRule>
    <cfRule type="cellIs" dxfId="4802" priority="76" operator="lessThan">
      <formula>5</formula>
    </cfRule>
  </conditionalFormatting>
  <conditionalFormatting sqref="H49:M49">
    <cfRule type="cellIs" dxfId="4801" priority="74" operator="lessThan">
      <formula>50</formula>
    </cfRule>
  </conditionalFormatting>
  <conditionalFormatting sqref="O49">
    <cfRule type="cellIs" dxfId="4800" priority="73" operator="lessThan">
      <formula>50</formula>
    </cfRule>
  </conditionalFormatting>
  <conditionalFormatting sqref="H50:M50">
    <cfRule type="expression" dxfId="4799" priority="71">
      <formula>5</formula>
    </cfRule>
    <cfRule type="cellIs" dxfId="4798" priority="72" operator="lessThan">
      <formula>5</formula>
    </cfRule>
  </conditionalFormatting>
  <conditionalFormatting sqref="H50:M50">
    <cfRule type="cellIs" dxfId="4797" priority="70" operator="lessThan">
      <formula>50</formula>
    </cfRule>
  </conditionalFormatting>
  <conditionalFormatting sqref="O50">
    <cfRule type="cellIs" dxfId="4796" priority="69" operator="lessThan">
      <formula>50</formula>
    </cfRule>
  </conditionalFormatting>
  <conditionalFormatting sqref="H51:M51">
    <cfRule type="expression" dxfId="4795" priority="67">
      <formula>5</formula>
    </cfRule>
    <cfRule type="cellIs" dxfId="4794" priority="68" operator="lessThan">
      <formula>5</formula>
    </cfRule>
  </conditionalFormatting>
  <conditionalFormatting sqref="H51:M51">
    <cfRule type="cellIs" dxfId="4793" priority="66" operator="lessThan">
      <formula>50</formula>
    </cfRule>
  </conditionalFormatting>
  <conditionalFormatting sqref="O51">
    <cfRule type="cellIs" dxfId="4792" priority="65" operator="lessThan">
      <formula>50</formula>
    </cfRule>
  </conditionalFormatting>
  <conditionalFormatting sqref="H52:M52">
    <cfRule type="expression" dxfId="4791" priority="63">
      <formula>5</formula>
    </cfRule>
    <cfRule type="cellIs" dxfId="4790" priority="64" operator="lessThan">
      <formula>5</formula>
    </cfRule>
  </conditionalFormatting>
  <conditionalFormatting sqref="H52:M52">
    <cfRule type="cellIs" dxfId="4789" priority="62" operator="lessThan">
      <formula>50</formula>
    </cfRule>
  </conditionalFormatting>
  <conditionalFormatting sqref="O52">
    <cfRule type="cellIs" dxfId="4788" priority="61" operator="lessThan">
      <formula>50</formula>
    </cfRule>
  </conditionalFormatting>
  <conditionalFormatting sqref="H53:M53">
    <cfRule type="expression" dxfId="4787" priority="59">
      <formula>5</formula>
    </cfRule>
    <cfRule type="cellIs" dxfId="4786" priority="60" operator="lessThan">
      <formula>5</formula>
    </cfRule>
  </conditionalFormatting>
  <conditionalFormatting sqref="H53:M53">
    <cfRule type="cellIs" dxfId="4785" priority="58" operator="lessThan">
      <formula>50</formula>
    </cfRule>
  </conditionalFormatting>
  <conditionalFormatting sqref="O53">
    <cfRule type="cellIs" dxfId="4784" priority="57" operator="lessThan">
      <formula>50</formula>
    </cfRule>
  </conditionalFormatting>
  <conditionalFormatting sqref="H54:M54">
    <cfRule type="expression" dxfId="4783" priority="55">
      <formula>5</formula>
    </cfRule>
    <cfRule type="cellIs" dxfId="4782" priority="56" operator="lessThan">
      <formula>5</formula>
    </cfRule>
  </conditionalFormatting>
  <conditionalFormatting sqref="H54:M54">
    <cfRule type="cellIs" dxfId="4781" priority="54" operator="lessThan">
      <formula>50</formula>
    </cfRule>
  </conditionalFormatting>
  <conditionalFormatting sqref="O54">
    <cfRule type="cellIs" dxfId="4780" priority="53" operator="lessThan">
      <formula>50</formula>
    </cfRule>
  </conditionalFormatting>
  <conditionalFormatting sqref="H55:M55">
    <cfRule type="expression" dxfId="4779" priority="51">
      <formula>5</formula>
    </cfRule>
    <cfRule type="cellIs" dxfId="4778" priority="52" operator="lessThan">
      <formula>5</formula>
    </cfRule>
  </conditionalFormatting>
  <conditionalFormatting sqref="H55:M55">
    <cfRule type="cellIs" dxfId="4777" priority="50" operator="lessThan">
      <formula>50</formula>
    </cfRule>
  </conditionalFormatting>
  <conditionalFormatting sqref="O55">
    <cfRule type="cellIs" dxfId="4776" priority="49" operator="lessThan">
      <formula>50</formula>
    </cfRule>
  </conditionalFormatting>
  <conditionalFormatting sqref="H56:M56">
    <cfRule type="expression" dxfId="4775" priority="47">
      <formula>5</formula>
    </cfRule>
    <cfRule type="cellIs" dxfId="4774" priority="48" operator="lessThan">
      <formula>5</formula>
    </cfRule>
  </conditionalFormatting>
  <conditionalFormatting sqref="H56:M56">
    <cfRule type="cellIs" dxfId="4773" priority="46" operator="lessThan">
      <formula>50</formula>
    </cfRule>
  </conditionalFormatting>
  <conditionalFormatting sqref="O56">
    <cfRule type="cellIs" dxfId="4772" priority="45" operator="lessThan">
      <formula>50</formula>
    </cfRule>
  </conditionalFormatting>
  <conditionalFormatting sqref="H57:M57">
    <cfRule type="expression" dxfId="4771" priority="43">
      <formula>5</formula>
    </cfRule>
    <cfRule type="cellIs" dxfId="4770" priority="44" operator="lessThan">
      <formula>5</formula>
    </cfRule>
  </conditionalFormatting>
  <conditionalFormatting sqref="H57:M57">
    <cfRule type="cellIs" dxfId="4769" priority="42" operator="lessThan">
      <formula>50</formula>
    </cfRule>
  </conditionalFormatting>
  <conditionalFormatting sqref="O57">
    <cfRule type="cellIs" dxfId="4768" priority="41" operator="lessThan">
      <formula>50</formula>
    </cfRule>
  </conditionalFormatting>
  <conditionalFormatting sqref="H58:M58">
    <cfRule type="expression" dxfId="4767" priority="39">
      <formula>5</formula>
    </cfRule>
    <cfRule type="cellIs" dxfId="4766" priority="40" operator="lessThan">
      <formula>5</formula>
    </cfRule>
  </conditionalFormatting>
  <conditionalFormatting sqref="H58:M58">
    <cfRule type="cellIs" dxfId="4765" priority="38" operator="lessThan">
      <formula>50</formula>
    </cfRule>
  </conditionalFormatting>
  <conditionalFormatting sqref="O58">
    <cfRule type="cellIs" dxfId="4764" priority="37" operator="lessThan">
      <formula>50</formula>
    </cfRule>
  </conditionalFormatting>
  <conditionalFormatting sqref="H59:M59">
    <cfRule type="expression" dxfId="4763" priority="35">
      <formula>5</formula>
    </cfRule>
    <cfRule type="cellIs" dxfId="4762" priority="36" operator="lessThan">
      <formula>5</formula>
    </cfRule>
  </conditionalFormatting>
  <conditionalFormatting sqref="H59:M59">
    <cfRule type="cellIs" dxfId="4761" priority="34" operator="lessThan">
      <formula>50</formula>
    </cfRule>
  </conditionalFormatting>
  <conditionalFormatting sqref="O59">
    <cfRule type="cellIs" dxfId="4760" priority="33" operator="lessThan">
      <formula>50</formula>
    </cfRule>
  </conditionalFormatting>
  <conditionalFormatting sqref="H60:M60">
    <cfRule type="expression" dxfId="4759" priority="31">
      <formula>5</formula>
    </cfRule>
    <cfRule type="cellIs" dxfId="4758" priority="32" operator="lessThan">
      <formula>5</formula>
    </cfRule>
  </conditionalFormatting>
  <conditionalFormatting sqref="H60:M60">
    <cfRule type="cellIs" dxfId="4757" priority="30" operator="lessThan">
      <formula>50</formula>
    </cfRule>
  </conditionalFormatting>
  <conditionalFormatting sqref="O60">
    <cfRule type="cellIs" dxfId="4756" priority="29" operator="lessThan">
      <formula>50</formula>
    </cfRule>
  </conditionalFormatting>
  <conditionalFormatting sqref="H61:M61">
    <cfRule type="expression" dxfId="4755" priority="27">
      <formula>5</formula>
    </cfRule>
    <cfRule type="cellIs" dxfId="4754" priority="28" operator="lessThan">
      <formula>5</formula>
    </cfRule>
  </conditionalFormatting>
  <conditionalFormatting sqref="H61:M61">
    <cfRule type="cellIs" dxfId="4753" priority="26" operator="lessThan">
      <formula>50</formula>
    </cfRule>
  </conditionalFormatting>
  <conditionalFormatting sqref="O61">
    <cfRule type="cellIs" dxfId="4752" priority="25" operator="lessThan">
      <formula>50</formula>
    </cfRule>
  </conditionalFormatting>
  <conditionalFormatting sqref="H62:M62">
    <cfRule type="expression" dxfId="4751" priority="23">
      <formula>5</formula>
    </cfRule>
    <cfRule type="cellIs" dxfId="4750" priority="24" operator="lessThan">
      <formula>5</formula>
    </cfRule>
  </conditionalFormatting>
  <conditionalFormatting sqref="H62:M62">
    <cfRule type="cellIs" dxfId="4749" priority="22" operator="lessThan">
      <formula>50</formula>
    </cfRule>
  </conditionalFormatting>
  <conditionalFormatting sqref="O62">
    <cfRule type="cellIs" dxfId="4748" priority="21" operator="lessThan">
      <formula>50</formula>
    </cfRule>
  </conditionalFormatting>
  <conditionalFormatting sqref="H63:M63">
    <cfRule type="expression" dxfId="4747" priority="19">
      <formula>5</formula>
    </cfRule>
    <cfRule type="cellIs" dxfId="4746" priority="20" operator="lessThan">
      <formula>5</formula>
    </cfRule>
  </conditionalFormatting>
  <conditionalFormatting sqref="H63:M63">
    <cfRule type="cellIs" dxfId="4745" priority="18" operator="lessThan">
      <formula>50</formula>
    </cfRule>
  </conditionalFormatting>
  <conditionalFormatting sqref="O63">
    <cfRule type="cellIs" dxfId="4744" priority="17" operator="lessThan">
      <formula>50</formula>
    </cfRule>
  </conditionalFormatting>
  <conditionalFormatting sqref="H64:M64">
    <cfRule type="expression" dxfId="4743" priority="15">
      <formula>5</formula>
    </cfRule>
    <cfRule type="cellIs" dxfId="4742" priority="16" operator="lessThan">
      <formula>5</formula>
    </cfRule>
  </conditionalFormatting>
  <conditionalFormatting sqref="H64:M64">
    <cfRule type="cellIs" dxfId="4741" priority="14" operator="lessThan">
      <formula>50</formula>
    </cfRule>
  </conditionalFormatting>
  <conditionalFormatting sqref="O64">
    <cfRule type="cellIs" dxfId="4740" priority="13" operator="lessThan">
      <formula>50</formula>
    </cfRule>
  </conditionalFormatting>
  <conditionalFormatting sqref="H65:M65">
    <cfRule type="expression" dxfId="4739" priority="11">
      <formula>5</formula>
    </cfRule>
    <cfRule type="cellIs" dxfId="4738" priority="12" operator="lessThan">
      <formula>5</formula>
    </cfRule>
  </conditionalFormatting>
  <conditionalFormatting sqref="H65:M65">
    <cfRule type="cellIs" dxfId="4737" priority="10" operator="lessThan">
      <formula>50</formula>
    </cfRule>
  </conditionalFormatting>
  <conditionalFormatting sqref="O65">
    <cfRule type="cellIs" dxfId="4736" priority="9" operator="lessThan">
      <formula>50</formula>
    </cfRule>
  </conditionalFormatting>
  <conditionalFormatting sqref="H66:M66">
    <cfRule type="expression" dxfId="4735" priority="7">
      <formula>5</formula>
    </cfRule>
    <cfRule type="cellIs" dxfId="4734" priority="8" operator="lessThan">
      <formula>5</formula>
    </cfRule>
  </conditionalFormatting>
  <conditionalFormatting sqref="H66:M66">
    <cfRule type="cellIs" dxfId="4733" priority="6" operator="lessThan">
      <formula>50</formula>
    </cfRule>
  </conditionalFormatting>
  <conditionalFormatting sqref="O66">
    <cfRule type="cellIs" dxfId="4732" priority="5" operator="lessThan">
      <formula>50</formula>
    </cfRule>
  </conditionalFormatting>
  <conditionalFormatting sqref="H67:M67">
    <cfRule type="expression" dxfId="4731" priority="3">
      <formula>5</formula>
    </cfRule>
    <cfRule type="cellIs" dxfId="4730" priority="4" operator="lessThan">
      <formula>5</formula>
    </cfRule>
  </conditionalFormatting>
  <conditionalFormatting sqref="H67:M67">
    <cfRule type="cellIs" dxfId="4729" priority="2" operator="lessThan">
      <formula>50</formula>
    </cfRule>
  </conditionalFormatting>
  <conditionalFormatting sqref="O67">
    <cfRule type="cellIs" dxfId="4728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1:E14 D16:E16 D29:E31 D34:E37 D39:E39 D48:E51" xr:uid="{2AF619CF-9CEA-4FA0-BC04-2A172AF80807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B756-8870-450A-A8EA-42EFFA6BAF51}">
  <sheetPr codeName="Sheet103"/>
  <dimension ref="A1:P67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3" width="4.7109375" customWidth="1"/>
    <col min="14" max="14" width="6.7109375" customWidth="1"/>
    <col min="15" max="16" width="4.7109375" customWidth="1"/>
  </cols>
  <sheetData>
    <row r="1" spans="1:16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1:16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3</v>
      </c>
      <c r="I6" s="39" t="s">
        <v>13</v>
      </c>
      <c r="J6" s="39" t="s">
        <v>14</v>
      </c>
      <c r="K6" s="39" t="s">
        <v>5317</v>
      </c>
      <c r="L6" s="39" t="s">
        <v>10</v>
      </c>
      <c r="M6" s="39" t="s">
        <v>15</v>
      </c>
      <c r="N6" s="39" t="s">
        <v>5320</v>
      </c>
      <c r="O6" s="39" t="s">
        <v>5321</v>
      </c>
      <c r="P6" s="39" t="s">
        <v>5324</v>
      </c>
    </row>
    <row r="7" spans="1:16" ht="18" customHeight="1" thickTop="1">
      <c r="A7" s="19">
        <v>1</v>
      </c>
      <c r="B7" s="2" t="s">
        <v>3070</v>
      </c>
      <c r="C7" s="1" t="s">
        <v>2199</v>
      </c>
      <c r="D7" s="3" t="s">
        <v>3071</v>
      </c>
      <c r="E7" s="1" t="s">
        <v>79</v>
      </c>
      <c r="F7" s="10" t="s">
        <v>3050</v>
      </c>
      <c r="G7" s="2">
        <v>15</v>
      </c>
      <c r="H7" s="6">
        <v>86</v>
      </c>
      <c r="I7" s="6">
        <v>92</v>
      </c>
      <c r="J7" s="6">
        <v>88</v>
      </c>
      <c r="K7" s="6">
        <v>100</v>
      </c>
      <c r="L7" s="6">
        <v>90</v>
      </c>
      <c r="M7" s="6">
        <v>84</v>
      </c>
      <c r="N7" s="1">
        <f t="shared" ref="N7:N38" si="0">SUBTOTAL(9,H7:M7)</f>
        <v>540</v>
      </c>
      <c r="O7" s="14">
        <f t="shared" ref="O7:O38" si="1">N7/6</f>
        <v>90</v>
      </c>
      <c r="P7" s="20">
        <f t="shared" ref="P7:P38" si="2">RANK(O7,O$7:O$310,0)</f>
        <v>1</v>
      </c>
    </row>
    <row r="8" spans="1:16" ht="18" customHeight="1">
      <c r="A8" s="19">
        <v>2</v>
      </c>
      <c r="B8" s="2" t="s">
        <v>3124</v>
      </c>
      <c r="C8" s="1" t="s">
        <v>3125</v>
      </c>
      <c r="D8" s="3" t="s">
        <v>3126</v>
      </c>
      <c r="E8" s="1" t="s">
        <v>73</v>
      </c>
      <c r="F8" s="10" t="s">
        <v>3050</v>
      </c>
      <c r="G8" s="2">
        <v>16</v>
      </c>
      <c r="H8" s="6">
        <v>100</v>
      </c>
      <c r="I8" s="6">
        <v>92</v>
      </c>
      <c r="J8" s="6">
        <v>88</v>
      </c>
      <c r="K8" s="6">
        <v>92</v>
      </c>
      <c r="L8" s="6">
        <v>78</v>
      </c>
      <c r="M8" s="6">
        <v>80</v>
      </c>
      <c r="N8" s="1">
        <f t="shared" si="0"/>
        <v>530</v>
      </c>
      <c r="O8" s="14">
        <f t="shared" si="1"/>
        <v>88.333333333333329</v>
      </c>
      <c r="P8" s="20">
        <f t="shared" si="2"/>
        <v>2</v>
      </c>
    </row>
    <row r="9" spans="1:16" ht="18" customHeight="1">
      <c r="A9" s="19">
        <v>3</v>
      </c>
      <c r="B9" s="2" t="s">
        <v>3201</v>
      </c>
      <c r="C9" s="1">
        <v>311260442</v>
      </c>
      <c r="D9" s="3" t="s">
        <v>3202</v>
      </c>
      <c r="E9" s="1" t="s">
        <v>74</v>
      </c>
      <c r="F9" s="10" t="s">
        <v>3050</v>
      </c>
      <c r="G9" s="2">
        <v>17</v>
      </c>
      <c r="H9" s="6">
        <v>93</v>
      </c>
      <c r="I9" s="6">
        <v>100</v>
      </c>
      <c r="J9" s="6">
        <v>88</v>
      </c>
      <c r="K9" s="6">
        <v>92</v>
      </c>
      <c r="L9" s="6">
        <v>57</v>
      </c>
      <c r="M9" s="6">
        <v>96</v>
      </c>
      <c r="N9" s="1">
        <f t="shared" si="0"/>
        <v>526</v>
      </c>
      <c r="O9" s="14">
        <f t="shared" si="1"/>
        <v>87.666666666666671</v>
      </c>
      <c r="P9" s="20">
        <f t="shared" si="2"/>
        <v>3</v>
      </c>
    </row>
    <row r="10" spans="1:16" ht="18" customHeight="1">
      <c r="A10" s="19">
        <v>4</v>
      </c>
      <c r="B10" s="2" t="s">
        <v>3092</v>
      </c>
      <c r="C10" s="1" t="s">
        <v>3093</v>
      </c>
      <c r="D10" s="3" t="s">
        <v>3094</v>
      </c>
      <c r="E10" s="1" t="s">
        <v>71</v>
      </c>
      <c r="F10" s="10" t="s">
        <v>3050</v>
      </c>
      <c r="G10" s="2">
        <v>15</v>
      </c>
      <c r="H10" s="6">
        <v>100</v>
      </c>
      <c r="I10" s="6">
        <v>96</v>
      </c>
      <c r="J10" s="6">
        <v>80</v>
      </c>
      <c r="K10" s="6">
        <v>84</v>
      </c>
      <c r="L10" s="6">
        <v>88</v>
      </c>
      <c r="M10" s="6">
        <v>70</v>
      </c>
      <c r="N10" s="1">
        <f t="shared" si="0"/>
        <v>518</v>
      </c>
      <c r="O10" s="14">
        <f t="shared" si="1"/>
        <v>86.333333333333329</v>
      </c>
      <c r="P10" s="20">
        <f t="shared" si="2"/>
        <v>4</v>
      </c>
    </row>
    <row r="11" spans="1:16" ht="18" customHeight="1">
      <c r="A11" s="19">
        <v>5</v>
      </c>
      <c r="B11" s="2" t="s">
        <v>3143</v>
      </c>
      <c r="C11" s="1" t="s">
        <v>3144</v>
      </c>
      <c r="D11" s="3" t="s">
        <v>3145</v>
      </c>
      <c r="E11" s="1" t="s">
        <v>74</v>
      </c>
      <c r="F11" s="10" t="s">
        <v>3050</v>
      </c>
      <c r="G11" s="2">
        <v>16</v>
      </c>
      <c r="H11" s="6">
        <v>86</v>
      </c>
      <c r="I11" s="6">
        <v>92</v>
      </c>
      <c r="J11" s="6">
        <v>65</v>
      </c>
      <c r="K11" s="6">
        <v>88</v>
      </c>
      <c r="L11" s="6">
        <v>88</v>
      </c>
      <c r="M11" s="6">
        <v>80</v>
      </c>
      <c r="N11" s="1">
        <f t="shared" si="0"/>
        <v>499</v>
      </c>
      <c r="O11" s="14">
        <f t="shared" si="1"/>
        <v>83.166666666666671</v>
      </c>
      <c r="P11" s="20">
        <f t="shared" si="2"/>
        <v>5</v>
      </c>
    </row>
    <row r="12" spans="1:16" ht="18" customHeight="1">
      <c r="A12" s="19">
        <v>6</v>
      </c>
      <c r="B12" s="2" t="s">
        <v>3098</v>
      </c>
      <c r="C12" s="1" t="s">
        <v>3099</v>
      </c>
      <c r="D12" s="3" t="s">
        <v>3100</v>
      </c>
      <c r="E12" s="1" t="s">
        <v>71</v>
      </c>
      <c r="F12" s="10" t="s">
        <v>3050</v>
      </c>
      <c r="G12" s="2">
        <v>15</v>
      </c>
      <c r="H12" s="6">
        <v>79</v>
      </c>
      <c r="I12" s="6">
        <v>96</v>
      </c>
      <c r="J12" s="6">
        <v>44</v>
      </c>
      <c r="K12" s="6">
        <v>88</v>
      </c>
      <c r="L12" s="6">
        <v>96</v>
      </c>
      <c r="M12" s="6">
        <v>92</v>
      </c>
      <c r="N12" s="1">
        <f t="shared" si="0"/>
        <v>495</v>
      </c>
      <c r="O12" s="14">
        <f t="shared" si="1"/>
        <v>82.5</v>
      </c>
      <c r="P12" s="20">
        <f t="shared" si="2"/>
        <v>6</v>
      </c>
    </row>
    <row r="13" spans="1:16" ht="18" customHeight="1">
      <c r="A13" s="19">
        <v>7</v>
      </c>
      <c r="B13" s="2" t="s">
        <v>3190</v>
      </c>
      <c r="C13" s="1" t="s">
        <v>3191</v>
      </c>
      <c r="D13" s="3" t="s">
        <v>3192</v>
      </c>
      <c r="E13" s="1" t="s">
        <v>76</v>
      </c>
      <c r="F13" s="10" t="s">
        <v>3050</v>
      </c>
      <c r="G13" s="2">
        <v>17</v>
      </c>
      <c r="H13" s="6">
        <v>72</v>
      </c>
      <c r="I13" s="6">
        <v>96</v>
      </c>
      <c r="J13" s="6">
        <v>48</v>
      </c>
      <c r="K13" s="6">
        <v>96</v>
      </c>
      <c r="L13" s="6">
        <v>70</v>
      </c>
      <c r="M13" s="6">
        <v>78</v>
      </c>
      <c r="N13" s="1">
        <f t="shared" si="0"/>
        <v>460</v>
      </c>
      <c r="O13" s="14">
        <f t="shared" si="1"/>
        <v>76.666666666666671</v>
      </c>
      <c r="P13" s="20">
        <f t="shared" si="2"/>
        <v>7</v>
      </c>
    </row>
    <row r="14" spans="1:16" ht="18" customHeight="1">
      <c r="A14" s="19">
        <v>8</v>
      </c>
      <c r="B14" s="2" t="s">
        <v>3095</v>
      </c>
      <c r="C14" s="1" t="s">
        <v>3096</v>
      </c>
      <c r="D14" s="3" t="s">
        <v>3097</v>
      </c>
      <c r="E14" s="1" t="s">
        <v>71</v>
      </c>
      <c r="F14" s="10" t="s">
        <v>3050</v>
      </c>
      <c r="G14" s="2">
        <v>15</v>
      </c>
      <c r="H14" s="6">
        <v>79</v>
      </c>
      <c r="I14" s="6">
        <v>96</v>
      </c>
      <c r="J14" s="6">
        <v>52</v>
      </c>
      <c r="K14" s="6">
        <v>88</v>
      </c>
      <c r="L14" s="6">
        <v>92</v>
      </c>
      <c r="M14" s="6">
        <v>36</v>
      </c>
      <c r="N14" s="1">
        <f t="shared" si="0"/>
        <v>443</v>
      </c>
      <c r="O14" s="14">
        <f t="shared" si="1"/>
        <v>73.833333333333329</v>
      </c>
      <c r="P14" s="20">
        <f t="shared" si="2"/>
        <v>8</v>
      </c>
    </row>
    <row r="15" spans="1:16" ht="18" customHeight="1">
      <c r="A15" s="19">
        <v>9</v>
      </c>
      <c r="B15" s="2" t="s">
        <v>3156</v>
      </c>
      <c r="C15" s="1" t="s">
        <v>3157</v>
      </c>
      <c r="D15" s="3" t="s">
        <v>3158</v>
      </c>
      <c r="E15" s="1" t="s">
        <v>78</v>
      </c>
      <c r="F15" s="10" t="s">
        <v>3050</v>
      </c>
      <c r="G15" s="2">
        <v>16</v>
      </c>
      <c r="H15" s="6">
        <v>100</v>
      </c>
      <c r="I15" s="6">
        <v>84</v>
      </c>
      <c r="J15" s="6">
        <v>48</v>
      </c>
      <c r="K15" s="6">
        <v>92</v>
      </c>
      <c r="L15" s="6">
        <v>68</v>
      </c>
      <c r="M15" s="6">
        <v>50</v>
      </c>
      <c r="N15" s="1">
        <f t="shared" si="0"/>
        <v>442</v>
      </c>
      <c r="O15" s="14">
        <f t="shared" si="1"/>
        <v>73.666666666666671</v>
      </c>
      <c r="P15" s="20">
        <f t="shared" si="2"/>
        <v>9</v>
      </c>
    </row>
    <row r="16" spans="1:16" ht="18" customHeight="1">
      <c r="A16" s="19">
        <v>10</v>
      </c>
      <c r="B16" s="2" t="s">
        <v>3115</v>
      </c>
      <c r="C16" s="1" t="s">
        <v>3116</v>
      </c>
      <c r="D16" s="3" t="s">
        <v>3117</v>
      </c>
      <c r="E16" s="1" t="s">
        <v>59</v>
      </c>
      <c r="F16" s="10" t="s">
        <v>3050</v>
      </c>
      <c r="G16" s="2">
        <v>16</v>
      </c>
      <c r="H16" s="6">
        <v>79</v>
      </c>
      <c r="I16" s="6">
        <v>76</v>
      </c>
      <c r="J16" s="6">
        <v>60</v>
      </c>
      <c r="K16" s="6">
        <v>92</v>
      </c>
      <c r="L16" s="6">
        <v>62</v>
      </c>
      <c r="M16" s="6">
        <v>72</v>
      </c>
      <c r="N16" s="1">
        <f t="shared" si="0"/>
        <v>441</v>
      </c>
      <c r="O16" s="14">
        <f t="shared" si="1"/>
        <v>73.5</v>
      </c>
      <c r="P16" s="20">
        <f t="shared" si="2"/>
        <v>10</v>
      </c>
    </row>
    <row r="17" spans="1:16" ht="18" customHeight="1">
      <c r="A17" s="19">
        <v>11</v>
      </c>
      <c r="B17" s="2" t="s">
        <v>3051</v>
      </c>
      <c r="C17" s="1" t="s">
        <v>3052</v>
      </c>
      <c r="D17" s="3" t="s">
        <v>3053</v>
      </c>
      <c r="E17" s="1" t="s">
        <v>69</v>
      </c>
      <c r="F17" s="10" t="s">
        <v>3050</v>
      </c>
      <c r="G17" s="2">
        <v>14</v>
      </c>
      <c r="H17" s="6">
        <v>86</v>
      </c>
      <c r="I17" s="6">
        <v>70</v>
      </c>
      <c r="J17" s="6">
        <v>60</v>
      </c>
      <c r="K17" s="6">
        <v>84</v>
      </c>
      <c r="L17" s="6">
        <v>58</v>
      </c>
      <c r="M17" s="6">
        <v>50</v>
      </c>
      <c r="N17" s="1">
        <f t="shared" si="0"/>
        <v>408</v>
      </c>
      <c r="O17" s="14">
        <f t="shared" si="1"/>
        <v>68</v>
      </c>
      <c r="P17" s="20">
        <f t="shared" si="2"/>
        <v>11</v>
      </c>
    </row>
    <row r="18" spans="1:16" ht="18" customHeight="1">
      <c r="A18" s="19">
        <v>12</v>
      </c>
      <c r="B18" s="2" t="s">
        <v>3196</v>
      </c>
      <c r="C18" s="1" t="s">
        <v>3197</v>
      </c>
      <c r="D18" s="3" t="s">
        <v>3198</v>
      </c>
      <c r="E18" s="1" t="s">
        <v>85</v>
      </c>
      <c r="F18" s="10" t="s">
        <v>3050</v>
      </c>
      <c r="G18" s="2">
        <v>17</v>
      </c>
      <c r="H18" s="6">
        <v>65</v>
      </c>
      <c r="I18" s="6">
        <v>78</v>
      </c>
      <c r="J18" s="6">
        <v>54</v>
      </c>
      <c r="K18" s="6">
        <v>88</v>
      </c>
      <c r="L18" s="6">
        <v>59</v>
      </c>
      <c r="M18" s="6">
        <v>56</v>
      </c>
      <c r="N18" s="1">
        <f t="shared" si="0"/>
        <v>400</v>
      </c>
      <c r="O18" s="14">
        <f t="shared" si="1"/>
        <v>66.666666666666671</v>
      </c>
      <c r="P18" s="20">
        <f t="shared" si="2"/>
        <v>12</v>
      </c>
    </row>
    <row r="19" spans="1:16" ht="18" customHeight="1">
      <c r="A19" s="19">
        <v>13</v>
      </c>
      <c r="B19" s="2" t="s">
        <v>3083</v>
      </c>
      <c r="C19" s="1" t="s">
        <v>3084</v>
      </c>
      <c r="D19" s="3" t="s">
        <v>3085</v>
      </c>
      <c r="E19" s="1" t="s">
        <v>56</v>
      </c>
      <c r="F19" s="10" t="s">
        <v>3050</v>
      </c>
      <c r="G19" s="2">
        <v>15</v>
      </c>
      <c r="H19" s="6">
        <v>86</v>
      </c>
      <c r="I19" s="6">
        <v>96</v>
      </c>
      <c r="J19" s="6">
        <v>45</v>
      </c>
      <c r="K19" s="6">
        <v>84</v>
      </c>
      <c r="L19" s="6">
        <v>70</v>
      </c>
      <c r="M19" s="6">
        <v>8</v>
      </c>
      <c r="N19" s="1">
        <f t="shared" si="0"/>
        <v>389</v>
      </c>
      <c r="O19" s="14">
        <f t="shared" si="1"/>
        <v>64.833333333333329</v>
      </c>
      <c r="P19" s="20">
        <f t="shared" si="2"/>
        <v>13</v>
      </c>
    </row>
    <row r="20" spans="1:16" ht="18" customHeight="1">
      <c r="A20" s="19">
        <v>14</v>
      </c>
      <c r="B20" s="2" t="s">
        <v>3113</v>
      </c>
      <c r="C20" s="1">
        <v>311240422</v>
      </c>
      <c r="D20" s="3" t="s">
        <v>3114</v>
      </c>
      <c r="E20" s="1" t="s">
        <v>59</v>
      </c>
      <c r="F20" s="10" t="s">
        <v>3050</v>
      </c>
      <c r="G20" s="2">
        <v>16</v>
      </c>
      <c r="H20" s="6">
        <v>86</v>
      </c>
      <c r="I20" s="6">
        <v>50</v>
      </c>
      <c r="J20" s="6">
        <v>71</v>
      </c>
      <c r="K20" s="6">
        <v>84</v>
      </c>
      <c r="L20" s="6">
        <v>46</v>
      </c>
      <c r="M20" s="6">
        <v>48</v>
      </c>
      <c r="N20" s="1">
        <f t="shared" si="0"/>
        <v>385</v>
      </c>
      <c r="O20" s="14">
        <f t="shared" si="1"/>
        <v>64.166666666666671</v>
      </c>
      <c r="P20" s="20">
        <f t="shared" si="2"/>
        <v>14</v>
      </c>
    </row>
    <row r="21" spans="1:16" ht="18" customHeight="1">
      <c r="A21" s="19">
        <v>15</v>
      </c>
      <c r="B21" s="2" t="s">
        <v>3169</v>
      </c>
      <c r="C21" s="1" t="s">
        <v>3170</v>
      </c>
      <c r="D21" s="3" t="s">
        <v>3171</v>
      </c>
      <c r="E21" s="1" t="s">
        <v>66</v>
      </c>
      <c r="F21" s="10" t="s">
        <v>3050</v>
      </c>
      <c r="G21" s="2">
        <v>17</v>
      </c>
      <c r="H21" s="6">
        <v>86</v>
      </c>
      <c r="I21" s="6">
        <v>88</v>
      </c>
      <c r="J21" s="6">
        <v>27</v>
      </c>
      <c r="K21" s="6">
        <v>84</v>
      </c>
      <c r="L21" s="6">
        <v>68</v>
      </c>
      <c r="M21" s="6">
        <v>32</v>
      </c>
      <c r="N21" s="1">
        <f t="shared" si="0"/>
        <v>385</v>
      </c>
      <c r="O21" s="14">
        <f t="shared" si="1"/>
        <v>64.166666666666671</v>
      </c>
      <c r="P21" s="20">
        <f t="shared" si="2"/>
        <v>14</v>
      </c>
    </row>
    <row r="22" spans="1:16" ht="18" customHeight="1">
      <c r="A22" s="19">
        <v>16</v>
      </c>
      <c r="B22" s="2" t="s">
        <v>3137</v>
      </c>
      <c r="C22" s="1" t="s">
        <v>3138</v>
      </c>
      <c r="D22" s="3" t="s">
        <v>3139</v>
      </c>
      <c r="E22" s="1" t="s">
        <v>799</v>
      </c>
      <c r="F22" s="10" t="s">
        <v>3050</v>
      </c>
      <c r="G22" s="2">
        <v>16</v>
      </c>
      <c r="H22" s="6">
        <v>100</v>
      </c>
      <c r="I22" s="6">
        <v>72</v>
      </c>
      <c r="J22" s="6">
        <v>40</v>
      </c>
      <c r="K22" s="6">
        <v>68</v>
      </c>
      <c r="L22" s="6">
        <v>49</v>
      </c>
      <c r="M22" s="6">
        <v>48</v>
      </c>
      <c r="N22" s="1">
        <f t="shared" si="0"/>
        <v>377</v>
      </c>
      <c r="O22" s="14">
        <f t="shared" si="1"/>
        <v>62.833333333333336</v>
      </c>
      <c r="P22" s="20">
        <f t="shared" si="2"/>
        <v>16</v>
      </c>
    </row>
    <row r="23" spans="1:16" ht="18" customHeight="1">
      <c r="A23" s="19">
        <v>17</v>
      </c>
      <c r="B23" s="2" t="s">
        <v>3182</v>
      </c>
      <c r="C23" s="1" t="s">
        <v>3183</v>
      </c>
      <c r="D23" s="3" t="s">
        <v>3184</v>
      </c>
      <c r="E23" s="1" t="s">
        <v>67</v>
      </c>
      <c r="F23" s="10" t="s">
        <v>3050</v>
      </c>
      <c r="G23" s="2">
        <v>17</v>
      </c>
      <c r="H23" s="6">
        <v>72</v>
      </c>
      <c r="I23" s="6">
        <v>84</v>
      </c>
      <c r="J23" s="6">
        <v>38</v>
      </c>
      <c r="K23" s="6">
        <v>74</v>
      </c>
      <c r="L23" s="6">
        <v>48</v>
      </c>
      <c r="M23" s="6">
        <v>60</v>
      </c>
      <c r="N23" s="1">
        <f t="shared" si="0"/>
        <v>376</v>
      </c>
      <c r="O23" s="14">
        <f t="shared" si="1"/>
        <v>62.666666666666664</v>
      </c>
      <c r="P23" s="20">
        <f t="shared" si="2"/>
        <v>17</v>
      </c>
    </row>
    <row r="24" spans="1:16" ht="18" customHeight="1">
      <c r="A24" s="19">
        <v>18</v>
      </c>
      <c r="B24" s="2" t="s">
        <v>3172</v>
      </c>
      <c r="C24" s="1" t="s">
        <v>3173</v>
      </c>
      <c r="D24" s="3" t="s">
        <v>3174</v>
      </c>
      <c r="E24" s="1" t="s">
        <v>66</v>
      </c>
      <c r="F24" s="10" t="s">
        <v>3050</v>
      </c>
      <c r="G24" s="2">
        <v>17</v>
      </c>
      <c r="H24" s="6">
        <v>86</v>
      </c>
      <c r="I24" s="6">
        <v>88</v>
      </c>
      <c r="J24" s="6">
        <v>28</v>
      </c>
      <c r="K24" s="6">
        <v>84</v>
      </c>
      <c r="L24" s="6">
        <v>41</v>
      </c>
      <c r="M24" s="6">
        <v>40</v>
      </c>
      <c r="N24" s="1">
        <f t="shared" si="0"/>
        <v>367</v>
      </c>
      <c r="O24" s="14">
        <f t="shared" si="1"/>
        <v>61.166666666666664</v>
      </c>
      <c r="P24" s="20">
        <f t="shared" si="2"/>
        <v>18</v>
      </c>
    </row>
    <row r="25" spans="1:16" ht="18" customHeight="1">
      <c r="A25" s="19">
        <v>19</v>
      </c>
      <c r="B25" s="2" t="s">
        <v>3063</v>
      </c>
      <c r="C25" s="1">
        <v>311230092</v>
      </c>
      <c r="D25" s="3" t="s">
        <v>3064</v>
      </c>
      <c r="E25" s="1" t="s">
        <v>55</v>
      </c>
      <c r="F25" s="10" t="s">
        <v>3050</v>
      </c>
      <c r="G25" s="2">
        <v>15</v>
      </c>
      <c r="H25" s="6">
        <v>86</v>
      </c>
      <c r="I25" s="6">
        <v>78</v>
      </c>
      <c r="J25" s="6">
        <v>30</v>
      </c>
      <c r="K25" s="6">
        <v>84</v>
      </c>
      <c r="L25" s="6">
        <v>47</v>
      </c>
      <c r="M25" s="6">
        <v>40</v>
      </c>
      <c r="N25" s="1">
        <f t="shared" si="0"/>
        <v>365</v>
      </c>
      <c r="O25" s="14">
        <f t="shared" si="1"/>
        <v>60.833333333333336</v>
      </c>
      <c r="P25" s="20">
        <f t="shared" si="2"/>
        <v>19</v>
      </c>
    </row>
    <row r="26" spans="1:16" ht="18" customHeight="1">
      <c r="A26" s="19">
        <v>20</v>
      </c>
      <c r="B26" s="2" t="s">
        <v>3146</v>
      </c>
      <c r="C26" s="1">
        <v>311220585</v>
      </c>
      <c r="D26" s="3" t="s">
        <v>3147</v>
      </c>
      <c r="E26" s="1" t="s">
        <v>74</v>
      </c>
      <c r="F26" s="10" t="s">
        <v>3050</v>
      </c>
      <c r="G26" s="2">
        <v>16</v>
      </c>
      <c r="H26" s="6">
        <v>93</v>
      </c>
      <c r="I26" s="6">
        <v>80</v>
      </c>
      <c r="J26" s="6">
        <v>16</v>
      </c>
      <c r="K26" s="6">
        <v>68</v>
      </c>
      <c r="L26" s="6">
        <v>55</v>
      </c>
      <c r="M26" s="6">
        <v>40</v>
      </c>
      <c r="N26" s="1">
        <f t="shared" si="0"/>
        <v>352</v>
      </c>
      <c r="O26" s="14">
        <f t="shared" si="1"/>
        <v>58.666666666666664</v>
      </c>
      <c r="P26" s="20">
        <f t="shared" si="2"/>
        <v>20</v>
      </c>
    </row>
    <row r="27" spans="1:16" ht="18" customHeight="1">
      <c r="A27" s="19">
        <v>21</v>
      </c>
      <c r="B27" s="2" t="s">
        <v>3127</v>
      </c>
      <c r="C27" s="1" t="s">
        <v>3128</v>
      </c>
      <c r="D27" s="3" t="s">
        <v>86</v>
      </c>
      <c r="E27" s="1" t="s">
        <v>73</v>
      </c>
      <c r="F27" s="10" t="s">
        <v>3050</v>
      </c>
      <c r="G27" s="2">
        <v>16</v>
      </c>
      <c r="H27" s="6">
        <v>72</v>
      </c>
      <c r="I27" s="6">
        <v>72</v>
      </c>
      <c r="J27" s="6">
        <v>30</v>
      </c>
      <c r="K27" s="6">
        <v>84</v>
      </c>
      <c r="L27" s="6">
        <v>53</v>
      </c>
      <c r="M27" s="6">
        <v>35</v>
      </c>
      <c r="N27" s="1">
        <f t="shared" si="0"/>
        <v>346</v>
      </c>
      <c r="O27" s="14">
        <f t="shared" si="1"/>
        <v>57.666666666666664</v>
      </c>
      <c r="P27" s="20">
        <f t="shared" si="2"/>
        <v>21</v>
      </c>
    </row>
    <row r="28" spans="1:16" ht="18" customHeight="1">
      <c r="A28" s="19">
        <v>22</v>
      </c>
      <c r="B28" s="2" t="s">
        <v>3120</v>
      </c>
      <c r="C28" s="1">
        <v>311230099</v>
      </c>
      <c r="D28" s="3" t="s">
        <v>3121</v>
      </c>
      <c r="E28" s="1" t="s">
        <v>60</v>
      </c>
      <c r="F28" s="10" t="s">
        <v>3050</v>
      </c>
      <c r="G28" s="2">
        <v>16</v>
      </c>
      <c r="H28" s="6">
        <v>36</v>
      </c>
      <c r="I28" s="6">
        <v>80</v>
      </c>
      <c r="J28" s="6">
        <v>37</v>
      </c>
      <c r="K28" s="6">
        <v>84</v>
      </c>
      <c r="L28" s="6">
        <v>74</v>
      </c>
      <c r="M28" s="6">
        <v>23</v>
      </c>
      <c r="N28" s="1">
        <f t="shared" si="0"/>
        <v>334</v>
      </c>
      <c r="O28" s="14">
        <f t="shared" si="1"/>
        <v>55.666666666666664</v>
      </c>
      <c r="P28" s="20">
        <f t="shared" si="2"/>
        <v>22</v>
      </c>
    </row>
    <row r="29" spans="1:16" ht="18" customHeight="1">
      <c r="A29" s="19">
        <v>23</v>
      </c>
      <c r="B29" s="2" t="s">
        <v>3140</v>
      </c>
      <c r="C29" s="1" t="s">
        <v>3141</v>
      </c>
      <c r="D29" s="3" t="s">
        <v>3142</v>
      </c>
      <c r="E29" s="1" t="s">
        <v>74</v>
      </c>
      <c r="F29" s="10" t="s">
        <v>3050</v>
      </c>
      <c r="G29" s="2">
        <v>16</v>
      </c>
      <c r="H29" s="6">
        <v>93</v>
      </c>
      <c r="I29" s="6">
        <v>79</v>
      </c>
      <c r="J29" s="6">
        <v>56</v>
      </c>
      <c r="K29" s="6">
        <v>70</v>
      </c>
      <c r="L29" s="6">
        <v>28</v>
      </c>
      <c r="M29" s="6">
        <v>8</v>
      </c>
      <c r="N29" s="1">
        <f t="shared" si="0"/>
        <v>334</v>
      </c>
      <c r="O29" s="14">
        <f t="shared" si="1"/>
        <v>55.666666666666664</v>
      </c>
      <c r="P29" s="20">
        <f t="shared" si="2"/>
        <v>22</v>
      </c>
    </row>
    <row r="30" spans="1:16" ht="18" customHeight="1">
      <c r="A30" s="19">
        <v>24</v>
      </c>
      <c r="B30" s="2" t="s">
        <v>3132</v>
      </c>
      <c r="C30" s="1" t="s">
        <v>3133</v>
      </c>
      <c r="D30" s="3" t="s">
        <v>3134</v>
      </c>
      <c r="E30" s="1" t="s">
        <v>77</v>
      </c>
      <c r="F30" s="10" t="s">
        <v>3050</v>
      </c>
      <c r="G30" s="2">
        <v>16</v>
      </c>
      <c r="H30" s="6">
        <v>93</v>
      </c>
      <c r="I30" s="6">
        <v>48</v>
      </c>
      <c r="J30" s="6">
        <v>33</v>
      </c>
      <c r="K30" s="6">
        <v>54</v>
      </c>
      <c r="L30" s="6">
        <v>42</v>
      </c>
      <c r="M30" s="6">
        <v>60</v>
      </c>
      <c r="N30" s="1">
        <f t="shared" si="0"/>
        <v>330</v>
      </c>
      <c r="O30" s="14">
        <f t="shared" si="1"/>
        <v>55</v>
      </c>
      <c r="P30" s="20">
        <f t="shared" si="2"/>
        <v>24</v>
      </c>
    </row>
    <row r="31" spans="1:16" ht="18" customHeight="1">
      <c r="A31" s="19">
        <v>25</v>
      </c>
      <c r="B31" s="2" t="s">
        <v>3154</v>
      </c>
      <c r="C31" s="1">
        <v>311240426</v>
      </c>
      <c r="D31" s="3" t="s">
        <v>3155</v>
      </c>
      <c r="E31" s="1" t="s">
        <v>64</v>
      </c>
      <c r="F31" s="10" t="s">
        <v>3050</v>
      </c>
      <c r="G31" s="2">
        <v>16</v>
      </c>
      <c r="H31" s="6">
        <v>93</v>
      </c>
      <c r="I31" s="6">
        <v>56</v>
      </c>
      <c r="J31" s="6">
        <v>35</v>
      </c>
      <c r="K31" s="6">
        <v>74</v>
      </c>
      <c r="L31" s="6">
        <v>39</v>
      </c>
      <c r="M31" s="6">
        <v>28</v>
      </c>
      <c r="N31" s="1">
        <f t="shared" si="0"/>
        <v>325</v>
      </c>
      <c r="O31" s="14">
        <f t="shared" si="1"/>
        <v>54.166666666666664</v>
      </c>
      <c r="P31" s="20">
        <f t="shared" si="2"/>
        <v>25</v>
      </c>
    </row>
    <row r="32" spans="1:16" ht="18" customHeight="1">
      <c r="A32" s="19">
        <v>26</v>
      </c>
      <c r="B32" s="2" t="s">
        <v>3065</v>
      </c>
      <c r="C32" s="1" t="s">
        <v>1831</v>
      </c>
      <c r="D32" s="3" t="s">
        <v>3066</v>
      </c>
      <c r="E32" s="1" t="s">
        <v>55</v>
      </c>
      <c r="F32" s="10" t="s">
        <v>3050</v>
      </c>
      <c r="G32" s="2">
        <v>15</v>
      </c>
      <c r="H32" s="6">
        <v>79</v>
      </c>
      <c r="I32" s="6">
        <v>68</v>
      </c>
      <c r="J32" s="6">
        <v>45</v>
      </c>
      <c r="K32" s="6">
        <v>84</v>
      </c>
      <c r="L32" s="6">
        <v>22</v>
      </c>
      <c r="M32" s="6">
        <v>24</v>
      </c>
      <c r="N32" s="1">
        <f t="shared" si="0"/>
        <v>322</v>
      </c>
      <c r="O32" s="14">
        <f t="shared" si="1"/>
        <v>53.666666666666664</v>
      </c>
      <c r="P32" s="20">
        <f t="shared" si="2"/>
        <v>26</v>
      </c>
    </row>
    <row r="33" spans="1:16" ht="18" customHeight="1">
      <c r="A33" s="19">
        <v>27</v>
      </c>
      <c r="B33" s="2" t="s">
        <v>3199</v>
      </c>
      <c r="C33" s="1">
        <v>311260441</v>
      </c>
      <c r="D33" s="3" t="s">
        <v>3200</v>
      </c>
      <c r="E33" s="1" t="s">
        <v>56</v>
      </c>
      <c r="F33" s="10" t="s">
        <v>3050</v>
      </c>
      <c r="G33" s="2">
        <v>17</v>
      </c>
      <c r="H33" s="6">
        <v>72</v>
      </c>
      <c r="I33" s="6">
        <v>64</v>
      </c>
      <c r="J33" s="6">
        <v>40</v>
      </c>
      <c r="K33" s="6">
        <v>84</v>
      </c>
      <c r="L33" s="6">
        <v>31</v>
      </c>
      <c r="M33" s="6">
        <v>30</v>
      </c>
      <c r="N33" s="1">
        <f t="shared" si="0"/>
        <v>321</v>
      </c>
      <c r="O33" s="14">
        <f t="shared" si="1"/>
        <v>53.5</v>
      </c>
      <c r="P33" s="20">
        <f t="shared" si="2"/>
        <v>27</v>
      </c>
    </row>
    <row r="34" spans="1:16" ht="18" customHeight="1">
      <c r="A34" s="19">
        <v>28</v>
      </c>
      <c r="B34" s="2" t="s">
        <v>3078</v>
      </c>
      <c r="C34" s="1" t="s">
        <v>3079</v>
      </c>
      <c r="D34" s="3" t="s">
        <v>3080</v>
      </c>
      <c r="E34" s="1" t="s">
        <v>70</v>
      </c>
      <c r="F34" s="10" t="s">
        <v>3050</v>
      </c>
      <c r="G34" s="2">
        <v>15</v>
      </c>
      <c r="H34" s="6">
        <v>93</v>
      </c>
      <c r="I34" s="6">
        <v>58</v>
      </c>
      <c r="J34" s="6">
        <v>21</v>
      </c>
      <c r="K34" s="6">
        <v>54</v>
      </c>
      <c r="L34" s="6">
        <v>66</v>
      </c>
      <c r="M34" s="6">
        <v>21</v>
      </c>
      <c r="N34" s="1">
        <f t="shared" si="0"/>
        <v>313</v>
      </c>
      <c r="O34" s="14">
        <f t="shared" si="1"/>
        <v>52.166666666666664</v>
      </c>
      <c r="P34" s="20">
        <f t="shared" si="2"/>
        <v>28</v>
      </c>
    </row>
    <row r="35" spans="1:16" ht="18" customHeight="1">
      <c r="A35" s="19">
        <v>29</v>
      </c>
      <c r="B35" s="2" t="s">
        <v>3193</v>
      </c>
      <c r="C35" s="1" t="s">
        <v>3194</v>
      </c>
      <c r="D35" s="3" t="s">
        <v>3195</v>
      </c>
      <c r="E35" s="1" t="s">
        <v>68</v>
      </c>
      <c r="F35" s="10" t="s">
        <v>3050</v>
      </c>
      <c r="G35" s="2">
        <v>17</v>
      </c>
      <c r="H35" s="6">
        <v>43</v>
      </c>
      <c r="I35" s="6">
        <v>48</v>
      </c>
      <c r="J35" s="6">
        <v>41</v>
      </c>
      <c r="K35" s="6">
        <v>92</v>
      </c>
      <c r="L35" s="6">
        <v>70</v>
      </c>
      <c r="M35" s="6">
        <v>14</v>
      </c>
      <c r="N35" s="1">
        <f t="shared" si="0"/>
        <v>308</v>
      </c>
      <c r="O35" s="14">
        <f t="shared" si="1"/>
        <v>51.333333333333336</v>
      </c>
      <c r="P35" s="20">
        <f t="shared" si="2"/>
        <v>29</v>
      </c>
    </row>
    <row r="36" spans="1:16" ht="18" customHeight="1">
      <c r="A36" s="19">
        <v>30</v>
      </c>
      <c r="B36" s="2" t="s">
        <v>3075</v>
      </c>
      <c r="C36" s="1" t="s">
        <v>3076</v>
      </c>
      <c r="D36" s="3" t="s">
        <v>3077</v>
      </c>
      <c r="E36" s="1" t="s">
        <v>79</v>
      </c>
      <c r="F36" s="10" t="s">
        <v>3050</v>
      </c>
      <c r="G36" s="2">
        <v>15</v>
      </c>
      <c r="H36" s="6">
        <v>79</v>
      </c>
      <c r="I36" s="6">
        <v>78</v>
      </c>
      <c r="J36" s="6">
        <v>10</v>
      </c>
      <c r="K36" s="6">
        <v>80</v>
      </c>
      <c r="L36" s="6">
        <v>42</v>
      </c>
      <c r="M36" s="6">
        <v>16</v>
      </c>
      <c r="N36" s="1">
        <f t="shared" si="0"/>
        <v>305</v>
      </c>
      <c r="O36" s="14">
        <f t="shared" si="1"/>
        <v>50.833333333333336</v>
      </c>
      <c r="P36" s="20">
        <f t="shared" si="2"/>
        <v>30</v>
      </c>
    </row>
    <row r="37" spans="1:16" ht="18" customHeight="1">
      <c r="A37" s="19">
        <v>31</v>
      </c>
      <c r="B37" s="2" t="s">
        <v>3060</v>
      </c>
      <c r="C37" s="1" t="s">
        <v>3061</v>
      </c>
      <c r="D37" s="3" t="s">
        <v>3062</v>
      </c>
      <c r="E37" s="1" t="s">
        <v>55</v>
      </c>
      <c r="F37" s="10" t="s">
        <v>3050</v>
      </c>
      <c r="G37" s="2">
        <v>15</v>
      </c>
      <c r="H37" s="6">
        <v>79</v>
      </c>
      <c r="I37" s="6">
        <v>76</v>
      </c>
      <c r="J37" s="6">
        <v>32</v>
      </c>
      <c r="K37" s="6">
        <v>84</v>
      </c>
      <c r="L37" s="6">
        <v>30</v>
      </c>
      <c r="M37" s="6"/>
      <c r="N37" s="1">
        <f t="shared" si="0"/>
        <v>301</v>
      </c>
      <c r="O37" s="14">
        <f t="shared" si="1"/>
        <v>50.166666666666664</v>
      </c>
      <c r="P37" s="20">
        <f t="shared" si="2"/>
        <v>31</v>
      </c>
    </row>
    <row r="38" spans="1:16" ht="18" customHeight="1">
      <c r="A38" s="19">
        <v>32</v>
      </c>
      <c r="B38" s="2" t="s">
        <v>3205</v>
      </c>
      <c r="C38" s="1">
        <v>311260943</v>
      </c>
      <c r="D38" s="3" t="s">
        <v>3206</v>
      </c>
      <c r="E38" s="1" t="s">
        <v>59</v>
      </c>
      <c r="F38" s="10" t="s">
        <v>3050</v>
      </c>
      <c r="G38" s="2">
        <v>17</v>
      </c>
      <c r="H38" s="6">
        <v>65</v>
      </c>
      <c r="I38" s="6">
        <v>70</v>
      </c>
      <c r="J38" s="6">
        <v>17</v>
      </c>
      <c r="K38" s="6">
        <v>92</v>
      </c>
      <c r="L38" s="6">
        <v>31</v>
      </c>
      <c r="M38" s="6">
        <v>22</v>
      </c>
      <c r="N38" s="1">
        <f t="shared" si="0"/>
        <v>297</v>
      </c>
      <c r="O38" s="14">
        <f t="shared" si="1"/>
        <v>49.5</v>
      </c>
      <c r="P38" s="20">
        <f t="shared" si="2"/>
        <v>32</v>
      </c>
    </row>
    <row r="39" spans="1:16" ht="18" customHeight="1">
      <c r="A39" s="19">
        <v>33</v>
      </c>
      <c r="B39" s="2" t="s">
        <v>3151</v>
      </c>
      <c r="C39" s="1" t="s">
        <v>3152</v>
      </c>
      <c r="D39" s="3" t="s">
        <v>3153</v>
      </c>
      <c r="E39" s="1" t="s">
        <v>64</v>
      </c>
      <c r="F39" s="10" t="s">
        <v>3050</v>
      </c>
      <c r="G39" s="2">
        <v>16</v>
      </c>
      <c r="H39" s="6">
        <v>86</v>
      </c>
      <c r="I39" s="6">
        <v>92</v>
      </c>
      <c r="J39" s="6">
        <v>24</v>
      </c>
      <c r="K39" s="6">
        <v>44</v>
      </c>
      <c r="L39" s="6">
        <v>37</v>
      </c>
      <c r="M39" s="6">
        <v>13</v>
      </c>
      <c r="N39" s="1">
        <f t="shared" ref="N39:N67" si="3">SUBTOTAL(9,H39:M39)</f>
        <v>296</v>
      </c>
      <c r="O39" s="14">
        <f t="shared" ref="O39:O67" si="4">N39/6</f>
        <v>49.333333333333336</v>
      </c>
      <c r="P39" s="20">
        <f t="shared" ref="P39:P67" si="5">RANK(O39,O$7:O$310,0)</f>
        <v>33</v>
      </c>
    </row>
    <row r="40" spans="1:16" ht="18" customHeight="1">
      <c r="A40" s="19">
        <v>34</v>
      </c>
      <c r="B40" s="2" t="s">
        <v>3159</v>
      </c>
      <c r="C40" s="1">
        <v>311240429</v>
      </c>
      <c r="D40" s="3" t="s">
        <v>3160</v>
      </c>
      <c r="E40" s="1" t="s">
        <v>78</v>
      </c>
      <c r="F40" s="10" t="s">
        <v>3050</v>
      </c>
      <c r="G40" s="2">
        <v>16</v>
      </c>
      <c r="H40" s="6">
        <v>72</v>
      </c>
      <c r="I40" s="6">
        <v>76</v>
      </c>
      <c r="J40" s="6">
        <v>50</v>
      </c>
      <c r="K40" s="6">
        <v>46</v>
      </c>
      <c r="L40" s="6">
        <v>38</v>
      </c>
      <c r="M40" s="6">
        <v>13</v>
      </c>
      <c r="N40" s="1">
        <f t="shared" si="3"/>
        <v>295</v>
      </c>
      <c r="O40" s="14">
        <f t="shared" si="4"/>
        <v>49.166666666666664</v>
      </c>
      <c r="P40" s="20">
        <f t="shared" si="5"/>
        <v>34</v>
      </c>
    </row>
    <row r="41" spans="1:16" ht="18" customHeight="1">
      <c r="A41" s="19">
        <v>35</v>
      </c>
      <c r="B41" s="2" t="s">
        <v>3203</v>
      </c>
      <c r="C41" s="1">
        <v>311260443</v>
      </c>
      <c r="D41" s="3" t="s">
        <v>3204</v>
      </c>
      <c r="E41" s="1" t="s">
        <v>90</v>
      </c>
      <c r="F41" s="10" t="s">
        <v>3050</v>
      </c>
      <c r="G41" s="2">
        <v>17</v>
      </c>
      <c r="H41" s="6">
        <v>65</v>
      </c>
      <c r="I41" s="6">
        <v>48</v>
      </c>
      <c r="J41" s="6">
        <v>44</v>
      </c>
      <c r="K41" s="6">
        <v>58</v>
      </c>
      <c r="L41" s="6">
        <v>24</v>
      </c>
      <c r="M41" s="6">
        <v>46</v>
      </c>
      <c r="N41" s="1">
        <f t="shared" si="3"/>
        <v>285</v>
      </c>
      <c r="O41" s="14">
        <f t="shared" si="4"/>
        <v>47.5</v>
      </c>
      <c r="P41" s="20">
        <f t="shared" si="5"/>
        <v>35</v>
      </c>
    </row>
    <row r="42" spans="1:16" ht="18" customHeight="1">
      <c r="A42" s="19">
        <v>36</v>
      </c>
      <c r="B42" s="2" t="s">
        <v>3185</v>
      </c>
      <c r="C42" s="1">
        <v>311240430</v>
      </c>
      <c r="D42" s="3" t="s">
        <v>3186</v>
      </c>
      <c r="E42" s="1" t="s">
        <v>67</v>
      </c>
      <c r="F42" s="10" t="s">
        <v>3050</v>
      </c>
      <c r="G42" s="2">
        <v>17</v>
      </c>
      <c r="H42" s="6">
        <v>86</v>
      </c>
      <c r="I42" s="6">
        <v>45</v>
      </c>
      <c r="J42" s="6">
        <v>34</v>
      </c>
      <c r="K42" s="6">
        <v>64</v>
      </c>
      <c r="L42" s="6">
        <v>31</v>
      </c>
      <c r="M42" s="6">
        <v>25</v>
      </c>
      <c r="N42" s="1">
        <f t="shared" si="3"/>
        <v>285</v>
      </c>
      <c r="O42" s="14">
        <f t="shared" si="4"/>
        <v>47.5</v>
      </c>
      <c r="P42" s="20">
        <f t="shared" si="5"/>
        <v>35</v>
      </c>
    </row>
    <row r="43" spans="1:16" ht="18" customHeight="1">
      <c r="A43" s="19">
        <v>37</v>
      </c>
      <c r="B43" s="2" t="s">
        <v>3135</v>
      </c>
      <c r="C43" s="1">
        <v>311220558</v>
      </c>
      <c r="D43" s="3" t="s">
        <v>3136</v>
      </c>
      <c r="E43" s="1" t="s">
        <v>84</v>
      </c>
      <c r="F43" s="10" t="s">
        <v>3050</v>
      </c>
      <c r="G43" s="2">
        <v>16</v>
      </c>
      <c r="H43" s="6">
        <v>65</v>
      </c>
      <c r="I43" s="6">
        <v>62</v>
      </c>
      <c r="J43" s="6">
        <v>18</v>
      </c>
      <c r="K43" s="6">
        <v>80</v>
      </c>
      <c r="L43" s="6">
        <v>39</v>
      </c>
      <c r="M43" s="6">
        <v>17</v>
      </c>
      <c r="N43" s="1">
        <f t="shared" si="3"/>
        <v>281</v>
      </c>
      <c r="O43" s="14">
        <f t="shared" si="4"/>
        <v>46.833333333333336</v>
      </c>
      <c r="P43" s="20">
        <f t="shared" si="5"/>
        <v>37</v>
      </c>
    </row>
    <row r="44" spans="1:16" ht="18" customHeight="1">
      <c r="A44" s="19">
        <v>38</v>
      </c>
      <c r="B44" s="2" t="s">
        <v>3048</v>
      </c>
      <c r="C44" s="1">
        <v>4232711</v>
      </c>
      <c r="D44" s="3" t="s">
        <v>3049</v>
      </c>
      <c r="E44" s="1" t="s">
        <v>85</v>
      </c>
      <c r="F44" s="10" t="s">
        <v>3050</v>
      </c>
      <c r="G44" s="2">
        <v>14</v>
      </c>
      <c r="H44" s="6">
        <v>93</v>
      </c>
      <c r="I44" s="6">
        <v>48</v>
      </c>
      <c r="J44" s="6">
        <v>28</v>
      </c>
      <c r="K44" s="6">
        <v>72</v>
      </c>
      <c r="L44" s="6">
        <v>25</v>
      </c>
      <c r="M44" s="6">
        <v>4</v>
      </c>
      <c r="N44" s="1">
        <f t="shared" si="3"/>
        <v>270</v>
      </c>
      <c r="O44" s="14">
        <f t="shared" si="4"/>
        <v>45</v>
      </c>
      <c r="P44" s="20">
        <f t="shared" si="5"/>
        <v>38</v>
      </c>
    </row>
    <row r="45" spans="1:16" ht="18" customHeight="1">
      <c r="A45" s="19">
        <v>39</v>
      </c>
      <c r="B45" s="2" t="s">
        <v>3104</v>
      </c>
      <c r="C45" s="1" t="s">
        <v>3105</v>
      </c>
      <c r="D45" s="3" t="s">
        <v>3106</v>
      </c>
      <c r="E45" s="1" t="s">
        <v>58</v>
      </c>
      <c r="F45" s="10" t="s">
        <v>3050</v>
      </c>
      <c r="G45" s="2">
        <v>15</v>
      </c>
      <c r="H45" s="6">
        <v>86</v>
      </c>
      <c r="I45" s="6">
        <v>68</v>
      </c>
      <c r="J45" s="6">
        <v>13</v>
      </c>
      <c r="K45" s="6">
        <v>60</v>
      </c>
      <c r="L45" s="6">
        <v>26</v>
      </c>
      <c r="M45" s="6">
        <v>13</v>
      </c>
      <c r="N45" s="1">
        <f t="shared" si="3"/>
        <v>266</v>
      </c>
      <c r="O45" s="14">
        <f t="shared" si="4"/>
        <v>44.333333333333336</v>
      </c>
      <c r="P45" s="20">
        <f t="shared" si="5"/>
        <v>39</v>
      </c>
    </row>
    <row r="46" spans="1:16" ht="18" customHeight="1">
      <c r="A46" s="19">
        <v>40</v>
      </c>
      <c r="B46" s="2" t="s">
        <v>3089</v>
      </c>
      <c r="C46" s="1" t="s">
        <v>3090</v>
      </c>
      <c r="D46" s="3" t="s">
        <v>3091</v>
      </c>
      <c r="E46" s="1" t="s">
        <v>57</v>
      </c>
      <c r="F46" s="10" t="s">
        <v>3050</v>
      </c>
      <c r="G46" s="2">
        <v>15</v>
      </c>
      <c r="H46" s="6">
        <v>72</v>
      </c>
      <c r="I46" s="6">
        <v>40</v>
      </c>
      <c r="J46" s="6">
        <v>24</v>
      </c>
      <c r="K46" s="6">
        <v>54</v>
      </c>
      <c r="L46" s="6">
        <v>49</v>
      </c>
      <c r="M46" s="6">
        <v>26</v>
      </c>
      <c r="N46" s="1">
        <f t="shared" si="3"/>
        <v>265</v>
      </c>
      <c r="O46" s="14">
        <f t="shared" si="4"/>
        <v>44.166666666666664</v>
      </c>
      <c r="P46" s="20">
        <f t="shared" si="5"/>
        <v>40</v>
      </c>
    </row>
    <row r="47" spans="1:16" ht="18" customHeight="1">
      <c r="A47" s="19">
        <v>41</v>
      </c>
      <c r="B47" s="2" t="s">
        <v>3179</v>
      </c>
      <c r="C47" s="1" t="s">
        <v>3180</v>
      </c>
      <c r="D47" s="3" t="s">
        <v>3181</v>
      </c>
      <c r="E47" s="1" t="s">
        <v>67</v>
      </c>
      <c r="F47" s="10" t="s">
        <v>3050</v>
      </c>
      <c r="G47" s="2">
        <v>17</v>
      </c>
      <c r="H47" s="6">
        <v>72</v>
      </c>
      <c r="I47" s="6">
        <v>68</v>
      </c>
      <c r="J47" s="6">
        <v>23</v>
      </c>
      <c r="K47" s="6">
        <v>50</v>
      </c>
      <c r="L47" s="6">
        <v>24</v>
      </c>
      <c r="M47" s="6">
        <v>28</v>
      </c>
      <c r="N47" s="1">
        <f t="shared" si="3"/>
        <v>265</v>
      </c>
      <c r="O47" s="14">
        <f t="shared" si="4"/>
        <v>44.166666666666664</v>
      </c>
      <c r="P47" s="20">
        <f t="shared" si="5"/>
        <v>40</v>
      </c>
    </row>
    <row r="48" spans="1:16" ht="18" customHeight="1">
      <c r="A48" s="19">
        <v>42</v>
      </c>
      <c r="B48" s="2" t="s">
        <v>3081</v>
      </c>
      <c r="C48" s="1">
        <v>311220567</v>
      </c>
      <c r="D48" s="3" t="s">
        <v>3082</v>
      </c>
      <c r="E48" s="1" t="s">
        <v>70</v>
      </c>
      <c r="F48" s="10" t="s">
        <v>3050</v>
      </c>
      <c r="G48" s="2">
        <v>15</v>
      </c>
      <c r="H48" s="6">
        <v>79</v>
      </c>
      <c r="I48" s="6">
        <v>32</v>
      </c>
      <c r="J48" s="6">
        <v>12</v>
      </c>
      <c r="K48" s="6">
        <v>64</v>
      </c>
      <c r="L48" s="6">
        <v>50</v>
      </c>
      <c r="M48" s="6">
        <v>21</v>
      </c>
      <c r="N48" s="1">
        <f t="shared" si="3"/>
        <v>258</v>
      </c>
      <c r="O48" s="14">
        <f t="shared" si="4"/>
        <v>43</v>
      </c>
      <c r="P48" s="20">
        <f t="shared" si="5"/>
        <v>42</v>
      </c>
    </row>
    <row r="49" spans="1:16" ht="18" customHeight="1">
      <c r="A49" s="19">
        <v>43</v>
      </c>
      <c r="B49" s="2" t="s">
        <v>3166</v>
      </c>
      <c r="C49" s="1" t="s">
        <v>3167</v>
      </c>
      <c r="D49" s="3" t="s">
        <v>3168</v>
      </c>
      <c r="E49" s="1" t="s">
        <v>82</v>
      </c>
      <c r="F49" s="10" t="s">
        <v>3050</v>
      </c>
      <c r="G49" s="2">
        <v>17</v>
      </c>
      <c r="H49" s="6">
        <v>100</v>
      </c>
      <c r="I49" s="6">
        <v>21</v>
      </c>
      <c r="J49" s="6">
        <v>21</v>
      </c>
      <c r="K49" s="6">
        <v>74</v>
      </c>
      <c r="L49" s="6">
        <v>16</v>
      </c>
      <c r="M49" s="6">
        <v>26</v>
      </c>
      <c r="N49" s="1">
        <f t="shared" si="3"/>
        <v>258</v>
      </c>
      <c r="O49" s="14">
        <f t="shared" si="4"/>
        <v>43</v>
      </c>
      <c r="P49" s="20">
        <f t="shared" si="5"/>
        <v>42</v>
      </c>
    </row>
    <row r="50" spans="1:16" ht="18" customHeight="1">
      <c r="A50" s="19">
        <v>44</v>
      </c>
      <c r="B50" s="2" t="s">
        <v>3110</v>
      </c>
      <c r="C50" s="1" t="s">
        <v>3111</v>
      </c>
      <c r="D50" s="3" t="s">
        <v>3112</v>
      </c>
      <c r="E50" s="1" t="s">
        <v>58</v>
      </c>
      <c r="F50" s="10" t="s">
        <v>3050</v>
      </c>
      <c r="G50" s="2">
        <v>16</v>
      </c>
      <c r="H50" s="6">
        <v>65</v>
      </c>
      <c r="I50" s="6">
        <v>42</v>
      </c>
      <c r="J50" s="6">
        <v>8</v>
      </c>
      <c r="K50" s="6">
        <v>62</v>
      </c>
      <c r="L50" s="6">
        <v>49</v>
      </c>
      <c r="M50" s="6">
        <v>21</v>
      </c>
      <c r="N50" s="1">
        <f t="shared" si="3"/>
        <v>247</v>
      </c>
      <c r="O50" s="14">
        <f t="shared" si="4"/>
        <v>41.166666666666664</v>
      </c>
      <c r="P50" s="20">
        <f t="shared" si="5"/>
        <v>44</v>
      </c>
    </row>
    <row r="51" spans="1:16" ht="18" customHeight="1">
      <c r="A51" s="19">
        <v>45</v>
      </c>
      <c r="B51" s="2" t="s">
        <v>3175</v>
      </c>
      <c r="C51" s="1" t="s">
        <v>3176</v>
      </c>
      <c r="D51" s="3" t="s">
        <v>3177</v>
      </c>
      <c r="E51" s="1" t="s">
        <v>3178</v>
      </c>
      <c r="F51" s="10" t="s">
        <v>3050</v>
      </c>
      <c r="G51" s="2">
        <v>17</v>
      </c>
      <c r="H51" s="6">
        <v>100</v>
      </c>
      <c r="I51" s="6">
        <v>33</v>
      </c>
      <c r="J51" s="6">
        <v>28</v>
      </c>
      <c r="K51" s="6">
        <v>56</v>
      </c>
      <c r="L51" s="6">
        <v>22</v>
      </c>
      <c r="M51" s="6">
        <v>5</v>
      </c>
      <c r="N51" s="1">
        <f t="shared" si="3"/>
        <v>244</v>
      </c>
      <c r="O51" s="14">
        <f t="shared" si="4"/>
        <v>40.666666666666664</v>
      </c>
      <c r="P51" s="20">
        <f t="shared" si="5"/>
        <v>45</v>
      </c>
    </row>
    <row r="52" spans="1:16" ht="18" customHeight="1">
      <c r="A52" s="19">
        <v>46</v>
      </c>
      <c r="B52" s="2" t="s">
        <v>3187</v>
      </c>
      <c r="C52" s="1" t="s">
        <v>3188</v>
      </c>
      <c r="D52" s="3" t="s">
        <v>3189</v>
      </c>
      <c r="E52" s="1" t="s">
        <v>76</v>
      </c>
      <c r="F52" s="10" t="s">
        <v>3050</v>
      </c>
      <c r="G52" s="2">
        <v>17</v>
      </c>
      <c r="H52" s="6">
        <v>57</v>
      </c>
      <c r="I52" s="6">
        <v>43</v>
      </c>
      <c r="J52" s="6">
        <v>13</v>
      </c>
      <c r="K52" s="6">
        <v>83</v>
      </c>
      <c r="L52" s="6">
        <v>34</v>
      </c>
      <c r="M52" s="6">
        <v>14</v>
      </c>
      <c r="N52" s="1">
        <f t="shared" si="3"/>
        <v>244</v>
      </c>
      <c r="O52" s="14">
        <f t="shared" si="4"/>
        <v>40.666666666666664</v>
      </c>
      <c r="P52" s="20">
        <f t="shared" si="5"/>
        <v>45</v>
      </c>
    </row>
    <row r="53" spans="1:16" ht="18" customHeight="1">
      <c r="A53" s="19">
        <v>47</v>
      </c>
      <c r="B53" s="2" t="s">
        <v>3067</v>
      </c>
      <c r="C53" s="1" t="s">
        <v>3068</v>
      </c>
      <c r="D53" s="3" t="s">
        <v>3069</v>
      </c>
      <c r="E53" s="1" t="s">
        <v>55</v>
      </c>
      <c r="F53" s="10" t="s">
        <v>3050</v>
      </c>
      <c r="G53" s="2">
        <v>15</v>
      </c>
      <c r="H53" s="6">
        <v>93</v>
      </c>
      <c r="I53" s="6">
        <v>38</v>
      </c>
      <c r="J53" s="6">
        <v>16</v>
      </c>
      <c r="K53" s="6">
        <v>46</v>
      </c>
      <c r="L53" s="6">
        <v>38</v>
      </c>
      <c r="M53" s="6">
        <v>9</v>
      </c>
      <c r="N53" s="1">
        <f t="shared" si="3"/>
        <v>240</v>
      </c>
      <c r="O53" s="14">
        <f t="shared" si="4"/>
        <v>40</v>
      </c>
      <c r="P53" s="20">
        <f t="shared" si="5"/>
        <v>47</v>
      </c>
    </row>
    <row r="54" spans="1:16" ht="18" customHeight="1">
      <c r="A54" s="19">
        <v>48</v>
      </c>
      <c r="B54" s="2" t="s">
        <v>3057</v>
      </c>
      <c r="C54" s="1" t="s">
        <v>3058</v>
      </c>
      <c r="D54" s="3" t="s">
        <v>3059</v>
      </c>
      <c r="E54" s="1" t="s">
        <v>55</v>
      </c>
      <c r="F54" s="10" t="s">
        <v>3050</v>
      </c>
      <c r="G54" s="2">
        <v>15</v>
      </c>
      <c r="H54" s="6">
        <v>79</v>
      </c>
      <c r="I54" s="6">
        <v>22</v>
      </c>
      <c r="J54" s="6">
        <v>46</v>
      </c>
      <c r="K54" s="6">
        <v>32</v>
      </c>
      <c r="L54" s="6">
        <v>30</v>
      </c>
      <c r="M54" s="6">
        <v>29</v>
      </c>
      <c r="N54" s="1">
        <f t="shared" si="3"/>
        <v>238</v>
      </c>
      <c r="O54" s="14">
        <f t="shared" si="4"/>
        <v>39.666666666666664</v>
      </c>
      <c r="P54" s="20">
        <f t="shared" si="5"/>
        <v>48</v>
      </c>
    </row>
    <row r="55" spans="1:16" ht="18" customHeight="1">
      <c r="A55" s="19">
        <v>49</v>
      </c>
      <c r="B55" s="2" t="s">
        <v>3086</v>
      </c>
      <c r="C55" s="1" t="s">
        <v>3087</v>
      </c>
      <c r="D55" s="3" t="s">
        <v>3088</v>
      </c>
      <c r="E55" s="1" t="s">
        <v>57</v>
      </c>
      <c r="F55" s="10" t="s">
        <v>3050</v>
      </c>
      <c r="G55" s="2">
        <v>15</v>
      </c>
      <c r="H55" s="6">
        <v>86</v>
      </c>
      <c r="I55" s="6">
        <v>36</v>
      </c>
      <c r="J55" s="6">
        <v>18</v>
      </c>
      <c r="K55" s="6">
        <v>64</v>
      </c>
      <c r="L55" s="6">
        <v>8</v>
      </c>
      <c r="M55" s="6">
        <v>18</v>
      </c>
      <c r="N55" s="1">
        <f t="shared" si="3"/>
        <v>230</v>
      </c>
      <c r="O55" s="14">
        <f t="shared" si="4"/>
        <v>38.333333333333336</v>
      </c>
      <c r="P55" s="20">
        <f t="shared" si="5"/>
        <v>49</v>
      </c>
    </row>
    <row r="56" spans="1:16" ht="18" customHeight="1">
      <c r="A56" s="19">
        <v>50</v>
      </c>
      <c r="B56" s="2" t="s">
        <v>3101</v>
      </c>
      <c r="C56" s="1" t="s">
        <v>3102</v>
      </c>
      <c r="D56" s="3" t="s">
        <v>3103</v>
      </c>
      <c r="E56" s="1" t="s">
        <v>72</v>
      </c>
      <c r="F56" s="10" t="s">
        <v>3050</v>
      </c>
      <c r="G56" s="2">
        <v>15</v>
      </c>
      <c r="H56" s="6">
        <v>0</v>
      </c>
      <c r="I56" s="6">
        <v>66</v>
      </c>
      <c r="J56" s="6">
        <v>32</v>
      </c>
      <c r="K56" s="6">
        <v>68</v>
      </c>
      <c r="L56" s="6">
        <v>43</v>
      </c>
      <c r="M56" s="6">
        <v>18</v>
      </c>
      <c r="N56" s="1">
        <f t="shared" si="3"/>
        <v>227</v>
      </c>
      <c r="O56" s="14">
        <f t="shared" si="4"/>
        <v>37.833333333333336</v>
      </c>
      <c r="P56" s="20">
        <f t="shared" si="5"/>
        <v>50</v>
      </c>
    </row>
    <row r="57" spans="1:16" ht="18" customHeight="1">
      <c r="A57" s="19">
        <v>51</v>
      </c>
      <c r="B57" s="2" t="s">
        <v>3164</v>
      </c>
      <c r="C57" s="1">
        <v>4232785</v>
      </c>
      <c r="D57" s="3" t="s">
        <v>3165</v>
      </c>
      <c r="E57" s="1" t="s">
        <v>88</v>
      </c>
      <c r="F57" s="10" t="s">
        <v>3050</v>
      </c>
      <c r="G57" s="2">
        <v>17</v>
      </c>
      <c r="H57" s="6">
        <v>50</v>
      </c>
      <c r="I57" s="6">
        <v>48</v>
      </c>
      <c r="J57" s="6">
        <v>37</v>
      </c>
      <c r="K57" s="6">
        <v>35</v>
      </c>
      <c r="L57" s="6">
        <v>27</v>
      </c>
      <c r="M57" s="6">
        <v>21</v>
      </c>
      <c r="N57" s="1">
        <f t="shared" si="3"/>
        <v>218</v>
      </c>
      <c r="O57" s="14">
        <f t="shared" si="4"/>
        <v>36.333333333333336</v>
      </c>
      <c r="P57" s="20">
        <f t="shared" si="5"/>
        <v>51</v>
      </c>
    </row>
    <row r="58" spans="1:16" ht="18" customHeight="1">
      <c r="A58" s="19">
        <v>52</v>
      </c>
      <c r="B58" s="2" t="s">
        <v>3129</v>
      </c>
      <c r="C58" s="1" t="s">
        <v>3130</v>
      </c>
      <c r="D58" s="3" t="s">
        <v>3131</v>
      </c>
      <c r="E58" s="1" t="s">
        <v>73</v>
      </c>
      <c r="F58" s="10" t="s">
        <v>3050</v>
      </c>
      <c r="G58" s="2">
        <v>16</v>
      </c>
      <c r="H58" s="6">
        <v>93</v>
      </c>
      <c r="I58" s="6">
        <v>46</v>
      </c>
      <c r="J58" s="6">
        <v>0</v>
      </c>
      <c r="K58" s="6">
        <v>28</v>
      </c>
      <c r="L58" s="6">
        <v>17</v>
      </c>
      <c r="M58" s="6">
        <v>26</v>
      </c>
      <c r="N58" s="1">
        <f t="shared" si="3"/>
        <v>210</v>
      </c>
      <c r="O58" s="14">
        <f t="shared" si="4"/>
        <v>35</v>
      </c>
      <c r="P58" s="20">
        <f t="shared" si="5"/>
        <v>52</v>
      </c>
    </row>
    <row r="59" spans="1:16" ht="18" customHeight="1">
      <c r="A59" s="19">
        <v>53</v>
      </c>
      <c r="B59" s="2" t="s">
        <v>3107</v>
      </c>
      <c r="C59" s="1" t="s">
        <v>3108</v>
      </c>
      <c r="D59" s="3" t="s">
        <v>3109</v>
      </c>
      <c r="E59" s="1" t="s">
        <v>58</v>
      </c>
      <c r="F59" s="10" t="s">
        <v>3050</v>
      </c>
      <c r="G59" s="2">
        <v>15</v>
      </c>
      <c r="H59" s="6">
        <v>50</v>
      </c>
      <c r="I59" s="6">
        <v>70</v>
      </c>
      <c r="J59" s="6">
        <v>16</v>
      </c>
      <c r="K59" s="6">
        <v>36</v>
      </c>
      <c r="L59" s="6">
        <v>28</v>
      </c>
      <c r="M59" s="6">
        <v>8</v>
      </c>
      <c r="N59" s="1">
        <f t="shared" si="3"/>
        <v>208</v>
      </c>
      <c r="O59" s="14">
        <f t="shared" si="4"/>
        <v>34.666666666666664</v>
      </c>
      <c r="P59" s="20">
        <f t="shared" si="5"/>
        <v>53</v>
      </c>
    </row>
    <row r="60" spans="1:16" ht="18" customHeight="1">
      <c r="A60" s="19">
        <v>54</v>
      </c>
      <c r="B60" s="2" t="s">
        <v>3209</v>
      </c>
      <c r="C60" s="1">
        <v>311260962</v>
      </c>
      <c r="D60" s="3" t="s">
        <v>3210</v>
      </c>
      <c r="E60" s="1" t="s">
        <v>69</v>
      </c>
      <c r="F60" s="10" t="s">
        <v>3050</v>
      </c>
      <c r="G60" s="2">
        <v>17</v>
      </c>
      <c r="H60" s="6">
        <v>50</v>
      </c>
      <c r="I60" s="6">
        <v>32</v>
      </c>
      <c r="J60" s="6">
        <v>22</v>
      </c>
      <c r="K60" s="6">
        <v>58</v>
      </c>
      <c r="L60" s="6">
        <v>24</v>
      </c>
      <c r="M60" s="6">
        <v>18</v>
      </c>
      <c r="N60" s="1">
        <f t="shared" si="3"/>
        <v>204</v>
      </c>
      <c r="O60" s="14">
        <f t="shared" si="4"/>
        <v>34</v>
      </c>
      <c r="P60" s="20">
        <f t="shared" si="5"/>
        <v>54</v>
      </c>
    </row>
    <row r="61" spans="1:16" ht="18" customHeight="1">
      <c r="A61" s="19">
        <v>55</v>
      </c>
      <c r="B61" s="2" t="s">
        <v>3161</v>
      </c>
      <c r="C61" s="1" t="s">
        <v>3162</v>
      </c>
      <c r="D61" s="3" t="s">
        <v>3163</v>
      </c>
      <c r="E61" s="1" t="s">
        <v>78</v>
      </c>
      <c r="F61" s="10" t="s">
        <v>3050</v>
      </c>
      <c r="G61" s="2">
        <v>17</v>
      </c>
      <c r="H61" s="6">
        <v>50</v>
      </c>
      <c r="I61" s="6">
        <v>50</v>
      </c>
      <c r="J61" s="6">
        <v>23</v>
      </c>
      <c r="K61" s="6">
        <v>21</v>
      </c>
      <c r="L61" s="6">
        <v>23</v>
      </c>
      <c r="M61" s="6">
        <v>9</v>
      </c>
      <c r="N61" s="1">
        <f t="shared" si="3"/>
        <v>176</v>
      </c>
      <c r="O61" s="14">
        <f t="shared" si="4"/>
        <v>29.333333333333332</v>
      </c>
      <c r="P61" s="20">
        <f t="shared" si="5"/>
        <v>55</v>
      </c>
    </row>
    <row r="62" spans="1:16" ht="18" customHeight="1">
      <c r="A62" s="19">
        <v>56</v>
      </c>
      <c r="B62" s="2" t="s">
        <v>3207</v>
      </c>
      <c r="C62" s="1">
        <v>311260944</v>
      </c>
      <c r="D62" s="3" t="s">
        <v>3208</v>
      </c>
      <c r="E62" s="1" t="s">
        <v>63</v>
      </c>
      <c r="F62" s="10" t="s">
        <v>3050</v>
      </c>
      <c r="G62" s="2">
        <v>17</v>
      </c>
      <c r="H62" s="6">
        <v>36</v>
      </c>
      <c r="I62" s="6">
        <v>32</v>
      </c>
      <c r="J62" s="6">
        <v>13</v>
      </c>
      <c r="K62" s="6">
        <v>40</v>
      </c>
      <c r="L62" s="6">
        <v>12</v>
      </c>
      <c r="M62" s="6">
        <v>8</v>
      </c>
      <c r="N62" s="1">
        <f t="shared" si="3"/>
        <v>141</v>
      </c>
      <c r="O62" s="14">
        <f t="shared" si="4"/>
        <v>23.5</v>
      </c>
      <c r="P62" s="20">
        <f t="shared" si="5"/>
        <v>56</v>
      </c>
    </row>
    <row r="63" spans="1:16" ht="18" customHeight="1">
      <c r="A63" s="19">
        <v>57</v>
      </c>
      <c r="B63" s="2" t="s">
        <v>3054</v>
      </c>
      <c r="C63" s="1" t="s">
        <v>3055</v>
      </c>
      <c r="D63" s="3" t="s">
        <v>3056</v>
      </c>
      <c r="E63" s="1" t="s">
        <v>69</v>
      </c>
      <c r="F63" s="10" t="s">
        <v>3050</v>
      </c>
      <c r="G63" s="2">
        <v>15</v>
      </c>
      <c r="H63" s="6"/>
      <c r="I63" s="6"/>
      <c r="J63" s="6"/>
      <c r="K63" s="6"/>
      <c r="L63" s="6"/>
      <c r="M63" s="6"/>
      <c r="N63" s="1">
        <f t="shared" si="3"/>
        <v>0</v>
      </c>
      <c r="O63" s="14">
        <f t="shared" si="4"/>
        <v>0</v>
      </c>
      <c r="P63" s="20">
        <f t="shared" si="5"/>
        <v>57</v>
      </c>
    </row>
    <row r="64" spans="1:16" ht="18" customHeight="1">
      <c r="A64" s="19">
        <v>58</v>
      </c>
      <c r="B64" s="2" t="s">
        <v>3072</v>
      </c>
      <c r="C64" s="1" t="s">
        <v>3073</v>
      </c>
      <c r="D64" s="3" t="s">
        <v>3074</v>
      </c>
      <c r="E64" s="1" t="s">
        <v>79</v>
      </c>
      <c r="F64" s="10" t="s">
        <v>3050</v>
      </c>
      <c r="G64" s="2">
        <v>15</v>
      </c>
      <c r="H64" s="6"/>
      <c r="I64" s="6"/>
      <c r="J64" s="6"/>
      <c r="K64" s="6"/>
      <c r="L64" s="6"/>
      <c r="M64" s="6"/>
      <c r="N64" s="1">
        <f t="shared" si="3"/>
        <v>0</v>
      </c>
      <c r="O64" s="14">
        <f t="shared" si="4"/>
        <v>0</v>
      </c>
      <c r="P64" s="20">
        <f t="shared" si="5"/>
        <v>57</v>
      </c>
    </row>
    <row r="65" spans="1:16" ht="18" customHeight="1">
      <c r="A65" s="19">
        <v>59</v>
      </c>
      <c r="B65" s="2" t="s">
        <v>3118</v>
      </c>
      <c r="C65" s="1">
        <v>311240403</v>
      </c>
      <c r="D65" s="3" t="s">
        <v>3119</v>
      </c>
      <c r="E65" s="1" t="s">
        <v>60</v>
      </c>
      <c r="F65" s="10" t="s">
        <v>3050</v>
      </c>
      <c r="G65" s="2">
        <v>16</v>
      </c>
      <c r="H65" s="6"/>
      <c r="I65" s="6"/>
      <c r="J65" s="6"/>
      <c r="K65" s="6"/>
      <c r="L65" s="6"/>
      <c r="M65" s="6"/>
      <c r="N65" s="1">
        <f t="shared" si="3"/>
        <v>0</v>
      </c>
      <c r="O65" s="14">
        <f t="shared" si="4"/>
        <v>0</v>
      </c>
      <c r="P65" s="20">
        <f t="shared" si="5"/>
        <v>57</v>
      </c>
    </row>
    <row r="66" spans="1:16" ht="18" customHeight="1">
      <c r="A66" s="19">
        <v>60</v>
      </c>
      <c r="B66" s="2" t="s">
        <v>3122</v>
      </c>
      <c r="C66" s="1">
        <v>311240448</v>
      </c>
      <c r="D66" s="3" t="s">
        <v>3123</v>
      </c>
      <c r="E66" s="1" t="s">
        <v>62</v>
      </c>
      <c r="F66" s="10" t="s">
        <v>3050</v>
      </c>
      <c r="G66" s="2">
        <v>16</v>
      </c>
      <c r="H66" s="6"/>
      <c r="I66" s="6"/>
      <c r="J66" s="6"/>
      <c r="K66" s="6"/>
      <c r="L66" s="6"/>
      <c r="M66" s="6"/>
      <c r="N66" s="1">
        <f t="shared" si="3"/>
        <v>0</v>
      </c>
      <c r="O66" s="14">
        <f t="shared" si="4"/>
        <v>0</v>
      </c>
      <c r="P66" s="20">
        <f t="shared" si="5"/>
        <v>57</v>
      </c>
    </row>
    <row r="67" spans="1:16" ht="18" customHeight="1">
      <c r="A67" s="19">
        <v>61</v>
      </c>
      <c r="B67" s="28" t="s">
        <v>3148</v>
      </c>
      <c r="C67" s="29" t="s">
        <v>3149</v>
      </c>
      <c r="D67" s="30" t="s">
        <v>3150</v>
      </c>
      <c r="E67" s="29" t="s">
        <v>64</v>
      </c>
      <c r="F67" s="31" t="s">
        <v>3050</v>
      </c>
      <c r="G67" s="28">
        <v>16</v>
      </c>
      <c r="H67" s="46"/>
      <c r="I67" s="46"/>
      <c r="J67" s="46"/>
      <c r="K67" s="46"/>
      <c r="L67" s="46"/>
      <c r="M67" s="46"/>
      <c r="N67" s="29">
        <f t="shared" si="3"/>
        <v>0</v>
      </c>
      <c r="O67" s="41">
        <f t="shared" si="4"/>
        <v>0</v>
      </c>
      <c r="P67" s="33">
        <f t="shared" si="5"/>
        <v>57</v>
      </c>
    </row>
  </sheetData>
  <mergeCells count="4">
    <mergeCell ref="A1:P1"/>
    <mergeCell ref="A2:P2"/>
    <mergeCell ref="A3:P3"/>
    <mergeCell ref="A5:B5"/>
  </mergeCells>
  <conditionalFormatting sqref="H7:M7">
    <cfRule type="expression" dxfId="4708" priority="243">
      <formula>5</formula>
    </cfRule>
    <cfRule type="cellIs" dxfId="4707" priority="244" operator="lessThan">
      <formula>5</formula>
    </cfRule>
  </conditionalFormatting>
  <conditionalFormatting sqref="H7:M7">
    <cfRule type="cellIs" dxfId="4706" priority="242" operator="lessThan">
      <formula>50</formula>
    </cfRule>
  </conditionalFormatting>
  <conditionalFormatting sqref="O7">
    <cfRule type="cellIs" dxfId="4705" priority="241" operator="lessThan">
      <formula>50</formula>
    </cfRule>
  </conditionalFormatting>
  <conditionalFormatting sqref="H8:M8">
    <cfRule type="expression" dxfId="4704" priority="239">
      <formula>5</formula>
    </cfRule>
    <cfRule type="cellIs" dxfId="4703" priority="240" operator="lessThan">
      <formula>5</formula>
    </cfRule>
  </conditionalFormatting>
  <conditionalFormatting sqref="H8:M8">
    <cfRule type="cellIs" dxfId="4702" priority="238" operator="lessThan">
      <formula>50</formula>
    </cfRule>
  </conditionalFormatting>
  <conditionalFormatting sqref="O8">
    <cfRule type="cellIs" dxfId="4701" priority="237" operator="lessThan">
      <formula>50</formula>
    </cfRule>
  </conditionalFormatting>
  <conditionalFormatting sqref="H9:M9">
    <cfRule type="expression" dxfId="4700" priority="235">
      <formula>5</formula>
    </cfRule>
    <cfRule type="cellIs" dxfId="4699" priority="236" operator="lessThan">
      <formula>5</formula>
    </cfRule>
  </conditionalFormatting>
  <conditionalFormatting sqref="H9:M9">
    <cfRule type="cellIs" dxfId="4698" priority="234" operator="lessThan">
      <formula>50</formula>
    </cfRule>
  </conditionalFormatting>
  <conditionalFormatting sqref="O9">
    <cfRule type="cellIs" dxfId="4697" priority="233" operator="lessThan">
      <formula>50</formula>
    </cfRule>
  </conditionalFormatting>
  <conditionalFormatting sqref="H10:M10">
    <cfRule type="expression" dxfId="4696" priority="231">
      <formula>5</formula>
    </cfRule>
    <cfRule type="cellIs" dxfId="4695" priority="232" operator="lessThan">
      <formula>5</formula>
    </cfRule>
  </conditionalFormatting>
  <conditionalFormatting sqref="H10:M10">
    <cfRule type="cellIs" dxfId="4694" priority="230" operator="lessThan">
      <formula>50</formula>
    </cfRule>
  </conditionalFormatting>
  <conditionalFormatting sqref="O10">
    <cfRule type="cellIs" dxfId="4693" priority="229" operator="lessThan">
      <formula>50</formula>
    </cfRule>
  </conditionalFormatting>
  <conditionalFormatting sqref="H11:M11">
    <cfRule type="expression" dxfId="4692" priority="227">
      <formula>5</formula>
    </cfRule>
    <cfRule type="cellIs" dxfId="4691" priority="228" operator="lessThan">
      <formula>5</formula>
    </cfRule>
  </conditionalFormatting>
  <conditionalFormatting sqref="H11:M11">
    <cfRule type="cellIs" dxfId="4690" priority="226" operator="lessThan">
      <formula>50</formula>
    </cfRule>
  </conditionalFormatting>
  <conditionalFormatting sqref="O11">
    <cfRule type="cellIs" dxfId="4689" priority="225" operator="lessThan">
      <formula>50</formula>
    </cfRule>
  </conditionalFormatting>
  <conditionalFormatting sqref="H12:M12">
    <cfRule type="expression" dxfId="4688" priority="223">
      <formula>5</formula>
    </cfRule>
    <cfRule type="cellIs" dxfId="4687" priority="224" operator="lessThan">
      <formula>5</formula>
    </cfRule>
  </conditionalFormatting>
  <conditionalFormatting sqref="H12:M12">
    <cfRule type="cellIs" dxfId="4686" priority="222" operator="lessThan">
      <formula>50</formula>
    </cfRule>
  </conditionalFormatting>
  <conditionalFormatting sqref="O12">
    <cfRule type="cellIs" dxfId="4685" priority="221" operator="lessThan">
      <formula>50</formula>
    </cfRule>
  </conditionalFormatting>
  <conditionalFormatting sqref="H13:M13">
    <cfRule type="expression" dxfId="4684" priority="219">
      <formula>5</formula>
    </cfRule>
    <cfRule type="cellIs" dxfId="4683" priority="220" operator="lessThan">
      <formula>5</formula>
    </cfRule>
  </conditionalFormatting>
  <conditionalFormatting sqref="H13:M13">
    <cfRule type="cellIs" dxfId="4682" priority="218" operator="lessThan">
      <formula>50</formula>
    </cfRule>
  </conditionalFormatting>
  <conditionalFormatting sqref="O13">
    <cfRule type="cellIs" dxfId="4681" priority="217" operator="lessThan">
      <formula>50</formula>
    </cfRule>
  </conditionalFormatting>
  <conditionalFormatting sqref="H14:M14">
    <cfRule type="expression" dxfId="4680" priority="215">
      <formula>5</formula>
    </cfRule>
    <cfRule type="cellIs" dxfId="4679" priority="216" operator="lessThan">
      <formula>5</formula>
    </cfRule>
  </conditionalFormatting>
  <conditionalFormatting sqref="H14:M14">
    <cfRule type="cellIs" dxfId="4678" priority="214" operator="lessThan">
      <formula>50</formula>
    </cfRule>
  </conditionalFormatting>
  <conditionalFormatting sqref="O14">
    <cfRule type="cellIs" dxfId="4677" priority="213" operator="lessThan">
      <formula>50</formula>
    </cfRule>
  </conditionalFormatting>
  <conditionalFormatting sqref="H15:M15">
    <cfRule type="expression" dxfId="4676" priority="211">
      <formula>5</formula>
    </cfRule>
    <cfRule type="cellIs" dxfId="4675" priority="212" operator="lessThan">
      <formula>5</formula>
    </cfRule>
  </conditionalFormatting>
  <conditionalFormatting sqref="H15:M15">
    <cfRule type="cellIs" dxfId="4674" priority="210" operator="lessThan">
      <formula>50</formula>
    </cfRule>
  </conditionalFormatting>
  <conditionalFormatting sqref="O15">
    <cfRule type="cellIs" dxfId="4673" priority="209" operator="lessThan">
      <formula>50</formula>
    </cfRule>
  </conditionalFormatting>
  <conditionalFormatting sqref="H16:M16">
    <cfRule type="expression" dxfId="4672" priority="207">
      <formula>5</formula>
    </cfRule>
    <cfRule type="cellIs" dxfId="4671" priority="208" operator="lessThan">
      <formula>5</formula>
    </cfRule>
  </conditionalFormatting>
  <conditionalFormatting sqref="H16:M16">
    <cfRule type="cellIs" dxfId="4670" priority="206" operator="lessThan">
      <formula>50</formula>
    </cfRule>
  </conditionalFormatting>
  <conditionalFormatting sqref="O16">
    <cfRule type="cellIs" dxfId="4669" priority="205" operator="lessThan">
      <formula>50</formula>
    </cfRule>
  </conditionalFormatting>
  <conditionalFormatting sqref="H17:M17">
    <cfRule type="expression" dxfId="4668" priority="203">
      <formula>5</formula>
    </cfRule>
    <cfRule type="cellIs" dxfId="4667" priority="204" operator="lessThan">
      <formula>5</formula>
    </cfRule>
  </conditionalFormatting>
  <conditionalFormatting sqref="H17:M17">
    <cfRule type="cellIs" dxfId="4666" priority="202" operator="lessThan">
      <formula>50</formula>
    </cfRule>
  </conditionalFormatting>
  <conditionalFormatting sqref="O17">
    <cfRule type="cellIs" dxfId="4665" priority="201" operator="lessThan">
      <formula>50</formula>
    </cfRule>
  </conditionalFormatting>
  <conditionalFormatting sqref="H18:M18">
    <cfRule type="expression" dxfId="4664" priority="199">
      <formula>5</formula>
    </cfRule>
    <cfRule type="cellIs" dxfId="4663" priority="200" operator="lessThan">
      <formula>5</formula>
    </cfRule>
  </conditionalFormatting>
  <conditionalFormatting sqref="H18:M18">
    <cfRule type="cellIs" dxfId="4662" priority="198" operator="lessThan">
      <formula>50</formula>
    </cfRule>
  </conditionalFormatting>
  <conditionalFormatting sqref="O18">
    <cfRule type="cellIs" dxfId="4661" priority="197" operator="lessThan">
      <formula>50</formula>
    </cfRule>
  </conditionalFormatting>
  <conditionalFormatting sqref="H19:M19">
    <cfRule type="expression" dxfId="4660" priority="195">
      <formula>5</formula>
    </cfRule>
    <cfRule type="cellIs" dxfId="4659" priority="196" operator="lessThan">
      <formula>5</formula>
    </cfRule>
  </conditionalFormatting>
  <conditionalFormatting sqref="H19:M19">
    <cfRule type="cellIs" dxfId="4658" priority="194" operator="lessThan">
      <formula>50</formula>
    </cfRule>
  </conditionalFormatting>
  <conditionalFormatting sqref="O19">
    <cfRule type="cellIs" dxfId="4657" priority="193" operator="lessThan">
      <formula>50</formula>
    </cfRule>
  </conditionalFormatting>
  <conditionalFormatting sqref="H20:M20">
    <cfRule type="expression" dxfId="4656" priority="191">
      <formula>5</formula>
    </cfRule>
    <cfRule type="cellIs" dxfId="4655" priority="192" operator="lessThan">
      <formula>5</formula>
    </cfRule>
  </conditionalFormatting>
  <conditionalFormatting sqref="H20:M20">
    <cfRule type="cellIs" dxfId="4654" priority="190" operator="lessThan">
      <formula>50</formula>
    </cfRule>
  </conditionalFormatting>
  <conditionalFormatting sqref="O20">
    <cfRule type="cellIs" dxfId="4653" priority="189" operator="lessThan">
      <formula>50</formula>
    </cfRule>
  </conditionalFormatting>
  <conditionalFormatting sqref="H21:M21">
    <cfRule type="expression" dxfId="4652" priority="187">
      <formula>5</formula>
    </cfRule>
    <cfRule type="cellIs" dxfId="4651" priority="188" operator="lessThan">
      <formula>5</formula>
    </cfRule>
  </conditionalFormatting>
  <conditionalFormatting sqref="H21:M21">
    <cfRule type="cellIs" dxfId="4650" priority="186" operator="lessThan">
      <formula>50</formula>
    </cfRule>
  </conditionalFormatting>
  <conditionalFormatting sqref="O21">
    <cfRule type="cellIs" dxfId="4649" priority="185" operator="lessThan">
      <formula>50</formula>
    </cfRule>
  </conditionalFormatting>
  <conditionalFormatting sqref="H22:M22">
    <cfRule type="expression" dxfId="4648" priority="183">
      <formula>5</formula>
    </cfRule>
    <cfRule type="cellIs" dxfId="4647" priority="184" operator="lessThan">
      <formula>5</formula>
    </cfRule>
  </conditionalFormatting>
  <conditionalFormatting sqref="H22:M22">
    <cfRule type="cellIs" dxfId="4646" priority="182" operator="lessThan">
      <formula>50</formula>
    </cfRule>
  </conditionalFormatting>
  <conditionalFormatting sqref="O22">
    <cfRule type="cellIs" dxfId="4645" priority="181" operator="lessThan">
      <formula>50</formula>
    </cfRule>
  </conditionalFormatting>
  <conditionalFormatting sqref="H23:M23">
    <cfRule type="expression" dxfId="4644" priority="179">
      <formula>5</formula>
    </cfRule>
    <cfRule type="cellIs" dxfId="4643" priority="180" operator="lessThan">
      <formula>5</formula>
    </cfRule>
  </conditionalFormatting>
  <conditionalFormatting sqref="H23:M23">
    <cfRule type="cellIs" dxfId="4642" priority="178" operator="lessThan">
      <formula>50</formula>
    </cfRule>
  </conditionalFormatting>
  <conditionalFormatting sqref="O23">
    <cfRule type="cellIs" dxfId="4641" priority="177" operator="lessThan">
      <formula>50</formula>
    </cfRule>
  </conditionalFormatting>
  <conditionalFormatting sqref="H24:M24">
    <cfRule type="expression" dxfId="4640" priority="175">
      <formula>5</formula>
    </cfRule>
    <cfRule type="cellIs" dxfId="4639" priority="176" operator="lessThan">
      <formula>5</formula>
    </cfRule>
  </conditionalFormatting>
  <conditionalFormatting sqref="H24:M24">
    <cfRule type="cellIs" dxfId="4638" priority="174" operator="lessThan">
      <formula>50</formula>
    </cfRule>
  </conditionalFormatting>
  <conditionalFormatting sqref="O24">
    <cfRule type="cellIs" dxfId="4637" priority="173" operator="lessThan">
      <formula>50</formula>
    </cfRule>
  </conditionalFormatting>
  <conditionalFormatting sqref="H25:M25">
    <cfRule type="expression" dxfId="4636" priority="171">
      <formula>5</formula>
    </cfRule>
    <cfRule type="cellIs" dxfId="4635" priority="172" operator="lessThan">
      <formula>5</formula>
    </cfRule>
  </conditionalFormatting>
  <conditionalFormatting sqref="H25:M25">
    <cfRule type="cellIs" dxfId="4634" priority="170" operator="lessThan">
      <formula>50</formula>
    </cfRule>
  </conditionalFormatting>
  <conditionalFormatting sqref="O25">
    <cfRule type="cellIs" dxfId="4633" priority="169" operator="lessThan">
      <formula>50</formula>
    </cfRule>
  </conditionalFormatting>
  <conditionalFormatting sqref="H26:M26">
    <cfRule type="expression" dxfId="4632" priority="167">
      <formula>5</formula>
    </cfRule>
    <cfRule type="cellIs" dxfId="4631" priority="168" operator="lessThan">
      <formula>5</formula>
    </cfRule>
  </conditionalFormatting>
  <conditionalFormatting sqref="H26:M26">
    <cfRule type="cellIs" dxfId="4630" priority="166" operator="lessThan">
      <formula>50</formula>
    </cfRule>
  </conditionalFormatting>
  <conditionalFormatting sqref="O26">
    <cfRule type="cellIs" dxfId="4629" priority="165" operator="lessThan">
      <formula>50</formula>
    </cfRule>
  </conditionalFormatting>
  <conditionalFormatting sqref="H27:M27">
    <cfRule type="expression" dxfId="4628" priority="163">
      <formula>5</formula>
    </cfRule>
    <cfRule type="cellIs" dxfId="4627" priority="164" operator="lessThan">
      <formula>5</formula>
    </cfRule>
  </conditionalFormatting>
  <conditionalFormatting sqref="H27:M27">
    <cfRule type="cellIs" dxfId="4626" priority="162" operator="lessThan">
      <formula>50</formula>
    </cfRule>
  </conditionalFormatting>
  <conditionalFormatting sqref="O27">
    <cfRule type="cellIs" dxfId="4625" priority="161" operator="lessThan">
      <formula>50</formula>
    </cfRule>
  </conditionalFormatting>
  <conditionalFormatting sqref="H28:M28">
    <cfRule type="expression" dxfId="4624" priority="159">
      <formula>5</formula>
    </cfRule>
    <cfRule type="cellIs" dxfId="4623" priority="160" operator="lessThan">
      <formula>5</formula>
    </cfRule>
  </conditionalFormatting>
  <conditionalFormatting sqref="H28:M28">
    <cfRule type="cellIs" dxfId="4622" priority="158" operator="lessThan">
      <formula>50</formula>
    </cfRule>
  </conditionalFormatting>
  <conditionalFormatting sqref="O28">
    <cfRule type="cellIs" dxfId="4621" priority="157" operator="lessThan">
      <formula>50</formula>
    </cfRule>
  </conditionalFormatting>
  <conditionalFormatting sqref="H29:M29">
    <cfRule type="expression" dxfId="4620" priority="155">
      <formula>5</formula>
    </cfRule>
    <cfRule type="cellIs" dxfId="4619" priority="156" operator="lessThan">
      <formula>5</formula>
    </cfRule>
  </conditionalFormatting>
  <conditionalFormatting sqref="H29:M29">
    <cfRule type="cellIs" dxfId="4618" priority="154" operator="lessThan">
      <formula>50</formula>
    </cfRule>
  </conditionalFormatting>
  <conditionalFormatting sqref="O29">
    <cfRule type="cellIs" dxfId="4617" priority="153" operator="lessThan">
      <formula>50</formula>
    </cfRule>
  </conditionalFormatting>
  <conditionalFormatting sqref="H30:M30">
    <cfRule type="expression" dxfId="4616" priority="151">
      <formula>5</formula>
    </cfRule>
    <cfRule type="cellIs" dxfId="4615" priority="152" operator="lessThan">
      <formula>5</formula>
    </cfRule>
  </conditionalFormatting>
  <conditionalFormatting sqref="H30:M30">
    <cfRule type="cellIs" dxfId="4614" priority="150" operator="lessThan">
      <formula>50</formula>
    </cfRule>
  </conditionalFormatting>
  <conditionalFormatting sqref="O30">
    <cfRule type="cellIs" dxfId="4613" priority="149" operator="lessThan">
      <formula>50</formula>
    </cfRule>
  </conditionalFormatting>
  <conditionalFormatting sqref="H31:M31">
    <cfRule type="expression" dxfId="4612" priority="147">
      <formula>5</formula>
    </cfRule>
    <cfRule type="cellIs" dxfId="4611" priority="148" operator="lessThan">
      <formula>5</formula>
    </cfRule>
  </conditionalFormatting>
  <conditionalFormatting sqref="H31:M31">
    <cfRule type="cellIs" dxfId="4610" priority="146" operator="lessThan">
      <formula>50</formula>
    </cfRule>
  </conditionalFormatting>
  <conditionalFormatting sqref="O31">
    <cfRule type="cellIs" dxfId="4609" priority="145" operator="lessThan">
      <formula>50</formula>
    </cfRule>
  </conditionalFormatting>
  <conditionalFormatting sqref="H32:M32">
    <cfRule type="expression" dxfId="4608" priority="143">
      <formula>5</formula>
    </cfRule>
    <cfRule type="cellIs" dxfId="4607" priority="144" operator="lessThan">
      <formula>5</formula>
    </cfRule>
  </conditionalFormatting>
  <conditionalFormatting sqref="H32:M32">
    <cfRule type="cellIs" dxfId="4606" priority="142" operator="lessThan">
      <formula>50</formula>
    </cfRule>
  </conditionalFormatting>
  <conditionalFormatting sqref="O32">
    <cfRule type="cellIs" dxfId="4605" priority="141" operator="lessThan">
      <formula>50</formula>
    </cfRule>
  </conditionalFormatting>
  <conditionalFormatting sqref="H33:M33">
    <cfRule type="expression" dxfId="4604" priority="139">
      <formula>5</formula>
    </cfRule>
    <cfRule type="cellIs" dxfId="4603" priority="140" operator="lessThan">
      <formula>5</formula>
    </cfRule>
  </conditionalFormatting>
  <conditionalFormatting sqref="H33:M33">
    <cfRule type="cellIs" dxfId="4602" priority="138" operator="lessThan">
      <formula>50</formula>
    </cfRule>
  </conditionalFormatting>
  <conditionalFormatting sqref="O33">
    <cfRule type="cellIs" dxfId="4601" priority="137" operator="lessThan">
      <formula>50</formula>
    </cfRule>
  </conditionalFormatting>
  <conditionalFormatting sqref="H34:M34">
    <cfRule type="expression" dxfId="4600" priority="135">
      <formula>5</formula>
    </cfRule>
    <cfRule type="cellIs" dxfId="4599" priority="136" operator="lessThan">
      <formula>5</formula>
    </cfRule>
  </conditionalFormatting>
  <conditionalFormatting sqref="H34:M34">
    <cfRule type="cellIs" dxfId="4598" priority="134" operator="lessThan">
      <formula>50</formula>
    </cfRule>
  </conditionalFormatting>
  <conditionalFormatting sqref="O34">
    <cfRule type="cellIs" dxfId="4597" priority="133" operator="lessThan">
      <formula>50</formula>
    </cfRule>
  </conditionalFormatting>
  <conditionalFormatting sqref="H35:M35">
    <cfRule type="expression" dxfId="4596" priority="131">
      <formula>5</formula>
    </cfRule>
    <cfRule type="cellIs" dxfId="4595" priority="132" operator="lessThan">
      <formula>5</formula>
    </cfRule>
  </conditionalFormatting>
  <conditionalFormatting sqref="H35:M35">
    <cfRule type="cellIs" dxfId="4594" priority="130" operator="lessThan">
      <formula>50</formula>
    </cfRule>
  </conditionalFormatting>
  <conditionalFormatting sqref="O35">
    <cfRule type="cellIs" dxfId="4593" priority="129" operator="lessThan">
      <formula>50</formula>
    </cfRule>
  </conditionalFormatting>
  <conditionalFormatting sqref="H36:M36">
    <cfRule type="expression" dxfId="4592" priority="127">
      <formula>5</formula>
    </cfRule>
    <cfRule type="cellIs" dxfId="4591" priority="128" operator="lessThan">
      <formula>5</formula>
    </cfRule>
  </conditionalFormatting>
  <conditionalFormatting sqref="H36:M36">
    <cfRule type="cellIs" dxfId="4590" priority="126" operator="lessThan">
      <formula>50</formula>
    </cfRule>
  </conditionalFormatting>
  <conditionalFormatting sqref="O36">
    <cfRule type="cellIs" dxfId="4589" priority="125" operator="lessThan">
      <formula>50</formula>
    </cfRule>
  </conditionalFormatting>
  <conditionalFormatting sqref="H37:M37">
    <cfRule type="expression" dxfId="4588" priority="123">
      <formula>5</formula>
    </cfRule>
    <cfRule type="cellIs" dxfId="4587" priority="124" operator="lessThan">
      <formula>5</formula>
    </cfRule>
  </conditionalFormatting>
  <conditionalFormatting sqref="H37:M37">
    <cfRule type="cellIs" dxfId="4586" priority="122" operator="lessThan">
      <formula>50</formula>
    </cfRule>
  </conditionalFormatting>
  <conditionalFormatting sqref="O37">
    <cfRule type="cellIs" dxfId="4585" priority="121" operator="lessThan">
      <formula>50</formula>
    </cfRule>
  </conditionalFormatting>
  <conditionalFormatting sqref="H38:M38">
    <cfRule type="expression" dxfId="4584" priority="119">
      <formula>5</formula>
    </cfRule>
    <cfRule type="cellIs" dxfId="4583" priority="120" operator="lessThan">
      <formula>5</formula>
    </cfRule>
  </conditionalFormatting>
  <conditionalFormatting sqref="H38:M38">
    <cfRule type="cellIs" dxfId="4582" priority="118" operator="lessThan">
      <formula>50</formula>
    </cfRule>
  </conditionalFormatting>
  <conditionalFormatting sqref="O38">
    <cfRule type="cellIs" dxfId="4581" priority="117" operator="lessThan">
      <formula>50</formula>
    </cfRule>
  </conditionalFormatting>
  <conditionalFormatting sqref="H39:M39">
    <cfRule type="expression" dxfId="4580" priority="115">
      <formula>5</formula>
    </cfRule>
    <cfRule type="cellIs" dxfId="4579" priority="116" operator="lessThan">
      <formula>5</formula>
    </cfRule>
  </conditionalFormatting>
  <conditionalFormatting sqref="H39:M39">
    <cfRule type="cellIs" dxfId="4578" priority="114" operator="lessThan">
      <formula>50</formula>
    </cfRule>
  </conditionalFormatting>
  <conditionalFormatting sqref="O39">
    <cfRule type="cellIs" dxfId="4577" priority="113" operator="lessThan">
      <formula>50</formula>
    </cfRule>
  </conditionalFormatting>
  <conditionalFormatting sqref="H40:M40">
    <cfRule type="expression" dxfId="4576" priority="111">
      <formula>5</formula>
    </cfRule>
    <cfRule type="cellIs" dxfId="4575" priority="112" operator="lessThan">
      <formula>5</formula>
    </cfRule>
  </conditionalFormatting>
  <conditionalFormatting sqref="H40:M40">
    <cfRule type="cellIs" dxfId="4574" priority="110" operator="lessThan">
      <formula>50</formula>
    </cfRule>
  </conditionalFormatting>
  <conditionalFormatting sqref="O40">
    <cfRule type="cellIs" dxfId="4573" priority="109" operator="lessThan">
      <formula>50</formula>
    </cfRule>
  </conditionalFormatting>
  <conditionalFormatting sqref="H41:M41">
    <cfRule type="expression" dxfId="4572" priority="107">
      <formula>5</formula>
    </cfRule>
    <cfRule type="cellIs" dxfId="4571" priority="108" operator="lessThan">
      <formula>5</formula>
    </cfRule>
  </conditionalFormatting>
  <conditionalFormatting sqref="H41:M41">
    <cfRule type="cellIs" dxfId="4570" priority="106" operator="lessThan">
      <formula>50</formula>
    </cfRule>
  </conditionalFormatting>
  <conditionalFormatting sqref="O41">
    <cfRule type="cellIs" dxfId="4569" priority="105" operator="lessThan">
      <formula>50</formula>
    </cfRule>
  </conditionalFormatting>
  <conditionalFormatting sqref="H42:M42">
    <cfRule type="expression" dxfId="4568" priority="103">
      <formula>5</formula>
    </cfRule>
    <cfRule type="cellIs" dxfId="4567" priority="104" operator="lessThan">
      <formula>5</formula>
    </cfRule>
  </conditionalFormatting>
  <conditionalFormatting sqref="H42:M42">
    <cfRule type="cellIs" dxfId="4566" priority="102" operator="lessThan">
      <formula>50</formula>
    </cfRule>
  </conditionalFormatting>
  <conditionalFormatting sqref="O42">
    <cfRule type="cellIs" dxfId="4565" priority="101" operator="lessThan">
      <formula>50</formula>
    </cfRule>
  </conditionalFormatting>
  <conditionalFormatting sqref="H43:M43">
    <cfRule type="expression" dxfId="4564" priority="99">
      <formula>5</formula>
    </cfRule>
    <cfRule type="cellIs" dxfId="4563" priority="100" operator="lessThan">
      <formula>5</formula>
    </cfRule>
  </conditionalFormatting>
  <conditionalFormatting sqref="H43:M43">
    <cfRule type="cellIs" dxfId="4562" priority="98" operator="lessThan">
      <formula>50</formula>
    </cfRule>
  </conditionalFormatting>
  <conditionalFormatting sqref="O43">
    <cfRule type="cellIs" dxfId="4561" priority="97" operator="lessThan">
      <formula>50</formula>
    </cfRule>
  </conditionalFormatting>
  <conditionalFormatting sqref="H44:M44">
    <cfRule type="expression" dxfId="4560" priority="95">
      <formula>5</formula>
    </cfRule>
    <cfRule type="cellIs" dxfId="4559" priority="96" operator="lessThan">
      <formula>5</formula>
    </cfRule>
  </conditionalFormatting>
  <conditionalFormatting sqref="H44:M44">
    <cfRule type="cellIs" dxfId="4558" priority="94" operator="lessThan">
      <formula>50</formula>
    </cfRule>
  </conditionalFormatting>
  <conditionalFormatting sqref="O44">
    <cfRule type="cellIs" dxfId="4557" priority="93" operator="lessThan">
      <formula>50</formula>
    </cfRule>
  </conditionalFormatting>
  <conditionalFormatting sqref="H45:M45">
    <cfRule type="expression" dxfId="4556" priority="91">
      <formula>5</formula>
    </cfRule>
    <cfRule type="cellIs" dxfId="4555" priority="92" operator="lessThan">
      <formula>5</formula>
    </cfRule>
  </conditionalFormatting>
  <conditionalFormatting sqref="H45:M45">
    <cfRule type="cellIs" dxfId="4554" priority="90" operator="lessThan">
      <formula>50</formula>
    </cfRule>
  </conditionalFormatting>
  <conditionalFormatting sqref="O45">
    <cfRule type="cellIs" dxfId="4553" priority="89" operator="lessThan">
      <formula>50</formula>
    </cfRule>
  </conditionalFormatting>
  <conditionalFormatting sqref="H46:M46">
    <cfRule type="expression" dxfId="4552" priority="87">
      <formula>5</formula>
    </cfRule>
    <cfRule type="cellIs" dxfId="4551" priority="88" operator="lessThan">
      <formula>5</formula>
    </cfRule>
  </conditionalFormatting>
  <conditionalFormatting sqref="H46:M46">
    <cfRule type="cellIs" dxfId="4550" priority="86" operator="lessThan">
      <formula>50</formula>
    </cfRule>
  </conditionalFormatting>
  <conditionalFormatting sqref="O46">
    <cfRule type="cellIs" dxfId="4549" priority="85" operator="lessThan">
      <formula>50</formula>
    </cfRule>
  </conditionalFormatting>
  <conditionalFormatting sqref="H47:M47">
    <cfRule type="expression" dxfId="4548" priority="83">
      <formula>5</formula>
    </cfRule>
    <cfRule type="cellIs" dxfId="4547" priority="84" operator="lessThan">
      <formula>5</formula>
    </cfRule>
  </conditionalFormatting>
  <conditionalFormatting sqref="H47:M47">
    <cfRule type="cellIs" dxfId="4546" priority="82" operator="lessThan">
      <formula>50</formula>
    </cfRule>
  </conditionalFormatting>
  <conditionalFormatting sqref="O47">
    <cfRule type="cellIs" dxfId="4545" priority="81" operator="lessThan">
      <formula>50</formula>
    </cfRule>
  </conditionalFormatting>
  <conditionalFormatting sqref="H48:M48">
    <cfRule type="expression" dxfId="4544" priority="79">
      <formula>5</formula>
    </cfRule>
    <cfRule type="cellIs" dxfId="4543" priority="80" operator="lessThan">
      <formula>5</formula>
    </cfRule>
  </conditionalFormatting>
  <conditionalFormatting sqref="H48:M48">
    <cfRule type="cellIs" dxfId="4542" priority="78" operator="lessThan">
      <formula>50</formula>
    </cfRule>
  </conditionalFormatting>
  <conditionalFormatting sqref="O48">
    <cfRule type="cellIs" dxfId="4541" priority="77" operator="lessThan">
      <formula>50</formula>
    </cfRule>
  </conditionalFormatting>
  <conditionalFormatting sqref="H49:M49">
    <cfRule type="expression" dxfId="4540" priority="75">
      <formula>5</formula>
    </cfRule>
    <cfRule type="cellIs" dxfId="4539" priority="76" operator="lessThan">
      <formula>5</formula>
    </cfRule>
  </conditionalFormatting>
  <conditionalFormatting sqref="H49:M49">
    <cfRule type="cellIs" dxfId="4538" priority="74" operator="lessThan">
      <formula>50</formula>
    </cfRule>
  </conditionalFormatting>
  <conditionalFormatting sqref="O49">
    <cfRule type="cellIs" dxfId="4537" priority="73" operator="lessThan">
      <formula>50</formula>
    </cfRule>
  </conditionalFormatting>
  <conditionalFormatting sqref="H50:M50">
    <cfRule type="expression" dxfId="4536" priority="71">
      <formula>5</formula>
    </cfRule>
    <cfRule type="cellIs" dxfId="4535" priority="72" operator="lessThan">
      <formula>5</formula>
    </cfRule>
  </conditionalFormatting>
  <conditionalFormatting sqref="H50:M50">
    <cfRule type="cellIs" dxfId="4534" priority="70" operator="lessThan">
      <formula>50</formula>
    </cfRule>
  </conditionalFormatting>
  <conditionalFormatting sqref="O50">
    <cfRule type="cellIs" dxfId="4533" priority="69" operator="lessThan">
      <formula>50</formula>
    </cfRule>
  </conditionalFormatting>
  <conditionalFormatting sqref="H51:M51">
    <cfRule type="expression" dxfId="4532" priority="67">
      <formula>5</formula>
    </cfRule>
    <cfRule type="cellIs" dxfId="4531" priority="68" operator="lessThan">
      <formula>5</formula>
    </cfRule>
  </conditionalFormatting>
  <conditionalFormatting sqref="H51:M51">
    <cfRule type="cellIs" dxfId="4530" priority="66" operator="lessThan">
      <formula>50</formula>
    </cfRule>
  </conditionalFormatting>
  <conditionalFormatting sqref="O51">
    <cfRule type="cellIs" dxfId="4529" priority="65" operator="lessThan">
      <formula>50</formula>
    </cfRule>
  </conditionalFormatting>
  <conditionalFormatting sqref="H52:M52">
    <cfRule type="expression" dxfId="4528" priority="63">
      <formula>5</formula>
    </cfRule>
    <cfRule type="cellIs" dxfId="4527" priority="64" operator="lessThan">
      <formula>5</formula>
    </cfRule>
  </conditionalFormatting>
  <conditionalFormatting sqref="H52:M52">
    <cfRule type="cellIs" dxfId="4526" priority="62" operator="lessThan">
      <formula>50</formula>
    </cfRule>
  </conditionalFormatting>
  <conditionalFormatting sqref="O52">
    <cfRule type="cellIs" dxfId="4525" priority="61" operator="lessThan">
      <formula>50</formula>
    </cfRule>
  </conditionalFormatting>
  <conditionalFormatting sqref="H53:M53">
    <cfRule type="expression" dxfId="4524" priority="59">
      <formula>5</formula>
    </cfRule>
    <cfRule type="cellIs" dxfId="4523" priority="60" operator="lessThan">
      <formula>5</formula>
    </cfRule>
  </conditionalFormatting>
  <conditionalFormatting sqref="H53:M53">
    <cfRule type="cellIs" dxfId="4522" priority="58" operator="lessThan">
      <formula>50</formula>
    </cfRule>
  </conditionalFormatting>
  <conditionalFormatting sqref="O53">
    <cfRule type="cellIs" dxfId="4521" priority="57" operator="lessThan">
      <formula>50</formula>
    </cfRule>
  </conditionalFormatting>
  <conditionalFormatting sqref="H54:M54">
    <cfRule type="expression" dxfId="4520" priority="55">
      <formula>5</formula>
    </cfRule>
    <cfRule type="cellIs" dxfId="4519" priority="56" operator="lessThan">
      <formula>5</formula>
    </cfRule>
  </conditionalFormatting>
  <conditionalFormatting sqref="H54:M54">
    <cfRule type="cellIs" dxfId="4518" priority="54" operator="lessThan">
      <formula>50</formula>
    </cfRule>
  </conditionalFormatting>
  <conditionalFormatting sqref="O54">
    <cfRule type="cellIs" dxfId="4517" priority="53" operator="lessThan">
      <formula>50</formula>
    </cfRule>
  </conditionalFormatting>
  <conditionalFormatting sqref="H55:M55">
    <cfRule type="expression" dxfId="4516" priority="51">
      <formula>5</formula>
    </cfRule>
    <cfRule type="cellIs" dxfId="4515" priority="52" operator="lessThan">
      <formula>5</formula>
    </cfRule>
  </conditionalFormatting>
  <conditionalFormatting sqref="H55:M55">
    <cfRule type="cellIs" dxfId="4514" priority="50" operator="lessThan">
      <formula>50</formula>
    </cfRule>
  </conditionalFormatting>
  <conditionalFormatting sqref="O55">
    <cfRule type="cellIs" dxfId="4513" priority="49" operator="lessThan">
      <formula>50</formula>
    </cfRule>
  </conditionalFormatting>
  <conditionalFormatting sqref="H56:M56">
    <cfRule type="expression" dxfId="4512" priority="47">
      <formula>5</formula>
    </cfRule>
    <cfRule type="cellIs" dxfId="4511" priority="48" operator="lessThan">
      <formula>5</formula>
    </cfRule>
  </conditionalFormatting>
  <conditionalFormatting sqref="H56:M56">
    <cfRule type="cellIs" dxfId="4510" priority="46" operator="lessThan">
      <formula>50</formula>
    </cfRule>
  </conditionalFormatting>
  <conditionalFormatting sqref="O56">
    <cfRule type="cellIs" dxfId="4509" priority="45" operator="lessThan">
      <formula>50</formula>
    </cfRule>
  </conditionalFormatting>
  <conditionalFormatting sqref="H57:M57">
    <cfRule type="expression" dxfId="4508" priority="43">
      <formula>5</formula>
    </cfRule>
    <cfRule type="cellIs" dxfId="4507" priority="44" operator="lessThan">
      <formula>5</formula>
    </cfRule>
  </conditionalFormatting>
  <conditionalFormatting sqref="H57:M57">
    <cfRule type="cellIs" dxfId="4506" priority="42" operator="lessThan">
      <formula>50</formula>
    </cfRule>
  </conditionalFormatting>
  <conditionalFormatting sqref="O57">
    <cfRule type="cellIs" dxfId="4505" priority="41" operator="lessThan">
      <formula>50</formula>
    </cfRule>
  </conditionalFormatting>
  <conditionalFormatting sqref="H58:M58">
    <cfRule type="expression" dxfId="4504" priority="39">
      <formula>5</formula>
    </cfRule>
    <cfRule type="cellIs" dxfId="4503" priority="40" operator="lessThan">
      <formula>5</formula>
    </cfRule>
  </conditionalFormatting>
  <conditionalFormatting sqref="H58:M58">
    <cfRule type="cellIs" dxfId="4502" priority="38" operator="lessThan">
      <formula>50</formula>
    </cfRule>
  </conditionalFormatting>
  <conditionalFormatting sqref="O58">
    <cfRule type="cellIs" dxfId="4501" priority="37" operator="lessThan">
      <formula>50</formula>
    </cfRule>
  </conditionalFormatting>
  <conditionalFormatting sqref="H59:M59">
    <cfRule type="expression" dxfId="4500" priority="35">
      <formula>5</formula>
    </cfRule>
    <cfRule type="cellIs" dxfId="4499" priority="36" operator="lessThan">
      <formula>5</formula>
    </cfRule>
  </conditionalFormatting>
  <conditionalFormatting sqref="H59:M59">
    <cfRule type="cellIs" dxfId="4498" priority="34" operator="lessThan">
      <formula>50</formula>
    </cfRule>
  </conditionalFormatting>
  <conditionalFormatting sqref="O59">
    <cfRule type="cellIs" dxfId="4497" priority="33" operator="lessThan">
      <formula>50</formula>
    </cfRule>
  </conditionalFormatting>
  <conditionalFormatting sqref="H60:M60">
    <cfRule type="expression" dxfId="4496" priority="31">
      <formula>5</formula>
    </cfRule>
    <cfRule type="cellIs" dxfId="4495" priority="32" operator="lessThan">
      <formula>5</formula>
    </cfRule>
  </conditionalFormatting>
  <conditionalFormatting sqref="H60:M60">
    <cfRule type="cellIs" dxfId="4494" priority="30" operator="lessThan">
      <formula>50</formula>
    </cfRule>
  </conditionalFormatting>
  <conditionalFormatting sqref="O60">
    <cfRule type="cellIs" dxfId="4493" priority="29" operator="lessThan">
      <formula>50</formula>
    </cfRule>
  </conditionalFormatting>
  <conditionalFormatting sqref="H61:M61">
    <cfRule type="expression" dxfId="4492" priority="27">
      <formula>5</formula>
    </cfRule>
    <cfRule type="cellIs" dxfId="4491" priority="28" operator="lessThan">
      <formula>5</formula>
    </cfRule>
  </conditionalFormatting>
  <conditionalFormatting sqref="H61:M61">
    <cfRule type="cellIs" dxfId="4490" priority="26" operator="lessThan">
      <formula>50</formula>
    </cfRule>
  </conditionalFormatting>
  <conditionalFormatting sqref="O61">
    <cfRule type="cellIs" dxfId="4489" priority="25" operator="lessThan">
      <formula>50</formula>
    </cfRule>
  </conditionalFormatting>
  <conditionalFormatting sqref="H62:M62">
    <cfRule type="expression" dxfId="4488" priority="23">
      <formula>5</formula>
    </cfRule>
    <cfRule type="cellIs" dxfId="4487" priority="24" operator="lessThan">
      <formula>5</formula>
    </cfRule>
  </conditionalFormatting>
  <conditionalFormatting sqref="H62:M62">
    <cfRule type="cellIs" dxfId="4486" priority="22" operator="lessThan">
      <formula>50</formula>
    </cfRule>
  </conditionalFormatting>
  <conditionalFormatting sqref="O62">
    <cfRule type="cellIs" dxfId="4485" priority="21" operator="lessThan">
      <formula>50</formula>
    </cfRule>
  </conditionalFormatting>
  <conditionalFormatting sqref="H63:M63">
    <cfRule type="expression" dxfId="4484" priority="19">
      <formula>5</formula>
    </cfRule>
    <cfRule type="cellIs" dxfId="4483" priority="20" operator="lessThan">
      <formula>5</formula>
    </cfRule>
  </conditionalFormatting>
  <conditionalFormatting sqref="H63:M63">
    <cfRule type="cellIs" dxfId="4482" priority="18" operator="lessThan">
      <formula>50</formula>
    </cfRule>
  </conditionalFormatting>
  <conditionalFormatting sqref="O63">
    <cfRule type="cellIs" dxfId="4481" priority="17" operator="lessThan">
      <formula>50</formula>
    </cfRule>
  </conditionalFormatting>
  <conditionalFormatting sqref="H64:M64">
    <cfRule type="expression" dxfId="4480" priority="15">
      <formula>5</formula>
    </cfRule>
    <cfRule type="cellIs" dxfId="4479" priority="16" operator="lessThan">
      <formula>5</formula>
    </cfRule>
  </conditionalFormatting>
  <conditionalFormatting sqref="H64:M64">
    <cfRule type="cellIs" dxfId="4478" priority="14" operator="lessThan">
      <formula>50</formula>
    </cfRule>
  </conditionalFormatting>
  <conditionalFormatting sqref="O64">
    <cfRule type="cellIs" dxfId="4477" priority="13" operator="lessThan">
      <formula>50</formula>
    </cfRule>
  </conditionalFormatting>
  <conditionalFormatting sqref="H65:M65">
    <cfRule type="expression" dxfId="4476" priority="11">
      <formula>5</formula>
    </cfRule>
    <cfRule type="cellIs" dxfId="4475" priority="12" operator="lessThan">
      <formula>5</formula>
    </cfRule>
  </conditionalFormatting>
  <conditionalFormatting sqref="H65:M65">
    <cfRule type="cellIs" dxfId="4474" priority="10" operator="lessThan">
      <formula>50</formula>
    </cfRule>
  </conditionalFormatting>
  <conditionalFormatting sqref="O65">
    <cfRule type="cellIs" dxfId="4473" priority="9" operator="lessThan">
      <formula>50</formula>
    </cfRule>
  </conditionalFormatting>
  <conditionalFormatting sqref="H66:M66">
    <cfRule type="expression" dxfId="4472" priority="7">
      <formula>5</formula>
    </cfRule>
    <cfRule type="cellIs" dxfId="4471" priority="8" operator="lessThan">
      <formula>5</formula>
    </cfRule>
  </conditionalFormatting>
  <conditionalFormatting sqref="H66:M66">
    <cfRule type="cellIs" dxfId="4470" priority="6" operator="lessThan">
      <formula>50</formula>
    </cfRule>
  </conditionalFormatting>
  <conditionalFormatting sqref="O66">
    <cfRule type="cellIs" dxfId="4469" priority="5" operator="lessThan">
      <formula>50</formula>
    </cfRule>
  </conditionalFormatting>
  <conditionalFormatting sqref="H67:M67">
    <cfRule type="expression" dxfId="4468" priority="3">
      <formula>5</formula>
    </cfRule>
    <cfRule type="cellIs" dxfId="4467" priority="4" operator="lessThan">
      <formula>5</formula>
    </cfRule>
  </conditionalFormatting>
  <conditionalFormatting sqref="H67:M67">
    <cfRule type="cellIs" dxfId="4466" priority="2" operator="lessThan">
      <formula>50</formula>
    </cfRule>
  </conditionalFormatting>
  <conditionalFormatting sqref="O67">
    <cfRule type="cellIs" dxfId="4465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9:E10 D13:E15 D32:E32 D35:E36 D44:E44" xr:uid="{4A4A3B4C-CD04-4ECC-9C3F-54FF4ADAE054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1D95-1975-4E94-8E95-0DDD8247F530}">
  <sheetPr codeName="Sheet104"/>
  <dimension ref="A1:P66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3" width="4.7109375" customWidth="1"/>
    <col min="14" max="14" width="6.7109375" customWidth="1"/>
    <col min="15" max="16" width="4.7109375" customWidth="1"/>
  </cols>
  <sheetData>
    <row r="1" spans="1:16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1:16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3</v>
      </c>
      <c r="I6" s="39" t="s">
        <v>13</v>
      </c>
      <c r="J6" s="39" t="s">
        <v>14</v>
      </c>
      <c r="K6" s="39" t="s">
        <v>5317</v>
      </c>
      <c r="L6" s="39" t="s">
        <v>10</v>
      </c>
      <c r="M6" s="39" t="s">
        <v>15</v>
      </c>
      <c r="N6" s="39" t="s">
        <v>5320</v>
      </c>
      <c r="O6" s="39" t="s">
        <v>5321</v>
      </c>
      <c r="P6" s="39" t="s">
        <v>5324</v>
      </c>
    </row>
    <row r="7" spans="1:16" ht="18" customHeight="1" thickTop="1">
      <c r="A7" s="19">
        <v>1</v>
      </c>
      <c r="B7" s="2" t="s">
        <v>3338</v>
      </c>
      <c r="C7" s="1" t="s">
        <v>3339</v>
      </c>
      <c r="D7" s="3" t="s">
        <v>3340</v>
      </c>
      <c r="E7" s="1" t="s">
        <v>82</v>
      </c>
      <c r="F7" s="10" t="s">
        <v>3213</v>
      </c>
      <c r="G7" s="2">
        <v>20</v>
      </c>
      <c r="H7" s="6">
        <v>100</v>
      </c>
      <c r="I7" s="6">
        <v>100</v>
      </c>
      <c r="J7" s="6">
        <v>100</v>
      </c>
      <c r="K7" s="6">
        <v>100</v>
      </c>
      <c r="L7" s="6">
        <v>100</v>
      </c>
      <c r="M7" s="6">
        <v>90</v>
      </c>
      <c r="N7" s="1">
        <f t="shared" ref="N7:N38" si="0">SUBTOTAL(9,H7:M7)</f>
        <v>590</v>
      </c>
      <c r="O7" s="14">
        <f t="shared" ref="O7:O38" si="1">N7/6</f>
        <v>98.333333333333329</v>
      </c>
      <c r="P7" s="20">
        <f t="shared" ref="P7:P38" si="2">RANK(O7,O$7:O$310,0)</f>
        <v>1</v>
      </c>
    </row>
    <row r="8" spans="1:16" ht="18" customHeight="1">
      <c r="A8" s="19">
        <v>2</v>
      </c>
      <c r="B8" s="2" t="s">
        <v>3298</v>
      </c>
      <c r="C8" s="1" t="s">
        <v>3299</v>
      </c>
      <c r="D8" s="3" t="s">
        <v>3300</v>
      </c>
      <c r="E8" s="1" t="s">
        <v>77</v>
      </c>
      <c r="F8" s="10" t="s">
        <v>3213</v>
      </c>
      <c r="G8" s="2">
        <v>19</v>
      </c>
      <c r="H8" s="6">
        <v>86</v>
      </c>
      <c r="I8" s="6">
        <v>100</v>
      </c>
      <c r="J8" s="6">
        <v>100</v>
      </c>
      <c r="K8" s="6">
        <v>84</v>
      </c>
      <c r="L8" s="6">
        <v>86</v>
      </c>
      <c r="M8" s="6">
        <v>100</v>
      </c>
      <c r="N8" s="1">
        <f t="shared" si="0"/>
        <v>556</v>
      </c>
      <c r="O8" s="14">
        <f t="shared" si="1"/>
        <v>92.666666666666671</v>
      </c>
      <c r="P8" s="20">
        <f t="shared" si="2"/>
        <v>2</v>
      </c>
    </row>
    <row r="9" spans="1:16" ht="18" customHeight="1">
      <c r="A9" s="19">
        <v>3</v>
      </c>
      <c r="B9" s="2" t="s">
        <v>3341</v>
      </c>
      <c r="C9" s="1" t="s">
        <v>3342</v>
      </c>
      <c r="D9" s="3" t="s">
        <v>3343</v>
      </c>
      <c r="E9" s="1" t="s">
        <v>66</v>
      </c>
      <c r="F9" s="10" t="s">
        <v>3213</v>
      </c>
      <c r="G9" s="2">
        <v>20</v>
      </c>
      <c r="H9" s="6">
        <v>65</v>
      </c>
      <c r="I9" s="6">
        <v>100</v>
      </c>
      <c r="J9" s="6">
        <v>100</v>
      </c>
      <c r="K9" s="6">
        <v>92</v>
      </c>
      <c r="L9" s="6">
        <v>90</v>
      </c>
      <c r="M9" s="6">
        <v>92</v>
      </c>
      <c r="N9" s="1">
        <f t="shared" si="0"/>
        <v>539</v>
      </c>
      <c r="O9" s="14">
        <f t="shared" si="1"/>
        <v>89.833333333333329</v>
      </c>
      <c r="P9" s="20">
        <f t="shared" si="2"/>
        <v>3</v>
      </c>
    </row>
    <row r="10" spans="1:16" ht="18" customHeight="1">
      <c r="A10" s="19">
        <v>4</v>
      </c>
      <c r="B10" s="2" t="s">
        <v>3313</v>
      </c>
      <c r="C10" s="1" t="s">
        <v>3314</v>
      </c>
      <c r="D10" s="3" t="s">
        <v>3315</v>
      </c>
      <c r="E10" s="1" t="s">
        <v>84</v>
      </c>
      <c r="F10" s="10" t="s">
        <v>3213</v>
      </c>
      <c r="G10" s="2">
        <v>19</v>
      </c>
      <c r="H10" s="6">
        <v>93</v>
      </c>
      <c r="I10" s="6">
        <v>86</v>
      </c>
      <c r="J10" s="6">
        <v>96</v>
      </c>
      <c r="K10" s="6">
        <v>92</v>
      </c>
      <c r="L10" s="6">
        <v>64</v>
      </c>
      <c r="M10" s="6">
        <v>66</v>
      </c>
      <c r="N10" s="1">
        <f t="shared" si="0"/>
        <v>497</v>
      </c>
      <c r="O10" s="14">
        <f t="shared" si="1"/>
        <v>82.833333333333329</v>
      </c>
      <c r="P10" s="20">
        <f t="shared" si="2"/>
        <v>4</v>
      </c>
    </row>
    <row r="11" spans="1:16" ht="18" customHeight="1">
      <c r="A11" s="19">
        <v>5</v>
      </c>
      <c r="B11" s="2" t="s">
        <v>3251</v>
      </c>
      <c r="C11" s="1">
        <v>311230081</v>
      </c>
      <c r="D11" s="3" t="s">
        <v>3252</v>
      </c>
      <c r="E11" s="1" t="s">
        <v>69</v>
      </c>
      <c r="F11" s="10" t="s">
        <v>3213</v>
      </c>
      <c r="G11" s="2">
        <v>18</v>
      </c>
      <c r="H11" s="6">
        <v>93</v>
      </c>
      <c r="I11" s="6">
        <v>96</v>
      </c>
      <c r="J11" s="6">
        <v>36</v>
      </c>
      <c r="K11" s="6">
        <v>82</v>
      </c>
      <c r="L11" s="6">
        <v>86</v>
      </c>
      <c r="M11" s="6">
        <v>74</v>
      </c>
      <c r="N11" s="1">
        <f t="shared" si="0"/>
        <v>467</v>
      </c>
      <c r="O11" s="14">
        <f t="shared" si="1"/>
        <v>77.833333333333329</v>
      </c>
      <c r="P11" s="20">
        <f t="shared" si="2"/>
        <v>5</v>
      </c>
    </row>
    <row r="12" spans="1:16" ht="18" customHeight="1">
      <c r="A12" s="19">
        <v>6</v>
      </c>
      <c r="B12" s="2" t="s">
        <v>3269</v>
      </c>
      <c r="C12" s="1" t="s">
        <v>3270</v>
      </c>
      <c r="D12" s="3" t="s">
        <v>3271</v>
      </c>
      <c r="E12" s="1" t="s">
        <v>57</v>
      </c>
      <c r="F12" s="10" t="s">
        <v>3213</v>
      </c>
      <c r="G12" s="2">
        <v>19</v>
      </c>
      <c r="H12" s="6">
        <v>72</v>
      </c>
      <c r="I12" s="6">
        <v>84</v>
      </c>
      <c r="J12" s="6">
        <v>54</v>
      </c>
      <c r="K12" s="6">
        <v>84</v>
      </c>
      <c r="L12" s="6">
        <v>88</v>
      </c>
      <c r="M12" s="6">
        <v>72</v>
      </c>
      <c r="N12" s="1">
        <f t="shared" si="0"/>
        <v>454</v>
      </c>
      <c r="O12" s="14">
        <f t="shared" si="1"/>
        <v>75.666666666666671</v>
      </c>
      <c r="P12" s="20">
        <f t="shared" si="2"/>
        <v>6</v>
      </c>
    </row>
    <row r="13" spans="1:16" ht="18" customHeight="1">
      <c r="A13" s="19">
        <v>7</v>
      </c>
      <c r="B13" s="2" t="s">
        <v>3290</v>
      </c>
      <c r="C13" s="1" t="s">
        <v>3291</v>
      </c>
      <c r="D13" s="3" t="s">
        <v>3292</v>
      </c>
      <c r="E13" s="1" t="s">
        <v>81</v>
      </c>
      <c r="F13" s="10" t="s">
        <v>3213</v>
      </c>
      <c r="G13" s="2">
        <v>19</v>
      </c>
      <c r="H13" s="6">
        <v>86</v>
      </c>
      <c r="I13" s="6">
        <v>88</v>
      </c>
      <c r="J13" s="6">
        <v>66</v>
      </c>
      <c r="K13" s="6">
        <v>80</v>
      </c>
      <c r="L13" s="6">
        <v>82</v>
      </c>
      <c r="M13" s="6">
        <v>49</v>
      </c>
      <c r="N13" s="1">
        <f t="shared" si="0"/>
        <v>451</v>
      </c>
      <c r="O13" s="14">
        <f t="shared" si="1"/>
        <v>75.166666666666671</v>
      </c>
      <c r="P13" s="20">
        <f t="shared" si="2"/>
        <v>7</v>
      </c>
    </row>
    <row r="14" spans="1:16" ht="18" customHeight="1">
      <c r="A14" s="19">
        <v>8</v>
      </c>
      <c r="B14" s="2" t="s">
        <v>3351</v>
      </c>
      <c r="C14" s="1" t="s">
        <v>3352</v>
      </c>
      <c r="D14" s="3" t="s">
        <v>3353</v>
      </c>
      <c r="E14" s="1" t="s">
        <v>75</v>
      </c>
      <c r="F14" s="10" t="s">
        <v>3213</v>
      </c>
      <c r="G14" s="2">
        <v>20</v>
      </c>
      <c r="H14" s="6">
        <v>57</v>
      </c>
      <c r="I14" s="6">
        <v>84</v>
      </c>
      <c r="J14" s="6">
        <v>56</v>
      </c>
      <c r="K14" s="6">
        <v>92</v>
      </c>
      <c r="L14" s="6">
        <v>88</v>
      </c>
      <c r="M14" s="6">
        <v>60</v>
      </c>
      <c r="N14" s="1">
        <f t="shared" si="0"/>
        <v>437</v>
      </c>
      <c r="O14" s="14">
        <f t="shared" si="1"/>
        <v>72.833333333333329</v>
      </c>
      <c r="P14" s="20">
        <f t="shared" si="2"/>
        <v>8</v>
      </c>
    </row>
    <row r="15" spans="1:16" ht="18" customHeight="1">
      <c r="A15" s="19">
        <v>9</v>
      </c>
      <c r="B15" s="2" t="s">
        <v>3248</v>
      </c>
      <c r="C15" s="1" t="s">
        <v>3249</v>
      </c>
      <c r="D15" s="3" t="s">
        <v>3250</v>
      </c>
      <c r="E15" s="1" t="s">
        <v>69</v>
      </c>
      <c r="F15" s="10" t="s">
        <v>3213</v>
      </c>
      <c r="G15" s="2">
        <v>18</v>
      </c>
      <c r="H15" s="6">
        <v>86</v>
      </c>
      <c r="I15" s="6">
        <v>78</v>
      </c>
      <c r="J15" s="6">
        <v>72</v>
      </c>
      <c r="K15" s="6">
        <v>72</v>
      </c>
      <c r="L15" s="6">
        <v>74</v>
      </c>
      <c r="M15" s="6">
        <v>44</v>
      </c>
      <c r="N15" s="1">
        <f t="shared" si="0"/>
        <v>426</v>
      </c>
      <c r="O15" s="14">
        <f t="shared" si="1"/>
        <v>71</v>
      </c>
      <c r="P15" s="20">
        <f t="shared" si="2"/>
        <v>9</v>
      </c>
    </row>
    <row r="16" spans="1:16" ht="18" customHeight="1">
      <c r="A16" s="19">
        <v>10</v>
      </c>
      <c r="B16" s="2" t="s">
        <v>3325</v>
      </c>
      <c r="C16" s="1" t="s">
        <v>3326</v>
      </c>
      <c r="D16" s="3" t="s">
        <v>3327</v>
      </c>
      <c r="E16" s="1" t="s">
        <v>64</v>
      </c>
      <c r="F16" s="10" t="s">
        <v>3213</v>
      </c>
      <c r="G16" s="2">
        <v>20</v>
      </c>
      <c r="H16" s="6">
        <v>65</v>
      </c>
      <c r="I16" s="6">
        <v>90</v>
      </c>
      <c r="J16" s="6">
        <v>56</v>
      </c>
      <c r="K16" s="6">
        <v>96</v>
      </c>
      <c r="L16" s="6">
        <v>68</v>
      </c>
      <c r="M16" s="6">
        <v>44</v>
      </c>
      <c r="N16" s="1">
        <f t="shared" si="0"/>
        <v>419</v>
      </c>
      <c r="O16" s="14">
        <f t="shared" si="1"/>
        <v>69.833333333333329</v>
      </c>
      <c r="P16" s="20">
        <f t="shared" si="2"/>
        <v>10</v>
      </c>
    </row>
    <row r="17" spans="1:16" ht="18" customHeight="1">
      <c r="A17" s="19">
        <v>11</v>
      </c>
      <c r="B17" s="2" t="s">
        <v>3281</v>
      </c>
      <c r="C17" s="1" t="s">
        <v>3282</v>
      </c>
      <c r="D17" s="3" t="s">
        <v>3283</v>
      </c>
      <c r="E17" s="1" t="s">
        <v>58</v>
      </c>
      <c r="F17" s="10" t="s">
        <v>3213</v>
      </c>
      <c r="G17" s="2">
        <v>19</v>
      </c>
      <c r="H17" s="6">
        <v>100</v>
      </c>
      <c r="I17" s="6">
        <v>70</v>
      </c>
      <c r="J17" s="6">
        <v>50</v>
      </c>
      <c r="K17" s="6">
        <v>80</v>
      </c>
      <c r="L17" s="6">
        <v>76</v>
      </c>
      <c r="M17" s="6">
        <v>36</v>
      </c>
      <c r="N17" s="1">
        <f t="shared" si="0"/>
        <v>412</v>
      </c>
      <c r="O17" s="14">
        <f t="shared" si="1"/>
        <v>68.666666666666671</v>
      </c>
      <c r="P17" s="20">
        <f t="shared" si="2"/>
        <v>11</v>
      </c>
    </row>
    <row r="18" spans="1:16" ht="18" customHeight="1">
      <c r="A18" s="19">
        <v>12</v>
      </c>
      <c r="B18" s="2" t="s">
        <v>3224</v>
      </c>
      <c r="C18" s="1" t="s">
        <v>3225</v>
      </c>
      <c r="D18" s="3" t="s">
        <v>645</v>
      </c>
      <c r="E18" s="1" t="s">
        <v>60</v>
      </c>
      <c r="F18" s="10" t="s">
        <v>3213</v>
      </c>
      <c r="G18" s="2">
        <v>18</v>
      </c>
      <c r="H18" s="6">
        <v>65</v>
      </c>
      <c r="I18" s="6">
        <v>84</v>
      </c>
      <c r="J18" s="6">
        <v>54</v>
      </c>
      <c r="K18" s="6">
        <v>80</v>
      </c>
      <c r="L18" s="6">
        <v>58</v>
      </c>
      <c r="M18" s="6">
        <v>64</v>
      </c>
      <c r="N18" s="1">
        <f t="shared" si="0"/>
        <v>405</v>
      </c>
      <c r="O18" s="14">
        <f t="shared" si="1"/>
        <v>67.5</v>
      </c>
      <c r="P18" s="20">
        <f t="shared" si="2"/>
        <v>12</v>
      </c>
    </row>
    <row r="19" spans="1:16" ht="18" customHeight="1">
      <c r="A19" s="19">
        <v>13</v>
      </c>
      <c r="B19" s="2" t="s">
        <v>3358</v>
      </c>
      <c r="C19" s="1" t="s">
        <v>1330</v>
      </c>
      <c r="D19" s="3" t="s">
        <v>3359</v>
      </c>
      <c r="E19" s="1" t="s">
        <v>75</v>
      </c>
      <c r="F19" s="10" t="s">
        <v>3213</v>
      </c>
      <c r="G19" s="2">
        <v>20</v>
      </c>
      <c r="H19" s="6">
        <v>86</v>
      </c>
      <c r="I19" s="6">
        <v>72</v>
      </c>
      <c r="J19" s="6">
        <v>56</v>
      </c>
      <c r="K19" s="6">
        <v>38</v>
      </c>
      <c r="L19" s="6">
        <v>72</v>
      </c>
      <c r="M19" s="6">
        <v>62</v>
      </c>
      <c r="N19" s="1">
        <f t="shared" si="0"/>
        <v>386</v>
      </c>
      <c r="O19" s="14">
        <f t="shared" si="1"/>
        <v>64.333333333333329</v>
      </c>
      <c r="P19" s="20">
        <f t="shared" si="2"/>
        <v>13</v>
      </c>
    </row>
    <row r="20" spans="1:16" ht="18" customHeight="1">
      <c r="A20" s="19">
        <v>14</v>
      </c>
      <c r="B20" s="2" t="s">
        <v>3360</v>
      </c>
      <c r="C20" s="1">
        <v>311260444</v>
      </c>
      <c r="D20" s="3" t="s">
        <v>3361</v>
      </c>
      <c r="E20" s="1" t="s">
        <v>88</v>
      </c>
      <c r="F20" s="10" t="s">
        <v>3213</v>
      </c>
      <c r="G20" s="2">
        <v>20</v>
      </c>
      <c r="H20" s="6">
        <v>86</v>
      </c>
      <c r="I20" s="6">
        <v>57</v>
      </c>
      <c r="J20" s="6">
        <v>84</v>
      </c>
      <c r="K20" s="6">
        <v>92</v>
      </c>
      <c r="L20" s="6">
        <v>44</v>
      </c>
      <c r="M20" s="6">
        <v>22</v>
      </c>
      <c r="N20" s="1">
        <f t="shared" si="0"/>
        <v>385</v>
      </c>
      <c r="O20" s="14">
        <f t="shared" si="1"/>
        <v>64.166666666666671</v>
      </c>
      <c r="P20" s="20">
        <f t="shared" si="2"/>
        <v>14</v>
      </c>
    </row>
    <row r="21" spans="1:16" ht="18" customHeight="1">
      <c r="A21" s="19">
        <v>15</v>
      </c>
      <c r="B21" s="2" t="s">
        <v>3272</v>
      </c>
      <c r="C21" s="1" t="s">
        <v>3273</v>
      </c>
      <c r="D21" s="3" t="s">
        <v>3274</v>
      </c>
      <c r="E21" s="1" t="s">
        <v>57</v>
      </c>
      <c r="F21" s="10" t="s">
        <v>3213</v>
      </c>
      <c r="G21" s="2">
        <v>19</v>
      </c>
      <c r="H21" s="6">
        <v>86</v>
      </c>
      <c r="I21" s="6">
        <v>76</v>
      </c>
      <c r="J21" s="6">
        <v>35</v>
      </c>
      <c r="K21" s="6">
        <v>74</v>
      </c>
      <c r="L21" s="6">
        <v>44</v>
      </c>
      <c r="M21" s="6">
        <v>54</v>
      </c>
      <c r="N21" s="1">
        <f t="shared" si="0"/>
        <v>369</v>
      </c>
      <c r="O21" s="14">
        <f t="shared" si="1"/>
        <v>61.5</v>
      </c>
      <c r="P21" s="20">
        <f t="shared" si="2"/>
        <v>15</v>
      </c>
    </row>
    <row r="22" spans="1:16" ht="18" customHeight="1">
      <c r="A22" s="19">
        <v>16</v>
      </c>
      <c r="B22" s="2" t="s">
        <v>3219</v>
      </c>
      <c r="C22" s="1" t="s">
        <v>3220</v>
      </c>
      <c r="D22" s="3" t="s">
        <v>1152</v>
      </c>
      <c r="E22" s="1" t="s">
        <v>70</v>
      </c>
      <c r="F22" s="10" t="s">
        <v>3213</v>
      </c>
      <c r="G22" s="2">
        <v>18</v>
      </c>
      <c r="H22" s="6">
        <v>86</v>
      </c>
      <c r="I22" s="6">
        <v>86</v>
      </c>
      <c r="J22" s="6">
        <v>22</v>
      </c>
      <c r="K22" s="6">
        <v>84</v>
      </c>
      <c r="L22" s="6">
        <v>47</v>
      </c>
      <c r="M22" s="6">
        <v>42</v>
      </c>
      <c r="N22" s="1">
        <f t="shared" si="0"/>
        <v>367</v>
      </c>
      <c r="O22" s="14">
        <f t="shared" si="1"/>
        <v>61.166666666666664</v>
      </c>
      <c r="P22" s="20">
        <f t="shared" si="2"/>
        <v>16</v>
      </c>
    </row>
    <row r="23" spans="1:16" ht="18" customHeight="1">
      <c r="A23" s="19">
        <v>17</v>
      </c>
      <c r="B23" s="2" t="s">
        <v>3275</v>
      </c>
      <c r="C23" s="1" t="s">
        <v>3276</v>
      </c>
      <c r="D23" s="3" t="s">
        <v>3277</v>
      </c>
      <c r="E23" s="1" t="s">
        <v>57</v>
      </c>
      <c r="F23" s="10" t="s">
        <v>3213</v>
      </c>
      <c r="G23" s="2">
        <v>19</v>
      </c>
      <c r="H23" s="6">
        <v>65</v>
      </c>
      <c r="I23" s="6">
        <v>84</v>
      </c>
      <c r="J23" s="6">
        <v>50</v>
      </c>
      <c r="K23" s="6">
        <v>74</v>
      </c>
      <c r="L23" s="6">
        <v>39</v>
      </c>
      <c r="M23" s="6">
        <v>46</v>
      </c>
      <c r="N23" s="1">
        <f t="shared" si="0"/>
        <v>358</v>
      </c>
      <c r="O23" s="14">
        <f t="shared" si="1"/>
        <v>59.666666666666664</v>
      </c>
      <c r="P23" s="20">
        <f t="shared" si="2"/>
        <v>17</v>
      </c>
    </row>
    <row r="24" spans="1:16" ht="18" customHeight="1">
      <c r="A24" s="19">
        <v>18</v>
      </c>
      <c r="B24" s="2" t="s">
        <v>3255</v>
      </c>
      <c r="C24" s="1" t="s">
        <v>3256</v>
      </c>
      <c r="D24" s="3" t="s">
        <v>3257</v>
      </c>
      <c r="E24" s="1" t="s">
        <v>69</v>
      </c>
      <c r="F24" s="10" t="s">
        <v>3213</v>
      </c>
      <c r="G24" s="2">
        <v>18</v>
      </c>
      <c r="H24" s="6">
        <v>65</v>
      </c>
      <c r="I24" s="6">
        <v>82</v>
      </c>
      <c r="J24" s="6">
        <v>68</v>
      </c>
      <c r="K24" s="6">
        <v>58</v>
      </c>
      <c r="L24" s="6">
        <v>48</v>
      </c>
      <c r="M24" s="6">
        <v>36</v>
      </c>
      <c r="N24" s="1">
        <f t="shared" si="0"/>
        <v>357</v>
      </c>
      <c r="O24" s="14">
        <f t="shared" si="1"/>
        <v>59.5</v>
      </c>
      <c r="P24" s="20">
        <f t="shared" si="2"/>
        <v>18</v>
      </c>
    </row>
    <row r="25" spans="1:16" ht="18" customHeight="1">
      <c r="A25" s="19">
        <v>19</v>
      </c>
      <c r="B25" s="2" t="s">
        <v>3237</v>
      </c>
      <c r="C25" s="1" t="s">
        <v>3238</v>
      </c>
      <c r="D25" s="3" t="s">
        <v>3239</v>
      </c>
      <c r="E25" s="1" t="s">
        <v>81</v>
      </c>
      <c r="F25" s="10" t="s">
        <v>3213</v>
      </c>
      <c r="G25" s="2">
        <v>18</v>
      </c>
      <c r="H25" s="6">
        <v>65</v>
      </c>
      <c r="I25" s="6">
        <v>72</v>
      </c>
      <c r="J25" s="6">
        <v>13</v>
      </c>
      <c r="K25" s="6">
        <v>84</v>
      </c>
      <c r="L25" s="6">
        <v>58</v>
      </c>
      <c r="M25" s="6">
        <v>60</v>
      </c>
      <c r="N25" s="1">
        <f t="shared" si="0"/>
        <v>352</v>
      </c>
      <c r="O25" s="14">
        <f t="shared" si="1"/>
        <v>58.666666666666664</v>
      </c>
      <c r="P25" s="20">
        <f t="shared" si="2"/>
        <v>19</v>
      </c>
    </row>
    <row r="26" spans="1:16" ht="18" customHeight="1">
      <c r="A26" s="19">
        <v>20</v>
      </c>
      <c r="B26" s="2" t="s">
        <v>3287</v>
      </c>
      <c r="C26" s="1" t="s">
        <v>3288</v>
      </c>
      <c r="D26" s="3" t="s">
        <v>3289</v>
      </c>
      <c r="E26" s="1" t="s">
        <v>81</v>
      </c>
      <c r="F26" s="10" t="s">
        <v>3213</v>
      </c>
      <c r="G26" s="2">
        <v>19</v>
      </c>
      <c r="H26" s="6">
        <v>72</v>
      </c>
      <c r="I26" s="6">
        <v>74</v>
      </c>
      <c r="J26" s="6">
        <v>22</v>
      </c>
      <c r="K26" s="6">
        <v>84</v>
      </c>
      <c r="L26" s="6">
        <v>76</v>
      </c>
      <c r="M26" s="6">
        <v>16</v>
      </c>
      <c r="N26" s="1">
        <f t="shared" si="0"/>
        <v>344</v>
      </c>
      <c r="O26" s="14">
        <f t="shared" si="1"/>
        <v>57.333333333333336</v>
      </c>
      <c r="P26" s="20">
        <f t="shared" si="2"/>
        <v>20</v>
      </c>
    </row>
    <row r="27" spans="1:16" ht="18" customHeight="1">
      <c r="A27" s="19">
        <v>21</v>
      </c>
      <c r="B27" s="2" t="s">
        <v>3344</v>
      </c>
      <c r="C27" s="1" t="s">
        <v>3345</v>
      </c>
      <c r="D27" s="3" t="s">
        <v>3346</v>
      </c>
      <c r="E27" s="1" t="s">
        <v>67</v>
      </c>
      <c r="F27" s="10" t="s">
        <v>3213</v>
      </c>
      <c r="G27" s="2">
        <v>20</v>
      </c>
      <c r="H27" s="6">
        <v>50</v>
      </c>
      <c r="I27" s="6">
        <v>68</v>
      </c>
      <c r="J27" s="6">
        <v>37</v>
      </c>
      <c r="K27" s="6">
        <v>80</v>
      </c>
      <c r="L27" s="6">
        <v>58</v>
      </c>
      <c r="M27" s="6">
        <v>34</v>
      </c>
      <c r="N27" s="1">
        <f t="shared" si="0"/>
        <v>327</v>
      </c>
      <c r="O27" s="14">
        <f t="shared" si="1"/>
        <v>54.5</v>
      </c>
      <c r="P27" s="20">
        <f t="shared" si="2"/>
        <v>21</v>
      </c>
    </row>
    <row r="28" spans="1:16" ht="18" customHeight="1">
      <c r="A28" s="19">
        <v>22</v>
      </c>
      <c r="B28" s="2" t="s">
        <v>3226</v>
      </c>
      <c r="C28" s="1" t="s">
        <v>3227</v>
      </c>
      <c r="D28" s="3" t="s">
        <v>3216</v>
      </c>
      <c r="E28" s="1" t="s">
        <v>81</v>
      </c>
      <c r="F28" s="10" t="s">
        <v>3213</v>
      </c>
      <c r="G28" s="2">
        <v>18</v>
      </c>
      <c r="H28" s="6">
        <v>86</v>
      </c>
      <c r="I28" s="6">
        <v>68</v>
      </c>
      <c r="J28" s="6">
        <v>32</v>
      </c>
      <c r="K28" s="6">
        <v>61</v>
      </c>
      <c r="L28" s="6">
        <v>36</v>
      </c>
      <c r="M28" s="6">
        <v>42</v>
      </c>
      <c r="N28" s="1">
        <f t="shared" si="0"/>
        <v>325</v>
      </c>
      <c r="O28" s="14">
        <f t="shared" si="1"/>
        <v>54.166666666666664</v>
      </c>
      <c r="P28" s="20">
        <f t="shared" si="2"/>
        <v>22</v>
      </c>
    </row>
    <row r="29" spans="1:16" ht="18" customHeight="1">
      <c r="A29" s="19">
        <v>23</v>
      </c>
      <c r="B29" s="2" t="s">
        <v>3332</v>
      </c>
      <c r="C29" s="1" t="s">
        <v>3333</v>
      </c>
      <c r="D29" s="3" t="s">
        <v>3334</v>
      </c>
      <c r="E29" s="1" t="s">
        <v>88</v>
      </c>
      <c r="F29" s="10" t="s">
        <v>3213</v>
      </c>
      <c r="G29" s="2">
        <v>20</v>
      </c>
      <c r="H29" s="6">
        <v>79</v>
      </c>
      <c r="I29" s="6">
        <v>58</v>
      </c>
      <c r="J29" s="6">
        <v>52</v>
      </c>
      <c r="K29" s="6">
        <v>80</v>
      </c>
      <c r="L29" s="6">
        <v>37</v>
      </c>
      <c r="M29" s="6">
        <v>16</v>
      </c>
      <c r="N29" s="1">
        <f t="shared" si="0"/>
        <v>322</v>
      </c>
      <c r="O29" s="14">
        <f t="shared" si="1"/>
        <v>53.666666666666664</v>
      </c>
      <c r="P29" s="20">
        <f t="shared" si="2"/>
        <v>23</v>
      </c>
    </row>
    <row r="30" spans="1:16" ht="18" customHeight="1">
      <c r="A30" s="19">
        <v>24</v>
      </c>
      <c r="B30" s="2" t="s">
        <v>3323</v>
      </c>
      <c r="C30" s="1">
        <v>311240411</v>
      </c>
      <c r="D30" s="3" t="s">
        <v>3324</v>
      </c>
      <c r="E30" s="1" t="s">
        <v>74</v>
      </c>
      <c r="F30" s="10" t="s">
        <v>3213</v>
      </c>
      <c r="G30" s="2">
        <v>20</v>
      </c>
      <c r="H30" s="6">
        <v>86</v>
      </c>
      <c r="I30" s="6">
        <v>76</v>
      </c>
      <c r="J30" s="6">
        <v>35</v>
      </c>
      <c r="K30" s="6">
        <v>76</v>
      </c>
      <c r="L30" s="6">
        <v>4</v>
      </c>
      <c r="M30" s="6">
        <v>42</v>
      </c>
      <c r="N30" s="1">
        <f t="shared" si="0"/>
        <v>319</v>
      </c>
      <c r="O30" s="14">
        <f t="shared" si="1"/>
        <v>53.166666666666664</v>
      </c>
      <c r="P30" s="20">
        <f t="shared" si="2"/>
        <v>24</v>
      </c>
    </row>
    <row r="31" spans="1:16" ht="18" customHeight="1">
      <c r="A31" s="19">
        <v>25</v>
      </c>
      <c r="B31" s="2" t="s">
        <v>3247</v>
      </c>
      <c r="C31" s="1">
        <v>311240407</v>
      </c>
      <c r="D31" s="3" t="s">
        <v>3246</v>
      </c>
      <c r="E31" s="1" t="s">
        <v>73</v>
      </c>
      <c r="F31" s="10" t="s">
        <v>3213</v>
      </c>
      <c r="G31" s="2">
        <v>18</v>
      </c>
      <c r="H31" s="6">
        <v>57</v>
      </c>
      <c r="I31" s="6">
        <v>72</v>
      </c>
      <c r="J31" s="6">
        <v>46</v>
      </c>
      <c r="K31" s="6">
        <v>68</v>
      </c>
      <c r="L31" s="6">
        <v>43</v>
      </c>
      <c r="M31" s="6">
        <v>32</v>
      </c>
      <c r="N31" s="1">
        <f t="shared" si="0"/>
        <v>318</v>
      </c>
      <c r="O31" s="14">
        <f t="shared" si="1"/>
        <v>53</v>
      </c>
      <c r="P31" s="20">
        <f t="shared" si="2"/>
        <v>25</v>
      </c>
    </row>
    <row r="32" spans="1:16" ht="18" customHeight="1">
      <c r="A32" s="19">
        <v>26</v>
      </c>
      <c r="B32" s="2" t="s">
        <v>3295</v>
      </c>
      <c r="C32" s="1" t="s">
        <v>3296</v>
      </c>
      <c r="D32" s="3" t="s">
        <v>3297</v>
      </c>
      <c r="E32" s="1" t="s">
        <v>73</v>
      </c>
      <c r="F32" s="10" t="s">
        <v>3213</v>
      </c>
      <c r="G32" s="2">
        <v>19</v>
      </c>
      <c r="H32" s="6">
        <v>65</v>
      </c>
      <c r="I32" s="6">
        <v>72</v>
      </c>
      <c r="J32" s="6">
        <v>41</v>
      </c>
      <c r="K32" s="6">
        <v>72</v>
      </c>
      <c r="L32" s="6">
        <v>58</v>
      </c>
      <c r="M32" s="6">
        <v>8</v>
      </c>
      <c r="N32" s="1">
        <f t="shared" si="0"/>
        <v>316</v>
      </c>
      <c r="O32" s="14">
        <f t="shared" si="1"/>
        <v>52.666666666666664</v>
      </c>
      <c r="P32" s="20">
        <f t="shared" si="2"/>
        <v>26</v>
      </c>
    </row>
    <row r="33" spans="1:16" ht="18" customHeight="1">
      <c r="A33" s="19">
        <v>27</v>
      </c>
      <c r="B33" s="2" t="s">
        <v>3316</v>
      </c>
      <c r="C33" s="1" t="s">
        <v>3317</v>
      </c>
      <c r="D33" s="3" t="s">
        <v>3318</v>
      </c>
      <c r="E33" s="1" t="s">
        <v>84</v>
      </c>
      <c r="F33" s="10" t="s">
        <v>3213</v>
      </c>
      <c r="G33" s="2">
        <v>19</v>
      </c>
      <c r="H33" s="6">
        <v>57</v>
      </c>
      <c r="I33" s="6">
        <v>66</v>
      </c>
      <c r="J33" s="6">
        <v>42</v>
      </c>
      <c r="K33" s="6">
        <v>62</v>
      </c>
      <c r="L33" s="6">
        <v>56</v>
      </c>
      <c r="M33" s="6">
        <v>26</v>
      </c>
      <c r="N33" s="1">
        <f t="shared" si="0"/>
        <v>309</v>
      </c>
      <c r="O33" s="14">
        <f t="shared" si="1"/>
        <v>51.5</v>
      </c>
      <c r="P33" s="20">
        <f t="shared" si="2"/>
        <v>27</v>
      </c>
    </row>
    <row r="34" spans="1:16" ht="18" customHeight="1">
      <c r="A34" s="19">
        <v>28</v>
      </c>
      <c r="B34" s="2" t="s">
        <v>3217</v>
      </c>
      <c r="C34" s="1" t="s">
        <v>3218</v>
      </c>
      <c r="D34" s="3" t="s">
        <v>645</v>
      </c>
      <c r="E34" s="1" t="s">
        <v>79</v>
      </c>
      <c r="F34" s="10" t="s">
        <v>3213</v>
      </c>
      <c r="G34" s="2">
        <v>18</v>
      </c>
      <c r="H34" s="6">
        <v>65</v>
      </c>
      <c r="I34" s="6">
        <v>57</v>
      </c>
      <c r="J34" s="6">
        <v>58</v>
      </c>
      <c r="K34" s="6">
        <v>60</v>
      </c>
      <c r="L34" s="6">
        <v>31</v>
      </c>
      <c r="M34" s="6">
        <v>30</v>
      </c>
      <c r="N34" s="1">
        <f t="shared" si="0"/>
        <v>301</v>
      </c>
      <c r="O34" s="14">
        <f t="shared" si="1"/>
        <v>50.166666666666664</v>
      </c>
      <c r="P34" s="20">
        <f t="shared" si="2"/>
        <v>28</v>
      </c>
    </row>
    <row r="35" spans="1:16" ht="18" customHeight="1">
      <c r="A35" s="19">
        <v>29</v>
      </c>
      <c r="B35" s="2" t="s">
        <v>3244</v>
      </c>
      <c r="C35" s="1" t="s">
        <v>3245</v>
      </c>
      <c r="D35" s="3" t="s">
        <v>3246</v>
      </c>
      <c r="E35" s="1" t="s">
        <v>57</v>
      </c>
      <c r="F35" s="10" t="s">
        <v>3213</v>
      </c>
      <c r="G35" s="2">
        <v>18</v>
      </c>
      <c r="H35" s="6">
        <v>72</v>
      </c>
      <c r="I35" s="6">
        <v>54</v>
      </c>
      <c r="J35" s="6">
        <v>14</v>
      </c>
      <c r="K35" s="6">
        <v>72</v>
      </c>
      <c r="L35" s="6">
        <v>45</v>
      </c>
      <c r="M35" s="6">
        <v>44</v>
      </c>
      <c r="N35" s="1">
        <f t="shared" si="0"/>
        <v>301</v>
      </c>
      <c r="O35" s="14">
        <f t="shared" si="1"/>
        <v>50.166666666666664</v>
      </c>
      <c r="P35" s="20">
        <f t="shared" si="2"/>
        <v>28</v>
      </c>
    </row>
    <row r="36" spans="1:16" ht="18" customHeight="1">
      <c r="A36" s="19">
        <v>30</v>
      </c>
      <c r="B36" s="2" t="s">
        <v>3293</v>
      </c>
      <c r="C36" s="1">
        <v>311240409</v>
      </c>
      <c r="D36" s="3" t="s">
        <v>3294</v>
      </c>
      <c r="E36" s="1" t="s">
        <v>73</v>
      </c>
      <c r="F36" s="10" t="s">
        <v>3213</v>
      </c>
      <c r="G36" s="2">
        <v>19</v>
      </c>
      <c r="H36" s="6">
        <v>65</v>
      </c>
      <c r="I36" s="6">
        <v>66</v>
      </c>
      <c r="J36" s="6">
        <v>44</v>
      </c>
      <c r="K36" s="6">
        <v>62</v>
      </c>
      <c r="L36" s="6">
        <v>47</v>
      </c>
      <c r="M36" s="6">
        <v>12</v>
      </c>
      <c r="N36" s="1">
        <f t="shared" si="0"/>
        <v>296</v>
      </c>
      <c r="O36" s="14">
        <f t="shared" si="1"/>
        <v>49.333333333333336</v>
      </c>
      <c r="P36" s="20">
        <f t="shared" si="2"/>
        <v>30</v>
      </c>
    </row>
    <row r="37" spans="1:16" ht="18" customHeight="1">
      <c r="A37" s="19">
        <v>31</v>
      </c>
      <c r="B37" s="2" t="s">
        <v>3319</v>
      </c>
      <c r="C37" s="1">
        <v>311240425</v>
      </c>
      <c r="D37" s="3" t="s">
        <v>3320</v>
      </c>
      <c r="E37" s="1" t="s">
        <v>63</v>
      </c>
      <c r="F37" s="10" t="s">
        <v>3213</v>
      </c>
      <c r="G37" s="2">
        <v>19</v>
      </c>
      <c r="H37" s="6">
        <v>72</v>
      </c>
      <c r="I37" s="6">
        <v>54</v>
      </c>
      <c r="J37" s="6">
        <v>32</v>
      </c>
      <c r="K37" s="6">
        <v>64</v>
      </c>
      <c r="L37" s="6">
        <v>49</v>
      </c>
      <c r="M37" s="6">
        <v>22</v>
      </c>
      <c r="N37" s="1">
        <f t="shared" si="0"/>
        <v>293</v>
      </c>
      <c r="O37" s="14">
        <f t="shared" si="1"/>
        <v>48.833333333333336</v>
      </c>
      <c r="P37" s="20">
        <f t="shared" si="2"/>
        <v>31</v>
      </c>
    </row>
    <row r="38" spans="1:16" ht="18" customHeight="1">
      <c r="A38" s="19">
        <v>32</v>
      </c>
      <c r="B38" s="2" t="s">
        <v>3214</v>
      </c>
      <c r="C38" s="7" t="s">
        <v>3215</v>
      </c>
      <c r="D38" s="7" t="s">
        <v>3216</v>
      </c>
      <c r="E38" s="7" t="s">
        <v>69</v>
      </c>
      <c r="F38" s="10" t="s">
        <v>3213</v>
      </c>
      <c r="G38" s="2">
        <v>18</v>
      </c>
      <c r="H38" s="6">
        <v>43</v>
      </c>
      <c r="I38" s="6">
        <v>50</v>
      </c>
      <c r="J38" s="6">
        <v>40</v>
      </c>
      <c r="K38" s="6">
        <v>58</v>
      </c>
      <c r="L38" s="6">
        <v>71</v>
      </c>
      <c r="M38" s="6">
        <v>26</v>
      </c>
      <c r="N38" s="1">
        <f t="shared" si="0"/>
        <v>288</v>
      </c>
      <c r="O38" s="14">
        <f t="shared" si="1"/>
        <v>48</v>
      </c>
      <c r="P38" s="20">
        <f t="shared" si="2"/>
        <v>32</v>
      </c>
    </row>
    <row r="39" spans="1:16" ht="18" customHeight="1">
      <c r="A39" s="19">
        <v>33</v>
      </c>
      <c r="B39" s="2" t="s">
        <v>3321</v>
      </c>
      <c r="C39" s="1">
        <v>311220695</v>
      </c>
      <c r="D39" s="3" t="s">
        <v>3322</v>
      </c>
      <c r="E39" s="1" t="s">
        <v>74</v>
      </c>
      <c r="F39" s="10" t="s">
        <v>3213</v>
      </c>
      <c r="G39" s="2">
        <v>20</v>
      </c>
      <c r="H39" s="6">
        <v>57</v>
      </c>
      <c r="I39" s="6">
        <v>68</v>
      </c>
      <c r="J39" s="6">
        <v>35</v>
      </c>
      <c r="K39" s="6">
        <v>50</v>
      </c>
      <c r="L39" s="6">
        <v>36</v>
      </c>
      <c r="M39" s="6">
        <v>36</v>
      </c>
      <c r="N39" s="1">
        <f t="shared" ref="N39:N66" si="3">SUBTOTAL(9,H39:M39)</f>
        <v>282</v>
      </c>
      <c r="O39" s="14">
        <f t="shared" ref="O39:O66" si="4">N39/6</f>
        <v>47</v>
      </c>
      <c r="P39" s="20">
        <f t="shared" ref="P39:P66" si="5">RANK(O39,O$7:O$310,0)</f>
        <v>33</v>
      </c>
    </row>
    <row r="40" spans="1:16" ht="18" customHeight="1">
      <c r="A40" s="19">
        <v>34</v>
      </c>
      <c r="B40" s="2" t="s">
        <v>3258</v>
      </c>
      <c r="C40" s="1">
        <v>311220599</v>
      </c>
      <c r="D40" s="3" t="s">
        <v>3259</v>
      </c>
      <c r="E40" s="1" t="s">
        <v>69</v>
      </c>
      <c r="F40" s="10" t="s">
        <v>3213</v>
      </c>
      <c r="G40" s="2">
        <v>18</v>
      </c>
      <c r="H40" s="6">
        <v>72</v>
      </c>
      <c r="I40" s="6">
        <v>37</v>
      </c>
      <c r="J40" s="6">
        <v>12</v>
      </c>
      <c r="K40" s="6">
        <v>62</v>
      </c>
      <c r="L40" s="6">
        <v>49</v>
      </c>
      <c r="M40" s="6">
        <v>48</v>
      </c>
      <c r="N40" s="1">
        <f t="shared" si="3"/>
        <v>280</v>
      </c>
      <c r="O40" s="14">
        <f t="shared" si="4"/>
        <v>46.666666666666664</v>
      </c>
      <c r="P40" s="20">
        <f t="shared" si="5"/>
        <v>34</v>
      </c>
    </row>
    <row r="41" spans="1:16" ht="18" customHeight="1">
      <c r="A41" s="19">
        <v>35</v>
      </c>
      <c r="B41" s="2" t="s">
        <v>3301</v>
      </c>
      <c r="C41" s="1" t="s">
        <v>3302</v>
      </c>
      <c r="D41" s="3" t="s">
        <v>3303</v>
      </c>
      <c r="E41" s="1" t="s">
        <v>77</v>
      </c>
      <c r="F41" s="10" t="s">
        <v>3213</v>
      </c>
      <c r="G41" s="2">
        <v>19</v>
      </c>
      <c r="H41" s="6">
        <v>79</v>
      </c>
      <c r="I41" s="6">
        <v>54</v>
      </c>
      <c r="J41" s="6">
        <v>22</v>
      </c>
      <c r="K41" s="6">
        <v>52</v>
      </c>
      <c r="L41" s="6">
        <v>52</v>
      </c>
      <c r="M41" s="6">
        <v>18</v>
      </c>
      <c r="N41" s="1">
        <f t="shared" si="3"/>
        <v>277</v>
      </c>
      <c r="O41" s="14">
        <f t="shared" si="4"/>
        <v>46.166666666666664</v>
      </c>
      <c r="P41" s="20">
        <f t="shared" si="5"/>
        <v>35</v>
      </c>
    </row>
    <row r="42" spans="1:16" ht="18" customHeight="1">
      <c r="A42" s="19">
        <v>36</v>
      </c>
      <c r="B42" s="2" t="s">
        <v>3364</v>
      </c>
      <c r="C42" s="1">
        <v>311260946</v>
      </c>
      <c r="D42" s="3" t="s">
        <v>3365</v>
      </c>
      <c r="E42" s="1" t="s">
        <v>78</v>
      </c>
      <c r="F42" s="10" t="s">
        <v>3213</v>
      </c>
      <c r="G42" s="2">
        <v>20</v>
      </c>
      <c r="H42" s="6">
        <v>50</v>
      </c>
      <c r="I42" s="6">
        <v>68</v>
      </c>
      <c r="J42" s="6">
        <v>38</v>
      </c>
      <c r="K42" s="6">
        <v>62</v>
      </c>
      <c r="L42" s="6">
        <v>35</v>
      </c>
      <c r="M42" s="6">
        <v>8</v>
      </c>
      <c r="N42" s="1">
        <f t="shared" si="3"/>
        <v>261</v>
      </c>
      <c r="O42" s="14">
        <f t="shared" si="4"/>
        <v>43.5</v>
      </c>
      <c r="P42" s="20">
        <f t="shared" si="5"/>
        <v>36</v>
      </c>
    </row>
    <row r="43" spans="1:16" ht="18" customHeight="1">
      <c r="A43" s="19">
        <v>37</v>
      </c>
      <c r="B43" s="2" t="s">
        <v>3240</v>
      </c>
      <c r="C43" s="1">
        <v>311220739</v>
      </c>
      <c r="D43" s="3" t="s">
        <v>3241</v>
      </c>
      <c r="E43" s="1" t="s">
        <v>75</v>
      </c>
      <c r="F43" s="10" t="s">
        <v>3213</v>
      </c>
      <c r="G43" s="2">
        <v>18</v>
      </c>
      <c r="H43" s="6">
        <v>79</v>
      </c>
      <c r="I43" s="6">
        <v>33</v>
      </c>
      <c r="J43" s="6">
        <v>40</v>
      </c>
      <c r="K43" s="6">
        <v>80</v>
      </c>
      <c r="L43" s="6">
        <v>4</v>
      </c>
      <c r="M43" s="6">
        <v>22</v>
      </c>
      <c r="N43" s="1">
        <f t="shared" si="3"/>
        <v>258</v>
      </c>
      <c r="O43" s="14">
        <f t="shared" si="4"/>
        <v>43</v>
      </c>
      <c r="P43" s="20">
        <f t="shared" si="5"/>
        <v>37</v>
      </c>
    </row>
    <row r="44" spans="1:16" ht="18" customHeight="1">
      <c r="A44" s="19">
        <v>38</v>
      </c>
      <c r="B44" s="2" t="s">
        <v>3349</v>
      </c>
      <c r="C44" s="1">
        <v>311220649</v>
      </c>
      <c r="D44" s="3" t="s">
        <v>3350</v>
      </c>
      <c r="E44" s="1" t="s">
        <v>353</v>
      </c>
      <c r="F44" s="10" t="s">
        <v>3213</v>
      </c>
      <c r="G44" s="2">
        <v>20</v>
      </c>
      <c r="H44" s="6">
        <v>72</v>
      </c>
      <c r="I44" s="6">
        <v>40</v>
      </c>
      <c r="J44" s="6">
        <v>31</v>
      </c>
      <c r="K44" s="6">
        <v>64</v>
      </c>
      <c r="L44" s="6">
        <v>8</v>
      </c>
      <c r="M44" s="6">
        <v>42</v>
      </c>
      <c r="N44" s="1">
        <f t="shared" si="3"/>
        <v>257</v>
      </c>
      <c r="O44" s="14">
        <f t="shared" si="4"/>
        <v>42.833333333333336</v>
      </c>
      <c r="P44" s="20">
        <f t="shared" si="5"/>
        <v>38</v>
      </c>
    </row>
    <row r="45" spans="1:16" ht="18" customHeight="1">
      <c r="A45" s="19">
        <v>39</v>
      </c>
      <c r="B45" s="2" t="s">
        <v>3310</v>
      </c>
      <c r="C45" s="1" t="s">
        <v>3311</v>
      </c>
      <c r="D45" s="3" t="s">
        <v>3312</v>
      </c>
      <c r="E45" s="1" t="s">
        <v>1703</v>
      </c>
      <c r="F45" s="10" t="s">
        <v>3213</v>
      </c>
      <c r="G45" s="2">
        <v>19</v>
      </c>
      <c r="H45" s="6">
        <v>86</v>
      </c>
      <c r="I45" s="6">
        <v>58</v>
      </c>
      <c r="J45" s="6">
        <v>31</v>
      </c>
      <c r="K45" s="6">
        <v>76</v>
      </c>
      <c r="L45" s="6"/>
      <c r="M45" s="6"/>
      <c r="N45" s="1">
        <f t="shared" si="3"/>
        <v>251</v>
      </c>
      <c r="O45" s="14">
        <f t="shared" si="4"/>
        <v>41.833333333333336</v>
      </c>
      <c r="P45" s="20">
        <f t="shared" si="5"/>
        <v>39</v>
      </c>
    </row>
    <row r="46" spans="1:16" ht="18" customHeight="1">
      <c r="A46" s="19">
        <v>40</v>
      </c>
      <c r="B46" s="2" t="s">
        <v>3328</v>
      </c>
      <c r="C46" s="1">
        <v>311240442</v>
      </c>
      <c r="D46" s="3" t="s">
        <v>3329</v>
      </c>
      <c r="E46" s="1" t="s">
        <v>78</v>
      </c>
      <c r="F46" s="10" t="s">
        <v>3213</v>
      </c>
      <c r="G46" s="2">
        <v>20</v>
      </c>
      <c r="H46" s="6">
        <v>50</v>
      </c>
      <c r="I46" s="6">
        <v>60</v>
      </c>
      <c r="J46" s="6">
        <v>28</v>
      </c>
      <c r="K46" s="6">
        <v>54</v>
      </c>
      <c r="L46" s="6">
        <v>44</v>
      </c>
      <c r="M46" s="6">
        <v>13</v>
      </c>
      <c r="N46" s="1">
        <f t="shared" si="3"/>
        <v>249</v>
      </c>
      <c r="O46" s="14">
        <f t="shared" si="4"/>
        <v>41.5</v>
      </c>
      <c r="P46" s="20">
        <f t="shared" si="5"/>
        <v>40</v>
      </c>
    </row>
    <row r="47" spans="1:16" ht="18" customHeight="1">
      <c r="A47" s="19">
        <v>41</v>
      </c>
      <c r="B47" s="2" t="s">
        <v>3304</v>
      </c>
      <c r="C47" s="1" t="s">
        <v>3305</v>
      </c>
      <c r="D47" s="3" t="s">
        <v>3306</v>
      </c>
      <c r="E47" s="1" t="s">
        <v>77</v>
      </c>
      <c r="F47" s="10" t="s">
        <v>3213</v>
      </c>
      <c r="G47" s="2">
        <v>19</v>
      </c>
      <c r="H47" s="6">
        <v>72</v>
      </c>
      <c r="I47" s="6">
        <v>30</v>
      </c>
      <c r="J47" s="6">
        <v>27</v>
      </c>
      <c r="K47" s="6">
        <v>52</v>
      </c>
      <c r="L47" s="6">
        <v>43</v>
      </c>
      <c r="M47" s="6">
        <v>18</v>
      </c>
      <c r="N47" s="1">
        <f t="shared" si="3"/>
        <v>242</v>
      </c>
      <c r="O47" s="14">
        <f t="shared" si="4"/>
        <v>40.333333333333336</v>
      </c>
      <c r="P47" s="20">
        <f t="shared" si="5"/>
        <v>41</v>
      </c>
    </row>
    <row r="48" spans="1:16" ht="18" customHeight="1">
      <c r="A48" s="19">
        <v>42</v>
      </c>
      <c r="B48" s="2" t="s">
        <v>3253</v>
      </c>
      <c r="C48" s="1">
        <v>311240419</v>
      </c>
      <c r="D48" s="3" t="s">
        <v>3254</v>
      </c>
      <c r="E48" s="1" t="s">
        <v>69</v>
      </c>
      <c r="F48" s="10" t="s">
        <v>3213</v>
      </c>
      <c r="G48" s="2">
        <v>18</v>
      </c>
      <c r="H48" s="6">
        <v>0</v>
      </c>
      <c r="I48" s="6">
        <v>0</v>
      </c>
      <c r="J48" s="6">
        <v>40</v>
      </c>
      <c r="K48" s="6">
        <v>88</v>
      </c>
      <c r="L48" s="6">
        <v>66</v>
      </c>
      <c r="M48" s="6">
        <v>44</v>
      </c>
      <c r="N48" s="1">
        <f t="shared" si="3"/>
        <v>238</v>
      </c>
      <c r="O48" s="14">
        <f t="shared" si="4"/>
        <v>39.666666666666664</v>
      </c>
      <c r="P48" s="20">
        <f t="shared" si="5"/>
        <v>42</v>
      </c>
    </row>
    <row r="49" spans="1:16" ht="18" customHeight="1">
      <c r="A49" s="19">
        <v>43</v>
      </c>
      <c r="B49" s="2" t="s">
        <v>3278</v>
      </c>
      <c r="C49" s="1" t="s">
        <v>3279</v>
      </c>
      <c r="D49" s="3" t="s">
        <v>3280</v>
      </c>
      <c r="E49" s="1" t="s">
        <v>57</v>
      </c>
      <c r="F49" s="10" t="s">
        <v>3213</v>
      </c>
      <c r="G49" s="2">
        <v>19</v>
      </c>
      <c r="H49" s="6">
        <v>65</v>
      </c>
      <c r="I49" s="6">
        <v>37</v>
      </c>
      <c r="J49" s="6">
        <v>37</v>
      </c>
      <c r="K49" s="6">
        <v>36</v>
      </c>
      <c r="L49" s="6">
        <v>52</v>
      </c>
      <c r="M49" s="6">
        <v>9</v>
      </c>
      <c r="N49" s="1">
        <f t="shared" si="3"/>
        <v>236</v>
      </c>
      <c r="O49" s="14">
        <f t="shared" si="4"/>
        <v>39.333333333333336</v>
      </c>
      <c r="P49" s="20">
        <f t="shared" si="5"/>
        <v>43</v>
      </c>
    </row>
    <row r="50" spans="1:16" ht="18" customHeight="1">
      <c r="A50" s="19">
        <v>44</v>
      </c>
      <c r="B50" s="2" t="s">
        <v>3260</v>
      </c>
      <c r="C50" s="1" t="s">
        <v>3261</v>
      </c>
      <c r="D50" s="3" t="s">
        <v>3262</v>
      </c>
      <c r="E50" s="1" t="s">
        <v>56</v>
      </c>
      <c r="F50" s="10" t="s">
        <v>3213</v>
      </c>
      <c r="G50" s="2">
        <v>18</v>
      </c>
      <c r="H50" s="6">
        <v>50</v>
      </c>
      <c r="I50" s="6">
        <v>33</v>
      </c>
      <c r="J50" s="6">
        <v>32</v>
      </c>
      <c r="K50" s="6">
        <v>80</v>
      </c>
      <c r="L50" s="6">
        <v>14</v>
      </c>
      <c r="M50" s="6">
        <v>22</v>
      </c>
      <c r="N50" s="1">
        <f t="shared" si="3"/>
        <v>231</v>
      </c>
      <c r="O50" s="14">
        <f t="shared" si="4"/>
        <v>38.5</v>
      </c>
      <c r="P50" s="20">
        <f t="shared" si="5"/>
        <v>44</v>
      </c>
    </row>
    <row r="51" spans="1:16" ht="18" customHeight="1">
      <c r="A51" s="19">
        <v>45</v>
      </c>
      <c r="B51" s="2" t="s">
        <v>3307</v>
      </c>
      <c r="C51" s="1" t="s">
        <v>3308</v>
      </c>
      <c r="D51" s="3" t="s">
        <v>3309</v>
      </c>
      <c r="E51" s="1" t="s">
        <v>77</v>
      </c>
      <c r="F51" s="10" t="s">
        <v>3213</v>
      </c>
      <c r="G51" s="2">
        <v>19</v>
      </c>
      <c r="H51" s="6">
        <v>43</v>
      </c>
      <c r="I51" s="6">
        <v>50</v>
      </c>
      <c r="J51" s="6">
        <v>18</v>
      </c>
      <c r="K51" s="6">
        <v>52</v>
      </c>
      <c r="L51" s="6">
        <v>40</v>
      </c>
      <c r="M51" s="6">
        <v>27</v>
      </c>
      <c r="N51" s="1">
        <f t="shared" si="3"/>
        <v>230</v>
      </c>
      <c r="O51" s="14">
        <f t="shared" si="4"/>
        <v>38.333333333333336</v>
      </c>
      <c r="P51" s="20">
        <f t="shared" si="5"/>
        <v>45</v>
      </c>
    </row>
    <row r="52" spans="1:16" ht="18" customHeight="1">
      <c r="A52" s="19">
        <v>46</v>
      </c>
      <c r="B52" s="2" t="s">
        <v>3228</v>
      </c>
      <c r="C52" s="1" t="s">
        <v>3229</v>
      </c>
      <c r="D52" s="3" t="s">
        <v>3230</v>
      </c>
      <c r="E52" s="1" t="s">
        <v>80</v>
      </c>
      <c r="F52" s="10" t="s">
        <v>3213</v>
      </c>
      <c r="G52" s="2">
        <v>18</v>
      </c>
      <c r="H52" s="6">
        <v>72</v>
      </c>
      <c r="I52" s="6">
        <v>44</v>
      </c>
      <c r="J52" s="6">
        <v>18</v>
      </c>
      <c r="K52" s="6">
        <v>54</v>
      </c>
      <c r="L52" s="6">
        <v>21</v>
      </c>
      <c r="M52" s="6">
        <v>18</v>
      </c>
      <c r="N52" s="1">
        <f t="shared" si="3"/>
        <v>227</v>
      </c>
      <c r="O52" s="14">
        <f t="shared" si="4"/>
        <v>37.833333333333336</v>
      </c>
      <c r="P52" s="20">
        <f t="shared" si="5"/>
        <v>46</v>
      </c>
    </row>
    <row r="53" spans="1:16" ht="18" customHeight="1">
      <c r="A53" s="19">
        <v>47</v>
      </c>
      <c r="B53" s="2" t="s">
        <v>3266</v>
      </c>
      <c r="C53" s="1" t="s">
        <v>3267</v>
      </c>
      <c r="D53" s="3" t="s">
        <v>3268</v>
      </c>
      <c r="E53" s="1" t="s">
        <v>56</v>
      </c>
      <c r="F53" s="10" t="s">
        <v>3213</v>
      </c>
      <c r="G53" s="2">
        <v>19</v>
      </c>
      <c r="H53" s="6">
        <v>79</v>
      </c>
      <c r="I53" s="6">
        <v>40</v>
      </c>
      <c r="J53" s="6">
        <v>28</v>
      </c>
      <c r="K53" s="6">
        <v>40</v>
      </c>
      <c r="L53" s="6">
        <v>30</v>
      </c>
      <c r="M53" s="6">
        <v>9</v>
      </c>
      <c r="N53" s="1">
        <f t="shared" si="3"/>
        <v>226</v>
      </c>
      <c r="O53" s="14">
        <f t="shared" si="4"/>
        <v>37.666666666666664</v>
      </c>
      <c r="P53" s="20">
        <f t="shared" si="5"/>
        <v>47</v>
      </c>
    </row>
    <row r="54" spans="1:16" ht="18" customHeight="1">
      <c r="A54" s="19">
        <v>48</v>
      </c>
      <c r="B54" s="2" t="s">
        <v>3221</v>
      </c>
      <c r="C54" s="1" t="s">
        <v>3222</v>
      </c>
      <c r="D54" s="3" t="s">
        <v>3223</v>
      </c>
      <c r="E54" s="1" t="s">
        <v>58</v>
      </c>
      <c r="F54" s="10" t="s">
        <v>3213</v>
      </c>
      <c r="G54" s="2">
        <v>18</v>
      </c>
      <c r="H54" s="6">
        <v>72</v>
      </c>
      <c r="I54" s="6">
        <v>48</v>
      </c>
      <c r="J54" s="6">
        <v>26</v>
      </c>
      <c r="K54" s="6">
        <v>54</v>
      </c>
      <c r="L54" s="6">
        <v>13</v>
      </c>
      <c r="M54" s="6">
        <v>9</v>
      </c>
      <c r="N54" s="1">
        <f t="shared" si="3"/>
        <v>222</v>
      </c>
      <c r="O54" s="14">
        <f t="shared" si="4"/>
        <v>37</v>
      </c>
      <c r="P54" s="20">
        <f t="shared" si="5"/>
        <v>48</v>
      </c>
    </row>
    <row r="55" spans="1:16" ht="18" customHeight="1">
      <c r="A55" s="19">
        <v>49</v>
      </c>
      <c r="B55" s="2" t="s">
        <v>3347</v>
      </c>
      <c r="C55" s="1">
        <v>311220723</v>
      </c>
      <c r="D55" s="3" t="s">
        <v>3348</v>
      </c>
      <c r="E55" s="1" t="s">
        <v>67</v>
      </c>
      <c r="F55" s="10" t="s">
        <v>3213</v>
      </c>
      <c r="G55" s="2">
        <v>20</v>
      </c>
      <c r="H55" s="6">
        <v>57</v>
      </c>
      <c r="I55" s="6">
        <v>18</v>
      </c>
      <c r="J55" s="6">
        <v>27</v>
      </c>
      <c r="K55" s="6">
        <v>64</v>
      </c>
      <c r="L55" s="6">
        <v>27</v>
      </c>
      <c r="M55" s="6">
        <v>22</v>
      </c>
      <c r="N55" s="1">
        <f t="shared" si="3"/>
        <v>215</v>
      </c>
      <c r="O55" s="14">
        <f t="shared" si="4"/>
        <v>35.833333333333336</v>
      </c>
      <c r="P55" s="20">
        <f t="shared" si="5"/>
        <v>49</v>
      </c>
    </row>
    <row r="56" spans="1:16" ht="18" customHeight="1">
      <c r="A56" s="19">
        <v>50</v>
      </c>
      <c r="B56" s="2" t="s">
        <v>3284</v>
      </c>
      <c r="C56" s="1" t="s">
        <v>3285</v>
      </c>
      <c r="D56" s="3" t="s">
        <v>3286</v>
      </c>
      <c r="E56" s="1" t="s">
        <v>62</v>
      </c>
      <c r="F56" s="10" t="s">
        <v>3213</v>
      </c>
      <c r="G56" s="2">
        <v>19</v>
      </c>
      <c r="H56" s="6">
        <v>65</v>
      </c>
      <c r="I56" s="6">
        <v>36</v>
      </c>
      <c r="J56" s="6">
        <v>19</v>
      </c>
      <c r="K56" s="6">
        <v>41</v>
      </c>
      <c r="L56" s="6">
        <v>34</v>
      </c>
      <c r="M56" s="6">
        <v>18</v>
      </c>
      <c r="N56" s="1">
        <f t="shared" si="3"/>
        <v>213</v>
      </c>
      <c r="O56" s="14">
        <f t="shared" si="4"/>
        <v>35.5</v>
      </c>
      <c r="P56" s="20">
        <f t="shared" si="5"/>
        <v>50</v>
      </c>
    </row>
    <row r="57" spans="1:16" ht="18" customHeight="1">
      <c r="A57" s="19">
        <v>51</v>
      </c>
      <c r="B57" s="2" t="s">
        <v>3330</v>
      </c>
      <c r="C57" s="1">
        <v>311230106</v>
      </c>
      <c r="D57" s="3" t="s">
        <v>3331</v>
      </c>
      <c r="E57" s="1" t="s">
        <v>78</v>
      </c>
      <c r="F57" s="10" t="s">
        <v>3213</v>
      </c>
      <c r="G57" s="2">
        <v>20</v>
      </c>
      <c r="H57" s="6">
        <v>50</v>
      </c>
      <c r="I57" s="6">
        <v>60</v>
      </c>
      <c r="J57" s="6">
        <v>15</v>
      </c>
      <c r="K57" s="6">
        <v>50</v>
      </c>
      <c r="L57" s="6">
        <v>26</v>
      </c>
      <c r="M57" s="6">
        <v>9</v>
      </c>
      <c r="N57" s="1">
        <f t="shared" si="3"/>
        <v>210</v>
      </c>
      <c r="O57" s="14">
        <f t="shared" si="4"/>
        <v>35</v>
      </c>
      <c r="P57" s="20">
        <f t="shared" si="5"/>
        <v>51</v>
      </c>
    </row>
    <row r="58" spans="1:16" ht="18" customHeight="1">
      <c r="A58" s="19">
        <v>52</v>
      </c>
      <c r="B58" s="2" t="s">
        <v>3211</v>
      </c>
      <c r="C58" s="1">
        <v>4232969</v>
      </c>
      <c r="D58" s="3" t="s">
        <v>3212</v>
      </c>
      <c r="E58" s="1" t="s">
        <v>59</v>
      </c>
      <c r="F58" s="10" t="s">
        <v>3213</v>
      </c>
      <c r="G58" s="2">
        <v>17</v>
      </c>
      <c r="H58" s="6">
        <v>93</v>
      </c>
      <c r="I58" s="6">
        <v>13</v>
      </c>
      <c r="J58" s="6">
        <v>23</v>
      </c>
      <c r="K58" s="6">
        <v>50</v>
      </c>
      <c r="L58" s="6">
        <v>20</v>
      </c>
      <c r="M58" s="6">
        <v>8</v>
      </c>
      <c r="N58" s="1">
        <f t="shared" si="3"/>
        <v>207</v>
      </c>
      <c r="O58" s="14">
        <f t="shared" si="4"/>
        <v>34.5</v>
      </c>
      <c r="P58" s="20">
        <f t="shared" si="5"/>
        <v>52</v>
      </c>
    </row>
    <row r="59" spans="1:16" ht="18" customHeight="1">
      <c r="A59" s="19">
        <v>53</v>
      </c>
      <c r="B59" s="2" t="s">
        <v>3234</v>
      </c>
      <c r="C59" s="1" t="s">
        <v>3235</v>
      </c>
      <c r="D59" s="3" t="s">
        <v>3236</v>
      </c>
      <c r="E59" s="1" t="s">
        <v>81</v>
      </c>
      <c r="F59" s="10" t="s">
        <v>3213</v>
      </c>
      <c r="G59" s="2">
        <v>18</v>
      </c>
      <c r="H59" s="6">
        <v>36</v>
      </c>
      <c r="I59" s="6">
        <v>57</v>
      </c>
      <c r="J59" s="6">
        <v>24</v>
      </c>
      <c r="K59" s="6">
        <v>46</v>
      </c>
      <c r="L59" s="6">
        <v>27</v>
      </c>
      <c r="M59" s="6">
        <v>14</v>
      </c>
      <c r="N59" s="1">
        <f t="shared" si="3"/>
        <v>204</v>
      </c>
      <c r="O59" s="14">
        <f t="shared" si="4"/>
        <v>34</v>
      </c>
      <c r="P59" s="20">
        <f t="shared" si="5"/>
        <v>53</v>
      </c>
    </row>
    <row r="60" spans="1:16" ht="18" customHeight="1">
      <c r="A60" s="19">
        <v>54</v>
      </c>
      <c r="B60" s="2" t="s">
        <v>3335</v>
      </c>
      <c r="C60" s="1" t="s">
        <v>3336</v>
      </c>
      <c r="D60" s="3" t="s">
        <v>3337</v>
      </c>
      <c r="E60" s="1" t="s">
        <v>65</v>
      </c>
      <c r="F60" s="10" t="s">
        <v>3213</v>
      </c>
      <c r="G60" s="2">
        <v>20</v>
      </c>
      <c r="H60" s="6">
        <v>57</v>
      </c>
      <c r="I60" s="6">
        <v>49</v>
      </c>
      <c r="J60" s="6">
        <v>21</v>
      </c>
      <c r="K60" s="6">
        <v>54</v>
      </c>
      <c r="L60" s="6">
        <v>4</v>
      </c>
      <c r="M60" s="6">
        <v>19</v>
      </c>
      <c r="N60" s="1">
        <f t="shared" si="3"/>
        <v>204</v>
      </c>
      <c r="O60" s="14">
        <f t="shared" si="4"/>
        <v>34</v>
      </c>
      <c r="P60" s="20">
        <f t="shared" si="5"/>
        <v>53</v>
      </c>
    </row>
    <row r="61" spans="1:16" ht="18" customHeight="1">
      <c r="A61" s="19">
        <v>55</v>
      </c>
      <c r="B61" s="2" t="s">
        <v>3242</v>
      </c>
      <c r="C61" s="1">
        <v>311220611</v>
      </c>
      <c r="D61" s="3" t="s">
        <v>3243</v>
      </c>
      <c r="E61" s="1" t="s">
        <v>75</v>
      </c>
      <c r="F61" s="10" t="s">
        <v>3213</v>
      </c>
      <c r="G61" s="2">
        <v>18</v>
      </c>
      <c r="H61" s="6">
        <v>29</v>
      </c>
      <c r="I61" s="6">
        <v>46</v>
      </c>
      <c r="J61" s="6">
        <v>17</v>
      </c>
      <c r="K61" s="6">
        <v>58</v>
      </c>
      <c r="L61" s="6">
        <v>13</v>
      </c>
      <c r="M61" s="6">
        <v>36</v>
      </c>
      <c r="N61" s="1">
        <f t="shared" si="3"/>
        <v>199</v>
      </c>
      <c r="O61" s="14">
        <f t="shared" si="4"/>
        <v>33.166666666666664</v>
      </c>
      <c r="P61" s="20">
        <f t="shared" si="5"/>
        <v>55</v>
      </c>
    </row>
    <row r="62" spans="1:16" ht="18" customHeight="1">
      <c r="A62" s="19">
        <v>56</v>
      </c>
      <c r="B62" s="2" t="s">
        <v>3362</v>
      </c>
      <c r="C62" s="1">
        <v>311260945</v>
      </c>
      <c r="D62" s="3" t="s">
        <v>3363</v>
      </c>
      <c r="E62" s="1" t="s">
        <v>64</v>
      </c>
      <c r="F62" s="10" t="s">
        <v>3213</v>
      </c>
      <c r="G62" s="2">
        <v>20</v>
      </c>
      <c r="H62" s="6">
        <v>36</v>
      </c>
      <c r="I62" s="6">
        <v>42</v>
      </c>
      <c r="J62" s="6">
        <v>21</v>
      </c>
      <c r="K62" s="6">
        <v>38</v>
      </c>
      <c r="L62" s="6">
        <v>30</v>
      </c>
      <c r="M62" s="6">
        <v>27</v>
      </c>
      <c r="N62" s="1">
        <f t="shared" si="3"/>
        <v>194</v>
      </c>
      <c r="O62" s="14">
        <f t="shared" si="4"/>
        <v>32.333333333333336</v>
      </c>
      <c r="P62" s="20">
        <f t="shared" si="5"/>
        <v>56</v>
      </c>
    </row>
    <row r="63" spans="1:16" ht="18" customHeight="1">
      <c r="A63" s="19">
        <v>57</v>
      </c>
      <c r="B63" s="2" t="s">
        <v>3263</v>
      </c>
      <c r="C63" s="1" t="s">
        <v>3264</v>
      </c>
      <c r="D63" s="3" t="s">
        <v>3265</v>
      </c>
      <c r="E63" s="1" t="s">
        <v>56</v>
      </c>
      <c r="F63" s="10" t="s">
        <v>3213</v>
      </c>
      <c r="G63" s="2">
        <v>19</v>
      </c>
      <c r="H63" s="6">
        <v>36</v>
      </c>
      <c r="I63" s="6">
        <v>39</v>
      </c>
      <c r="J63" s="6">
        <v>17</v>
      </c>
      <c r="K63" s="6">
        <v>56</v>
      </c>
      <c r="L63" s="6">
        <v>14</v>
      </c>
      <c r="M63" s="6">
        <v>26</v>
      </c>
      <c r="N63" s="1">
        <f t="shared" si="3"/>
        <v>188</v>
      </c>
      <c r="O63" s="14">
        <f t="shared" si="4"/>
        <v>31.333333333333332</v>
      </c>
      <c r="P63" s="20">
        <f t="shared" si="5"/>
        <v>57</v>
      </c>
    </row>
    <row r="64" spans="1:16" ht="18" customHeight="1">
      <c r="A64" s="19">
        <v>58</v>
      </c>
      <c r="B64" s="2" t="s">
        <v>3354</v>
      </c>
      <c r="C64" s="1">
        <v>311230091</v>
      </c>
      <c r="D64" s="3" t="s">
        <v>3355</v>
      </c>
      <c r="E64" s="1" t="s">
        <v>75</v>
      </c>
      <c r="F64" s="10" t="s">
        <v>3213</v>
      </c>
      <c r="G64" s="2">
        <v>20</v>
      </c>
      <c r="H64" s="6">
        <v>0</v>
      </c>
      <c r="I64" s="6">
        <v>33</v>
      </c>
      <c r="J64" s="6">
        <v>22</v>
      </c>
      <c r="K64" s="6">
        <v>70</v>
      </c>
      <c r="L64" s="6">
        <v>27</v>
      </c>
      <c r="M64" s="6">
        <v>19</v>
      </c>
      <c r="N64" s="1">
        <f t="shared" si="3"/>
        <v>171</v>
      </c>
      <c r="O64" s="14">
        <f t="shared" si="4"/>
        <v>28.5</v>
      </c>
      <c r="P64" s="20">
        <f t="shared" si="5"/>
        <v>58</v>
      </c>
    </row>
    <row r="65" spans="1:16" ht="18" customHeight="1">
      <c r="A65" s="19">
        <v>59</v>
      </c>
      <c r="B65" s="2" t="s">
        <v>3356</v>
      </c>
      <c r="C65" s="1">
        <v>311220714</v>
      </c>
      <c r="D65" s="3" t="s">
        <v>3357</v>
      </c>
      <c r="E65" s="1" t="s">
        <v>75</v>
      </c>
      <c r="F65" s="10" t="s">
        <v>3213</v>
      </c>
      <c r="G65" s="2">
        <v>20</v>
      </c>
      <c r="H65" s="6">
        <v>50</v>
      </c>
      <c r="I65" s="6">
        <v>13</v>
      </c>
      <c r="J65" s="6">
        <v>27</v>
      </c>
      <c r="K65" s="6">
        <v>33</v>
      </c>
      <c r="L65" s="6">
        <v>26</v>
      </c>
      <c r="M65" s="6">
        <v>13</v>
      </c>
      <c r="N65" s="1">
        <f t="shared" si="3"/>
        <v>162</v>
      </c>
      <c r="O65" s="14">
        <f t="shared" si="4"/>
        <v>27</v>
      </c>
      <c r="P65" s="20">
        <f t="shared" si="5"/>
        <v>59</v>
      </c>
    </row>
    <row r="66" spans="1:16" ht="18" customHeight="1">
      <c r="A66" s="19">
        <v>60</v>
      </c>
      <c r="B66" s="28" t="s">
        <v>3231</v>
      </c>
      <c r="C66" s="29" t="s">
        <v>3232</v>
      </c>
      <c r="D66" s="30" t="s">
        <v>3233</v>
      </c>
      <c r="E66" s="29" t="s">
        <v>81</v>
      </c>
      <c r="F66" s="31" t="s">
        <v>3213</v>
      </c>
      <c r="G66" s="28">
        <v>18</v>
      </c>
      <c r="H66" s="46"/>
      <c r="I66" s="46"/>
      <c r="J66" s="46"/>
      <c r="K66" s="46"/>
      <c r="L66" s="46"/>
      <c r="M66" s="46"/>
      <c r="N66" s="29">
        <f t="shared" si="3"/>
        <v>0</v>
      </c>
      <c r="O66" s="41">
        <f t="shared" si="4"/>
        <v>0</v>
      </c>
      <c r="P66" s="33">
        <f t="shared" si="5"/>
        <v>60</v>
      </c>
    </row>
  </sheetData>
  <mergeCells count="4">
    <mergeCell ref="A1:P1"/>
    <mergeCell ref="A2:P2"/>
    <mergeCell ref="A3:P3"/>
    <mergeCell ref="A5:B5"/>
  </mergeCells>
  <conditionalFormatting sqref="H7:M7">
    <cfRule type="expression" dxfId="4445" priority="239">
      <formula>5</formula>
    </cfRule>
    <cfRule type="cellIs" dxfId="4444" priority="240" operator="lessThan">
      <formula>5</formula>
    </cfRule>
  </conditionalFormatting>
  <conditionalFormatting sqref="H7:M7">
    <cfRule type="cellIs" dxfId="4443" priority="238" operator="lessThan">
      <formula>50</formula>
    </cfRule>
  </conditionalFormatting>
  <conditionalFormatting sqref="O7">
    <cfRule type="cellIs" dxfId="4442" priority="237" operator="lessThan">
      <formula>50</formula>
    </cfRule>
  </conditionalFormatting>
  <conditionalFormatting sqref="H8:M8">
    <cfRule type="expression" dxfId="4441" priority="235">
      <formula>5</formula>
    </cfRule>
    <cfRule type="cellIs" dxfId="4440" priority="236" operator="lessThan">
      <formula>5</formula>
    </cfRule>
  </conditionalFormatting>
  <conditionalFormatting sqref="H8:M8">
    <cfRule type="cellIs" dxfId="4439" priority="234" operator="lessThan">
      <formula>50</formula>
    </cfRule>
  </conditionalFormatting>
  <conditionalFormatting sqref="O8">
    <cfRule type="cellIs" dxfId="4438" priority="233" operator="lessThan">
      <formula>50</formula>
    </cfRule>
  </conditionalFormatting>
  <conditionalFormatting sqref="H9:M9">
    <cfRule type="expression" dxfId="4437" priority="231">
      <formula>5</formula>
    </cfRule>
    <cfRule type="cellIs" dxfId="4436" priority="232" operator="lessThan">
      <formula>5</formula>
    </cfRule>
  </conditionalFormatting>
  <conditionalFormatting sqref="H9:M9">
    <cfRule type="cellIs" dxfId="4435" priority="230" operator="lessThan">
      <formula>50</formula>
    </cfRule>
  </conditionalFormatting>
  <conditionalFormatting sqref="O9">
    <cfRule type="cellIs" dxfId="4434" priority="229" operator="lessThan">
      <formula>50</formula>
    </cfRule>
  </conditionalFormatting>
  <conditionalFormatting sqref="H10:M10">
    <cfRule type="expression" dxfId="4433" priority="227">
      <formula>5</formula>
    </cfRule>
    <cfRule type="cellIs" dxfId="4432" priority="228" operator="lessThan">
      <formula>5</formula>
    </cfRule>
  </conditionalFormatting>
  <conditionalFormatting sqref="H10:M10">
    <cfRule type="cellIs" dxfId="4431" priority="226" operator="lessThan">
      <formula>50</formula>
    </cfRule>
  </conditionalFormatting>
  <conditionalFormatting sqref="O10">
    <cfRule type="cellIs" dxfId="4430" priority="225" operator="lessThan">
      <formula>50</formula>
    </cfRule>
  </conditionalFormatting>
  <conditionalFormatting sqref="H11:M11">
    <cfRule type="expression" dxfId="4429" priority="223">
      <formula>5</formula>
    </cfRule>
    <cfRule type="cellIs" dxfId="4428" priority="224" operator="lessThan">
      <formula>5</formula>
    </cfRule>
  </conditionalFormatting>
  <conditionalFormatting sqref="H11:M11">
    <cfRule type="cellIs" dxfId="4427" priority="222" operator="lessThan">
      <formula>50</formula>
    </cfRule>
  </conditionalFormatting>
  <conditionalFormatting sqref="O11">
    <cfRule type="cellIs" dxfId="4426" priority="221" operator="lessThan">
      <formula>50</formula>
    </cfRule>
  </conditionalFormatting>
  <conditionalFormatting sqref="H12:M12">
    <cfRule type="expression" dxfId="4425" priority="219">
      <formula>5</formula>
    </cfRule>
    <cfRule type="cellIs" dxfId="4424" priority="220" operator="lessThan">
      <formula>5</formula>
    </cfRule>
  </conditionalFormatting>
  <conditionalFormatting sqref="H12:M12">
    <cfRule type="cellIs" dxfId="4423" priority="218" operator="lessThan">
      <formula>50</formula>
    </cfRule>
  </conditionalFormatting>
  <conditionalFormatting sqref="O12">
    <cfRule type="cellIs" dxfId="4422" priority="217" operator="lessThan">
      <formula>50</formula>
    </cfRule>
  </conditionalFormatting>
  <conditionalFormatting sqref="H13:M13">
    <cfRule type="expression" dxfId="4421" priority="215">
      <formula>5</formula>
    </cfRule>
    <cfRule type="cellIs" dxfId="4420" priority="216" operator="lessThan">
      <formula>5</formula>
    </cfRule>
  </conditionalFormatting>
  <conditionalFormatting sqref="H13:M13">
    <cfRule type="cellIs" dxfId="4419" priority="214" operator="lessThan">
      <formula>50</formula>
    </cfRule>
  </conditionalFormatting>
  <conditionalFormatting sqref="O13">
    <cfRule type="cellIs" dxfId="4418" priority="213" operator="lessThan">
      <formula>50</formula>
    </cfRule>
  </conditionalFormatting>
  <conditionalFormatting sqref="H14:M14">
    <cfRule type="expression" dxfId="4417" priority="211">
      <formula>5</formula>
    </cfRule>
    <cfRule type="cellIs" dxfId="4416" priority="212" operator="lessThan">
      <formula>5</formula>
    </cfRule>
  </conditionalFormatting>
  <conditionalFormatting sqref="H14:M14">
    <cfRule type="cellIs" dxfId="4415" priority="210" operator="lessThan">
      <formula>50</formula>
    </cfRule>
  </conditionalFormatting>
  <conditionalFormatting sqref="O14">
    <cfRule type="cellIs" dxfId="4414" priority="209" operator="lessThan">
      <formula>50</formula>
    </cfRule>
  </conditionalFormatting>
  <conditionalFormatting sqref="H15:M15">
    <cfRule type="expression" dxfId="4413" priority="207">
      <formula>5</formula>
    </cfRule>
    <cfRule type="cellIs" dxfId="4412" priority="208" operator="lessThan">
      <formula>5</formula>
    </cfRule>
  </conditionalFormatting>
  <conditionalFormatting sqref="H15:M15">
    <cfRule type="cellIs" dxfId="4411" priority="206" operator="lessThan">
      <formula>50</formula>
    </cfRule>
  </conditionalFormatting>
  <conditionalFormatting sqref="O15">
    <cfRule type="cellIs" dxfId="4410" priority="205" operator="lessThan">
      <formula>50</formula>
    </cfRule>
  </conditionalFormatting>
  <conditionalFormatting sqref="H16:M16">
    <cfRule type="expression" dxfId="4409" priority="203">
      <formula>5</formula>
    </cfRule>
    <cfRule type="cellIs" dxfId="4408" priority="204" operator="lessThan">
      <formula>5</formula>
    </cfRule>
  </conditionalFormatting>
  <conditionalFormatting sqref="H16:M16">
    <cfRule type="cellIs" dxfId="4407" priority="202" operator="lessThan">
      <formula>50</formula>
    </cfRule>
  </conditionalFormatting>
  <conditionalFormatting sqref="O16">
    <cfRule type="cellIs" dxfId="4406" priority="201" operator="lessThan">
      <formula>50</formula>
    </cfRule>
  </conditionalFormatting>
  <conditionalFormatting sqref="H17:M17">
    <cfRule type="expression" dxfId="4405" priority="199">
      <formula>5</formula>
    </cfRule>
    <cfRule type="cellIs" dxfId="4404" priority="200" operator="lessThan">
      <formula>5</formula>
    </cfRule>
  </conditionalFormatting>
  <conditionalFormatting sqref="H17:M17">
    <cfRule type="cellIs" dxfId="4403" priority="198" operator="lessThan">
      <formula>50</formula>
    </cfRule>
  </conditionalFormatting>
  <conditionalFormatting sqref="O17">
    <cfRule type="cellIs" dxfId="4402" priority="197" operator="lessThan">
      <formula>50</formula>
    </cfRule>
  </conditionalFormatting>
  <conditionalFormatting sqref="H18:M18">
    <cfRule type="expression" dxfId="4401" priority="195">
      <formula>5</formula>
    </cfRule>
    <cfRule type="cellIs" dxfId="4400" priority="196" operator="lessThan">
      <formula>5</formula>
    </cfRule>
  </conditionalFormatting>
  <conditionalFormatting sqref="H18:M18">
    <cfRule type="cellIs" dxfId="4399" priority="194" operator="lessThan">
      <formula>50</formula>
    </cfRule>
  </conditionalFormatting>
  <conditionalFormatting sqref="O18">
    <cfRule type="cellIs" dxfId="4398" priority="193" operator="lessThan">
      <formula>50</formula>
    </cfRule>
  </conditionalFormatting>
  <conditionalFormatting sqref="H19:M19">
    <cfRule type="expression" dxfId="4397" priority="191">
      <formula>5</formula>
    </cfRule>
    <cfRule type="cellIs" dxfId="4396" priority="192" operator="lessThan">
      <formula>5</formula>
    </cfRule>
  </conditionalFormatting>
  <conditionalFormatting sqref="H19:M19">
    <cfRule type="cellIs" dxfId="4395" priority="190" operator="lessThan">
      <formula>50</formula>
    </cfRule>
  </conditionalFormatting>
  <conditionalFormatting sqref="O19">
    <cfRule type="cellIs" dxfId="4394" priority="189" operator="lessThan">
      <formula>50</formula>
    </cfRule>
  </conditionalFormatting>
  <conditionalFormatting sqref="H20:M20">
    <cfRule type="expression" dxfId="4393" priority="187">
      <formula>5</formula>
    </cfRule>
    <cfRule type="cellIs" dxfId="4392" priority="188" operator="lessThan">
      <formula>5</formula>
    </cfRule>
  </conditionalFormatting>
  <conditionalFormatting sqref="H20:M20">
    <cfRule type="cellIs" dxfId="4391" priority="186" operator="lessThan">
      <formula>50</formula>
    </cfRule>
  </conditionalFormatting>
  <conditionalFormatting sqref="O20">
    <cfRule type="cellIs" dxfId="4390" priority="185" operator="lessThan">
      <formula>50</formula>
    </cfRule>
  </conditionalFormatting>
  <conditionalFormatting sqref="H21:M21">
    <cfRule type="expression" dxfId="4389" priority="183">
      <formula>5</formula>
    </cfRule>
    <cfRule type="cellIs" dxfId="4388" priority="184" operator="lessThan">
      <formula>5</formula>
    </cfRule>
  </conditionalFormatting>
  <conditionalFormatting sqref="H21:M21">
    <cfRule type="cellIs" dxfId="4387" priority="182" operator="lessThan">
      <formula>50</formula>
    </cfRule>
  </conditionalFormatting>
  <conditionalFormatting sqref="O21">
    <cfRule type="cellIs" dxfId="4386" priority="181" operator="lessThan">
      <formula>50</formula>
    </cfRule>
  </conditionalFormatting>
  <conditionalFormatting sqref="H22:M22">
    <cfRule type="expression" dxfId="4385" priority="179">
      <formula>5</formula>
    </cfRule>
    <cfRule type="cellIs" dxfId="4384" priority="180" operator="lessThan">
      <formula>5</formula>
    </cfRule>
  </conditionalFormatting>
  <conditionalFormatting sqref="H22:M22">
    <cfRule type="cellIs" dxfId="4383" priority="178" operator="lessThan">
      <formula>50</formula>
    </cfRule>
  </conditionalFormatting>
  <conditionalFormatting sqref="O22">
    <cfRule type="cellIs" dxfId="4382" priority="177" operator="lessThan">
      <formula>50</formula>
    </cfRule>
  </conditionalFormatting>
  <conditionalFormatting sqref="H23:M23">
    <cfRule type="expression" dxfId="4381" priority="175">
      <formula>5</formula>
    </cfRule>
    <cfRule type="cellIs" dxfId="4380" priority="176" operator="lessThan">
      <formula>5</formula>
    </cfRule>
  </conditionalFormatting>
  <conditionalFormatting sqref="H23:M23">
    <cfRule type="cellIs" dxfId="4379" priority="174" operator="lessThan">
      <formula>50</formula>
    </cfRule>
  </conditionalFormatting>
  <conditionalFormatting sqref="O23">
    <cfRule type="cellIs" dxfId="4378" priority="173" operator="lessThan">
      <formula>50</formula>
    </cfRule>
  </conditionalFormatting>
  <conditionalFormatting sqref="H24:M24">
    <cfRule type="expression" dxfId="4377" priority="171">
      <formula>5</formula>
    </cfRule>
    <cfRule type="cellIs" dxfId="4376" priority="172" operator="lessThan">
      <formula>5</formula>
    </cfRule>
  </conditionalFormatting>
  <conditionalFormatting sqref="H24:M24">
    <cfRule type="cellIs" dxfId="4375" priority="170" operator="lessThan">
      <formula>50</formula>
    </cfRule>
  </conditionalFormatting>
  <conditionalFormatting sqref="O24">
    <cfRule type="cellIs" dxfId="4374" priority="169" operator="lessThan">
      <formula>50</formula>
    </cfRule>
  </conditionalFormatting>
  <conditionalFormatting sqref="H25:M25">
    <cfRule type="expression" dxfId="4373" priority="167">
      <formula>5</formula>
    </cfRule>
    <cfRule type="cellIs" dxfId="4372" priority="168" operator="lessThan">
      <formula>5</formula>
    </cfRule>
  </conditionalFormatting>
  <conditionalFormatting sqref="H25:M25">
    <cfRule type="cellIs" dxfId="4371" priority="166" operator="lessThan">
      <formula>50</formula>
    </cfRule>
  </conditionalFormatting>
  <conditionalFormatting sqref="O25">
    <cfRule type="cellIs" dxfId="4370" priority="165" operator="lessThan">
      <formula>50</formula>
    </cfRule>
  </conditionalFormatting>
  <conditionalFormatting sqref="H26:M26">
    <cfRule type="expression" dxfId="4369" priority="163">
      <formula>5</formula>
    </cfRule>
    <cfRule type="cellIs" dxfId="4368" priority="164" operator="lessThan">
      <formula>5</formula>
    </cfRule>
  </conditionalFormatting>
  <conditionalFormatting sqref="H26:M26">
    <cfRule type="cellIs" dxfId="4367" priority="162" operator="lessThan">
      <formula>50</formula>
    </cfRule>
  </conditionalFormatting>
  <conditionalFormatting sqref="O26">
    <cfRule type="cellIs" dxfId="4366" priority="161" operator="lessThan">
      <formula>50</formula>
    </cfRule>
  </conditionalFormatting>
  <conditionalFormatting sqref="H27:M27">
    <cfRule type="expression" dxfId="4365" priority="159">
      <formula>5</formula>
    </cfRule>
    <cfRule type="cellIs" dxfId="4364" priority="160" operator="lessThan">
      <formula>5</formula>
    </cfRule>
  </conditionalFormatting>
  <conditionalFormatting sqref="H27:M27">
    <cfRule type="cellIs" dxfId="4363" priority="158" operator="lessThan">
      <formula>50</formula>
    </cfRule>
  </conditionalFormatting>
  <conditionalFormatting sqref="O27">
    <cfRule type="cellIs" dxfId="4362" priority="157" operator="lessThan">
      <formula>50</formula>
    </cfRule>
  </conditionalFormatting>
  <conditionalFormatting sqref="H28:M28">
    <cfRule type="expression" dxfId="4361" priority="155">
      <formula>5</formula>
    </cfRule>
    <cfRule type="cellIs" dxfId="4360" priority="156" operator="lessThan">
      <formula>5</formula>
    </cfRule>
  </conditionalFormatting>
  <conditionalFormatting sqref="H28:M28">
    <cfRule type="cellIs" dxfId="4359" priority="154" operator="lessThan">
      <formula>50</formula>
    </cfRule>
  </conditionalFormatting>
  <conditionalFormatting sqref="O28">
    <cfRule type="cellIs" dxfId="4358" priority="153" operator="lessThan">
      <formula>50</formula>
    </cfRule>
  </conditionalFormatting>
  <conditionalFormatting sqref="H29:M29">
    <cfRule type="expression" dxfId="4357" priority="151">
      <formula>5</formula>
    </cfRule>
    <cfRule type="cellIs" dxfId="4356" priority="152" operator="lessThan">
      <formula>5</formula>
    </cfRule>
  </conditionalFormatting>
  <conditionalFormatting sqref="H29:M29">
    <cfRule type="cellIs" dxfId="4355" priority="150" operator="lessThan">
      <formula>50</formula>
    </cfRule>
  </conditionalFormatting>
  <conditionalFormatting sqref="O29">
    <cfRule type="cellIs" dxfId="4354" priority="149" operator="lessThan">
      <formula>50</formula>
    </cfRule>
  </conditionalFormatting>
  <conditionalFormatting sqref="H30:M30">
    <cfRule type="expression" dxfId="4353" priority="147">
      <formula>5</formula>
    </cfRule>
    <cfRule type="cellIs" dxfId="4352" priority="148" operator="lessThan">
      <formula>5</formula>
    </cfRule>
  </conditionalFormatting>
  <conditionalFormatting sqref="H30:M30">
    <cfRule type="cellIs" dxfId="4351" priority="146" operator="lessThan">
      <formula>50</formula>
    </cfRule>
  </conditionalFormatting>
  <conditionalFormatting sqref="O30">
    <cfRule type="cellIs" dxfId="4350" priority="145" operator="lessThan">
      <formula>50</formula>
    </cfRule>
  </conditionalFormatting>
  <conditionalFormatting sqref="H31:M31">
    <cfRule type="expression" dxfId="4349" priority="143">
      <formula>5</formula>
    </cfRule>
    <cfRule type="cellIs" dxfId="4348" priority="144" operator="lessThan">
      <formula>5</formula>
    </cfRule>
  </conditionalFormatting>
  <conditionalFormatting sqref="H31:M31">
    <cfRule type="cellIs" dxfId="4347" priority="142" operator="lessThan">
      <formula>50</formula>
    </cfRule>
  </conditionalFormatting>
  <conditionalFormatting sqref="O31">
    <cfRule type="cellIs" dxfId="4346" priority="141" operator="lessThan">
      <formula>50</formula>
    </cfRule>
  </conditionalFormatting>
  <conditionalFormatting sqref="H32:M32">
    <cfRule type="expression" dxfId="4345" priority="139">
      <formula>5</formula>
    </cfRule>
    <cfRule type="cellIs" dxfId="4344" priority="140" operator="lessThan">
      <formula>5</formula>
    </cfRule>
  </conditionalFormatting>
  <conditionalFormatting sqref="H32:M32">
    <cfRule type="cellIs" dxfId="4343" priority="138" operator="lessThan">
      <formula>50</formula>
    </cfRule>
  </conditionalFormatting>
  <conditionalFormatting sqref="O32">
    <cfRule type="cellIs" dxfId="4342" priority="137" operator="lessThan">
      <formula>50</formula>
    </cfRule>
  </conditionalFormatting>
  <conditionalFormatting sqref="H33:M33">
    <cfRule type="expression" dxfId="4341" priority="135">
      <formula>5</formula>
    </cfRule>
    <cfRule type="cellIs" dxfId="4340" priority="136" operator="lessThan">
      <formula>5</formula>
    </cfRule>
  </conditionalFormatting>
  <conditionalFormatting sqref="H33:M33">
    <cfRule type="cellIs" dxfId="4339" priority="134" operator="lessThan">
      <formula>50</formula>
    </cfRule>
  </conditionalFormatting>
  <conditionalFormatting sqref="O33">
    <cfRule type="cellIs" dxfId="4338" priority="133" operator="lessThan">
      <formula>50</formula>
    </cfRule>
  </conditionalFormatting>
  <conditionalFormatting sqref="H34:M34">
    <cfRule type="expression" dxfId="4337" priority="131">
      <formula>5</formula>
    </cfRule>
    <cfRule type="cellIs" dxfId="4336" priority="132" operator="lessThan">
      <formula>5</formula>
    </cfRule>
  </conditionalFormatting>
  <conditionalFormatting sqref="H34:M34">
    <cfRule type="cellIs" dxfId="4335" priority="130" operator="lessThan">
      <formula>50</formula>
    </cfRule>
  </conditionalFormatting>
  <conditionalFormatting sqref="O34">
    <cfRule type="cellIs" dxfId="4334" priority="129" operator="lessThan">
      <formula>50</formula>
    </cfRule>
  </conditionalFormatting>
  <conditionalFormatting sqref="H35:M35">
    <cfRule type="expression" dxfId="4333" priority="127">
      <formula>5</formula>
    </cfRule>
    <cfRule type="cellIs" dxfId="4332" priority="128" operator="lessThan">
      <formula>5</formula>
    </cfRule>
  </conditionalFormatting>
  <conditionalFormatting sqref="H35:M35">
    <cfRule type="cellIs" dxfId="4331" priority="126" operator="lessThan">
      <formula>50</formula>
    </cfRule>
  </conditionalFormatting>
  <conditionalFormatting sqref="O35">
    <cfRule type="cellIs" dxfId="4330" priority="125" operator="lessThan">
      <formula>50</formula>
    </cfRule>
  </conditionalFormatting>
  <conditionalFormatting sqref="H36:M36">
    <cfRule type="expression" dxfId="4329" priority="123">
      <formula>5</formula>
    </cfRule>
    <cfRule type="cellIs" dxfId="4328" priority="124" operator="lessThan">
      <formula>5</formula>
    </cfRule>
  </conditionalFormatting>
  <conditionalFormatting sqref="H36:M36">
    <cfRule type="cellIs" dxfId="4327" priority="122" operator="lessThan">
      <formula>50</formula>
    </cfRule>
  </conditionalFormatting>
  <conditionalFormatting sqref="O36">
    <cfRule type="cellIs" dxfId="4326" priority="121" operator="lessThan">
      <formula>50</formula>
    </cfRule>
  </conditionalFormatting>
  <conditionalFormatting sqref="H37:M37">
    <cfRule type="expression" dxfId="4325" priority="119">
      <formula>5</formula>
    </cfRule>
    <cfRule type="cellIs" dxfId="4324" priority="120" operator="lessThan">
      <formula>5</formula>
    </cfRule>
  </conditionalFormatting>
  <conditionalFormatting sqref="H37:M37">
    <cfRule type="cellIs" dxfId="4323" priority="118" operator="lessThan">
      <formula>50</formula>
    </cfRule>
  </conditionalFormatting>
  <conditionalFormatting sqref="O37">
    <cfRule type="cellIs" dxfId="4322" priority="117" operator="lessThan">
      <formula>50</formula>
    </cfRule>
  </conditionalFormatting>
  <conditionalFormatting sqref="H38:M38">
    <cfRule type="expression" dxfId="4321" priority="115">
      <formula>5</formula>
    </cfRule>
    <cfRule type="cellIs" dxfId="4320" priority="116" operator="lessThan">
      <formula>5</formula>
    </cfRule>
  </conditionalFormatting>
  <conditionalFormatting sqref="H38:M38">
    <cfRule type="cellIs" dxfId="4319" priority="114" operator="lessThan">
      <formula>50</formula>
    </cfRule>
  </conditionalFormatting>
  <conditionalFormatting sqref="O38">
    <cfRule type="cellIs" dxfId="4318" priority="113" operator="lessThan">
      <formula>50</formula>
    </cfRule>
  </conditionalFormatting>
  <conditionalFormatting sqref="H39:M39">
    <cfRule type="expression" dxfId="4317" priority="111">
      <formula>5</formula>
    </cfRule>
    <cfRule type="cellIs" dxfId="4316" priority="112" operator="lessThan">
      <formula>5</formula>
    </cfRule>
  </conditionalFormatting>
  <conditionalFormatting sqref="H39:M39">
    <cfRule type="cellIs" dxfId="4315" priority="110" operator="lessThan">
      <formula>50</formula>
    </cfRule>
  </conditionalFormatting>
  <conditionalFormatting sqref="O39">
    <cfRule type="cellIs" dxfId="4314" priority="109" operator="lessThan">
      <formula>50</formula>
    </cfRule>
  </conditionalFormatting>
  <conditionalFormatting sqref="H40:M40">
    <cfRule type="expression" dxfId="4313" priority="107">
      <formula>5</formula>
    </cfRule>
    <cfRule type="cellIs" dxfId="4312" priority="108" operator="lessThan">
      <formula>5</formula>
    </cfRule>
  </conditionalFormatting>
  <conditionalFormatting sqref="H40:M40">
    <cfRule type="cellIs" dxfId="4311" priority="106" operator="lessThan">
      <formula>50</formula>
    </cfRule>
  </conditionalFormatting>
  <conditionalFormatting sqref="O40">
    <cfRule type="cellIs" dxfId="4310" priority="105" operator="lessThan">
      <formula>50</formula>
    </cfRule>
  </conditionalFormatting>
  <conditionalFormatting sqref="H41:M41">
    <cfRule type="expression" dxfId="4309" priority="103">
      <formula>5</formula>
    </cfRule>
    <cfRule type="cellIs" dxfId="4308" priority="104" operator="lessThan">
      <formula>5</formula>
    </cfRule>
  </conditionalFormatting>
  <conditionalFormatting sqref="H41:M41">
    <cfRule type="cellIs" dxfId="4307" priority="102" operator="lessThan">
      <formula>50</formula>
    </cfRule>
  </conditionalFormatting>
  <conditionalFormatting sqref="O41">
    <cfRule type="cellIs" dxfId="4306" priority="101" operator="lessThan">
      <formula>50</formula>
    </cfRule>
  </conditionalFormatting>
  <conditionalFormatting sqref="H42:M42">
    <cfRule type="expression" dxfId="4305" priority="99">
      <formula>5</formula>
    </cfRule>
    <cfRule type="cellIs" dxfId="4304" priority="100" operator="lessThan">
      <formula>5</formula>
    </cfRule>
  </conditionalFormatting>
  <conditionalFormatting sqref="H42:M42">
    <cfRule type="cellIs" dxfId="4303" priority="98" operator="lessThan">
      <formula>50</formula>
    </cfRule>
  </conditionalFormatting>
  <conditionalFormatting sqref="O42">
    <cfRule type="cellIs" dxfId="4302" priority="97" operator="lessThan">
      <formula>50</formula>
    </cfRule>
  </conditionalFormatting>
  <conditionalFormatting sqref="H43:M43">
    <cfRule type="expression" dxfId="4301" priority="95">
      <formula>5</formula>
    </cfRule>
    <cfRule type="cellIs" dxfId="4300" priority="96" operator="lessThan">
      <formula>5</formula>
    </cfRule>
  </conditionalFormatting>
  <conditionalFormatting sqref="H43:M43">
    <cfRule type="cellIs" dxfId="4299" priority="94" operator="lessThan">
      <formula>50</formula>
    </cfRule>
  </conditionalFormatting>
  <conditionalFormatting sqref="O43">
    <cfRule type="cellIs" dxfId="4298" priority="93" operator="lessThan">
      <formula>50</formula>
    </cfRule>
  </conditionalFormatting>
  <conditionalFormatting sqref="H44:M44">
    <cfRule type="expression" dxfId="4297" priority="91">
      <formula>5</formula>
    </cfRule>
    <cfRule type="cellIs" dxfId="4296" priority="92" operator="lessThan">
      <formula>5</formula>
    </cfRule>
  </conditionalFormatting>
  <conditionalFormatting sqref="H44:M44">
    <cfRule type="cellIs" dxfId="4295" priority="90" operator="lessThan">
      <formula>50</formula>
    </cfRule>
  </conditionalFormatting>
  <conditionalFormatting sqref="O44">
    <cfRule type="cellIs" dxfId="4294" priority="89" operator="lessThan">
      <formula>50</formula>
    </cfRule>
  </conditionalFormatting>
  <conditionalFormatting sqref="H45:M45">
    <cfRule type="expression" dxfId="4293" priority="87">
      <formula>5</formula>
    </cfRule>
    <cfRule type="cellIs" dxfId="4292" priority="88" operator="lessThan">
      <formula>5</formula>
    </cfRule>
  </conditionalFormatting>
  <conditionalFormatting sqref="H45:M45">
    <cfRule type="cellIs" dxfId="4291" priority="86" operator="lessThan">
      <formula>50</formula>
    </cfRule>
  </conditionalFormatting>
  <conditionalFormatting sqref="O45">
    <cfRule type="cellIs" dxfId="4290" priority="85" operator="lessThan">
      <formula>50</formula>
    </cfRule>
  </conditionalFormatting>
  <conditionalFormatting sqref="H46:M46">
    <cfRule type="expression" dxfId="4289" priority="83">
      <formula>5</formula>
    </cfRule>
    <cfRule type="cellIs" dxfId="4288" priority="84" operator="lessThan">
      <formula>5</formula>
    </cfRule>
  </conditionalFormatting>
  <conditionalFormatting sqref="H46:M46">
    <cfRule type="cellIs" dxfId="4287" priority="82" operator="lessThan">
      <formula>50</formula>
    </cfRule>
  </conditionalFormatting>
  <conditionalFormatting sqref="O46">
    <cfRule type="cellIs" dxfId="4286" priority="81" operator="lessThan">
      <formula>50</formula>
    </cfRule>
  </conditionalFormatting>
  <conditionalFormatting sqref="H47:M47">
    <cfRule type="expression" dxfId="4285" priority="79">
      <formula>5</formula>
    </cfRule>
    <cfRule type="cellIs" dxfId="4284" priority="80" operator="lessThan">
      <formula>5</formula>
    </cfRule>
  </conditionalFormatting>
  <conditionalFormatting sqref="H47:M47">
    <cfRule type="cellIs" dxfId="4283" priority="78" operator="lessThan">
      <formula>50</formula>
    </cfRule>
  </conditionalFormatting>
  <conditionalFormatting sqref="O47">
    <cfRule type="cellIs" dxfId="4282" priority="77" operator="lessThan">
      <formula>50</formula>
    </cfRule>
  </conditionalFormatting>
  <conditionalFormatting sqref="H48:M48">
    <cfRule type="expression" dxfId="4281" priority="75">
      <formula>5</formula>
    </cfRule>
    <cfRule type="cellIs" dxfId="4280" priority="76" operator="lessThan">
      <formula>5</formula>
    </cfRule>
  </conditionalFormatting>
  <conditionalFormatting sqref="H48:M48">
    <cfRule type="cellIs" dxfId="4279" priority="74" operator="lessThan">
      <formula>50</formula>
    </cfRule>
  </conditionalFormatting>
  <conditionalFormatting sqref="O48">
    <cfRule type="cellIs" dxfId="4278" priority="73" operator="lessThan">
      <formula>50</formula>
    </cfRule>
  </conditionalFormatting>
  <conditionalFormatting sqref="H49:M49">
    <cfRule type="expression" dxfId="4277" priority="71">
      <formula>5</formula>
    </cfRule>
    <cfRule type="cellIs" dxfId="4276" priority="72" operator="lessThan">
      <formula>5</formula>
    </cfRule>
  </conditionalFormatting>
  <conditionalFormatting sqref="H49:M49">
    <cfRule type="cellIs" dxfId="4275" priority="70" operator="lessThan">
      <formula>50</formula>
    </cfRule>
  </conditionalFormatting>
  <conditionalFormatting sqref="O49">
    <cfRule type="cellIs" dxfId="4274" priority="69" operator="lessThan">
      <formula>50</formula>
    </cfRule>
  </conditionalFormatting>
  <conditionalFormatting sqref="H50:M50">
    <cfRule type="expression" dxfId="4273" priority="67">
      <formula>5</formula>
    </cfRule>
    <cfRule type="cellIs" dxfId="4272" priority="68" operator="lessThan">
      <formula>5</formula>
    </cfRule>
  </conditionalFormatting>
  <conditionalFormatting sqref="H50:M50">
    <cfRule type="cellIs" dxfId="4271" priority="66" operator="lessThan">
      <formula>50</formula>
    </cfRule>
  </conditionalFormatting>
  <conditionalFormatting sqref="O50">
    <cfRule type="cellIs" dxfId="4270" priority="65" operator="lessThan">
      <formula>50</formula>
    </cfRule>
  </conditionalFormatting>
  <conditionalFormatting sqref="H51:M51">
    <cfRule type="expression" dxfId="4269" priority="63">
      <formula>5</formula>
    </cfRule>
    <cfRule type="cellIs" dxfId="4268" priority="64" operator="lessThan">
      <formula>5</formula>
    </cfRule>
  </conditionalFormatting>
  <conditionalFormatting sqref="H51:M51">
    <cfRule type="cellIs" dxfId="4267" priority="62" operator="lessThan">
      <formula>50</formula>
    </cfRule>
  </conditionalFormatting>
  <conditionalFormatting sqref="O51">
    <cfRule type="cellIs" dxfId="4266" priority="61" operator="lessThan">
      <formula>50</formula>
    </cfRule>
  </conditionalFormatting>
  <conditionalFormatting sqref="H52:M52">
    <cfRule type="expression" dxfId="4265" priority="59">
      <formula>5</formula>
    </cfRule>
    <cfRule type="cellIs" dxfId="4264" priority="60" operator="lessThan">
      <formula>5</formula>
    </cfRule>
  </conditionalFormatting>
  <conditionalFormatting sqref="H52:M52">
    <cfRule type="cellIs" dxfId="4263" priority="58" operator="lessThan">
      <formula>50</formula>
    </cfRule>
  </conditionalFormatting>
  <conditionalFormatting sqref="O52">
    <cfRule type="cellIs" dxfId="4262" priority="57" operator="lessThan">
      <formula>50</formula>
    </cfRule>
  </conditionalFormatting>
  <conditionalFormatting sqref="H53:M53">
    <cfRule type="expression" dxfId="4261" priority="55">
      <formula>5</formula>
    </cfRule>
    <cfRule type="cellIs" dxfId="4260" priority="56" operator="lessThan">
      <formula>5</formula>
    </cfRule>
  </conditionalFormatting>
  <conditionalFormatting sqref="H53:M53">
    <cfRule type="cellIs" dxfId="4259" priority="54" operator="lessThan">
      <formula>50</formula>
    </cfRule>
  </conditionalFormatting>
  <conditionalFormatting sqref="O53">
    <cfRule type="cellIs" dxfId="4258" priority="53" operator="lessThan">
      <formula>50</formula>
    </cfRule>
  </conditionalFormatting>
  <conditionalFormatting sqref="H54:M54">
    <cfRule type="expression" dxfId="4257" priority="51">
      <formula>5</formula>
    </cfRule>
    <cfRule type="cellIs" dxfId="4256" priority="52" operator="lessThan">
      <formula>5</formula>
    </cfRule>
  </conditionalFormatting>
  <conditionalFormatting sqref="H54:M54">
    <cfRule type="cellIs" dxfId="4255" priority="50" operator="lessThan">
      <formula>50</formula>
    </cfRule>
  </conditionalFormatting>
  <conditionalFormatting sqref="O54">
    <cfRule type="cellIs" dxfId="4254" priority="49" operator="lessThan">
      <formula>50</formula>
    </cfRule>
  </conditionalFormatting>
  <conditionalFormatting sqref="H55:M55">
    <cfRule type="expression" dxfId="4253" priority="47">
      <formula>5</formula>
    </cfRule>
    <cfRule type="cellIs" dxfId="4252" priority="48" operator="lessThan">
      <formula>5</formula>
    </cfRule>
  </conditionalFormatting>
  <conditionalFormatting sqref="H55:M55">
    <cfRule type="cellIs" dxfId="4251" priority="46" operator="lessThan">
      <formula>50</formula>
    </cfRule>
  </conditionalFormatting>
  <conditionalFormatting sqref="O55">
    <cfRule type="cellIs" dxfId="4250" priority="45" operator="lessThan">
      <formula>50</formula>
    </cfRule>
  </conditionalFormatting>
  <conditionalFormatting sqref="H56:M56">
    <cfRule type="expression" dxfId="4249" priority="43">
      <formula>5</formula>
    </cfRule>
    <cfRule type="cellIs" dxfId="4248" priority="44" operator="lessThan">
      <formula>5</formula>
    </cfRule>
  </conditionalFormatting>
  <conditionalFormatting sqref="H56:M56">
    <cfRule type="cellIs" dxfId="4247" priority="42" operator="lessThan">
      <formula>50</formula>
    </cfRule>
  </conditionalFormatting>
  <conditionalFormatting sqref="O56">
    <cfRule type="cellIs" dxfId="4246" priority="41" operator="lessThan">
      <formula>50</formula>
    </cfRule>
  </conditionalFormatting>
  <conditionalFormatting sqref="H57:M57">
    <cfRule type="expression" dxfId="4245" priority="39">
      <formula>5</formula>
    </cfRule>
    <cfRule type="cellIs" dxfId="4244" priority="40" operator="lessThan">
      <formula>5</formula>
    </cfRule>
  </conditionalFormatting>
  <conditionalFormatting sqref="H57:M57">
    <cfRule type="cellIs" dxfId="4243" priority="38" operator="lessThan">
      <formula>50</formula>
    </cfRule>
  </conditionalFormatting>
  <conditionalFormatting sqref="O57">
    <cfRule type="cellIs" dxfId="4242" priority="37" operator="lessThan">
      <formula>50</formula>
    </cfRule>
  </conditionalFormatting>
  <conditionalFormatting sqref="H58:M58">
    <cfRule type="expression" dxfId="4241" priority="35">
      <formula>5</formula>
    </cfRule>
    <cfRule type="cellIs" dxfId="4240" priority="36" operator="lessThan">
      <formula>5</formula>
    </cfRule>
  </conditionalFormatting>
  <conditionalFormatting sqref="H58:M58">
    <cfRule type="cellIs" dxfId="4239" priority="34" operator="lessThan">
      <formula>50</formula>
    </cfRule>
  </conditionalFormatting>
  <conditionalFormatting sqref="O58">
    <cfRule type="cellIs" dxfId="4238" priority="33" operator="lessThan">
      <formula>50</formula>
    </cfRule>
  </conditionalFormatting>
  <conditionalFormatting sqref="H59:M59">
    <cfRule type="expression" dxfId="4237" priority="31">
      <formula>5</formula>
    </cfRule>
    <cfRule type="cellIs" dxfId="4236" priority="32" operator="lessThan">
      <formula>5</formula>
    </cfRule>
  </conditionalFormatting>
  <conditionalFormatting sqref="H59:M59">
    <cfRule type="cellIs" dxfId="4235" priority="30" operator="lessThan">
      <formula>50</formula>
    </cfRule>
  </conditionalFormatting>
  <conditionalFormatting sqref="O59">
    <cfRule type="cellIs" dxfId="4234" priority="29" operator="lessThan">
      <formula>50</formula>
    </cfRule>
  </conditionalFormatting>
  <conditionalFormatting sqref="H60:M60">
    <cfRule type="expression" dxfId="4233" priority="27">
      <formula>5</formula>
    </cfRule>
    <cfRule type="cellIs" dxfId="4232" priority="28" operator="lessThan">
      <formula>5</formula>
    </cfRule>
  </conditionalFormatting>
  <conditionalFormatting sqref="H60:M60">
    <cfRule type="cellIs" dxfId="4231" priority="26" operator="lessThan">
      <formula>50</formula>
    </cfRule>
  </conditionalFormatting>
  <conditionalFormatting sqref="O60">
    <cfRule type="cellIs" dxfId="4230" priority="25" operator="lessThan">
      <formula>50</formula>
    </cfRule>
  </conditionalFormatting>
  <conditionalFormatting sqref="H61:M61">
    <cfRule type="expression" dxfId="4229" priority="23">
      <formula>5</formula>
    </cfRule>
    <cfRule type="cellIs" dxfId="4228" priority="24" operator="lessThan">
      <formula>5</formula>
    </cfRule>
  </conditionalFormatting>
  <conditionalFormatting sqref="H61:M61">
    <cfRule type="cellIs" dxfId="4227" priority="22" operator="lessThan">
      <formula>50</formula>
    </cfRule>
  </conditionalFormatting>
  <conditionalFormatting sqref="O61">
    <cfRule type="cellIs" dxfId="4226" priority="21" operator="lessThan">
      <formula>50</formula>
    </cfRule>
  </conditionalFormatting>
  <conditionalFormatting sqref="H62:M62">
    <cfRule type="expression" dxfId="4225" priority="19">
      <formula>5</formula>
    </cfRule>
    <cfRule type="cellIs" dxfId="4224" priority="20" operator="lessThan">
      <formula>5</formula>
    </cfRule>
  </conditionalFormatting>
  <conditionalFormatting sqref="H62:M62">
    <cfRule type="cellIs" dxfId="4223" priority="18" operator="lessThan">
      <formula>50</formula>
    </cfRule>
  </conditionalFormatting>
  <conditionalFormatting sqref="O62">
    <cfRule type="cellIs" dxfId="4222" priority="17" operator="lessThan">
      <formula>50</formula>
    </cfRule>
  </conditionalFormatting>
  <conditionalFormatting sqref="H63:M63">
    <cfRule type="expression" dxfId="4221" priority="15">
      <formula>5</formula>
    </cfRule>
    <cfRule type="cellIs" dxfId="4220" priority="16" operator="lessThan">
      <formula>5</formula>
    </cfRule>
  </conditionalFormatting>
  <conditionalFormatting sqref="H63:M63">
    <cfRule type="cellIs" dxfId="4219" priority="14" operator="lessThan">
      <formula>50</formula>
    </cfRule>
  </conditionalFormatting>
  <conditionalFormatting sqref="O63">
    <cfRule type="cellIs" dxfId="4218" priority="13" operator="lessThan">
      <formula>50</formula>
    </cfRule>
  </conditionalFormatting>
  <conditionalFormatting sqref="H64:M64">
    <cfRule type="expression" dxfId="4217" priority="11">
      <formula>5</formula>
    </cfRule>
    <cfRule type="cellIs" dxfId="4216" priority="12" operator="lessThan">
      <formula>5</formula>
    </cfRule>
  </conditionalFormatting>
  <conditionalFormatting sqref="H64:M64">
    <cfRule type="cellIs" dxfId="4215" priority="10" operator="lessThan">
      <formula>50</formula>
    </cfRule>
  </conditionalFormatting>
  <conditionalFormatting sqref="O64">
    <cfRule type="cellIs" dxfId="4214" priority="9" operator="lessThan">
      <formula>50</formula>
    </cfRule>
  </conditionalFormatting>
  <conditionalFormatting sqref="H65:M65">
    <cfRule type="expression" dxfId="4213" priority="7">
      <formula>5</formula>
    </cfRule>
    <cfRule type="cellIs" dxfId="4212" priority="8" operator="lessThan">
      <formula>5</formula>
    </cfRule>
  </conditionalFormatting>
  <conditionalFormatting sqref="H65:M65">
    <cfRule type="cellIs" dxfId="4211" priority="6" operator="lessThan">
      <formula>50</formula>
    </cfRule>
  </conditionalFormatting>
  <conditionalFormatting sqref="O65">
    <cfRule type="cellIs" dxfId="4210" priority="5" operator="lessThan">
      <formula>50</formula>
    </cfRule>
  </conditionalFormatting>
  <conditionalFormatting sqref="H66:M66">
    <cfRule type="expression" dxfId="4209" priority="3">
      <formula>5</formula>
    </cfRule>
    <cfRule type="cellIs" dxfId="4208" priority="4" operator="lessThan">
      <formula>5</formula>
    </cfRule>
  </conditionalFormatting>
  <conditionalFormatting sqref="H66:M66">
    <cfRule type="cellIs" dxfId="4207" priority="2" operator="lessThan">
      <formula>50</formula>
    </cfRule>
  </conditionalFormatting>
  <conditionalFormatting sqref="O66">
    <cfRule type="cellIs" dxfId="4206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7:E7 D10:E12 D27:E28 D45:E45" xr:uid="{4EC6792F-E6AF-464E-8E0C-7B27FCF15957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43D4-CF42-41AC-98A8-D4E604D6C12C}">
  <sheetPr codeName="Sheet105"/>
  <dimension ref="A1:R73"/>
  <sheetViews>
    <sheetView showGridLines="0" workbookViewId="0">
      <selection activeCell="V7" sqref="V7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5" width="4.7109375" customWidth="1"/>
    <col min="16" max="16" width="6.7109375" customWidth="1"/>
    <col min="17" max="17" width="4.7109375" style="44" customWidth="1"/>
    <col min="18" max="18" width="4.7109375" customWidth="1"/>
  </cols>
  <sheetData>
    <row r="1" spans="1:18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49"/>
      <c r="R1" s="16"/>
    </row>
    <row r="2" spans="1:18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0"/>
      <c r="R2" s="11"/>
    </row>
    <row r="3" spans="1:18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0"/>
      <c r="R3" s="11"/>
    </row>
    <row r="4" spans="1:18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51"/>
      <c r="R4" s="11"/>
    </row>
    <row r="5" spans="1:18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52"/>
      <c r="R5" s="12"/>
    </row>
    <row r="6" spans="1:18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16</v>
      </c>
      <c r="I6" s="39" t="s">
        <v>3</v>
      </c>
      <c r="J6" s="39" t="s">
        <v>17</v>
      </c>
      <c r="K6" s="39" t="s">
        <v>15</v>
      </c>
      <c r="L6" s="39" t="s">
        <v>18</v>
      </c>
      <c r="M6" s="39" t="s">
        <v>19</v>
      </c>
      <c r="N6" s="39" t="s">
        <v>20</v>
      </c>
      <c r="O6" s="39" t="s">
        <v>21</v>
      </c>
      <c r="P6" s="39" t="s">
        <v>5320</v>
      </c>
      <c r="Q6" s="53" t="s">
        <v>5321</v>
      </c>
      <c r="R6" s="39" t="s">
        <v>5324</v>
      </c>
    </row>
    <row r="7" spans="1:18" ht="18" customHeight="1" thickTop="1">
      <c r="A7" s="19">
        <v>1</v>
      </c>
      <c r="B7" s="2" t="s">
        <v>3539</v>
      </c>
      <c r="C7" s="1" t="s">
        <v>3540</v>
      </c>
      <c r="D7" s="3" t="s">
        <v>3541</v>
      </c>
      <c r="E7" s="1" t="s">
        <v>69</v>
      </c>
      <c r="F7" s="10" t="s">
        <v>3534</v>
      </c>
      <c r="G7" s="2" t="s">
        <v>2729</v>
      </c>
      <c r="H7" s="6">
        <v>92</v>
      </c>
      <c r="I7" s="6">
        <v>100</v>
      </c>
      <c r="J7" s="6">
        <v>76</v>
      </c>
      <c r="K7" s="6">
        <v>100</v>
      </c>
      <c r="L7" s="6">
        <v>60</v>
      </c>
      <c r="M7" s="6">
        <v>100</v>
      </c>
      <c r="N7" s="6">
        <v>100</v>
      </c>
      <c r="O7" s="6">
        <v>84</v>
      </c>
      <c r="P7" s="1">
        <f>SUBTOTAL(9,H7:O7)</f>
        <v>712</v>
      </c>
      <c r="Q7" s="14">
        <f>P7/8</f>
        <v>89</v>
      </c>
      <c r="R7" s="20">
        <f t="shared" ref="R7:R38" si="0">RANK(Q7,Q$7:Q$274,0)</f>
        <v>1</v>
      </c>
    </row>
    <row r="8" spans="1:18" ht="18" customHeight="1">
      <c r="A8" s="19">
        <v>2</v>
      </c>
      <c r="B8" s="2" t="s">
        <v>3573</v>
      </c>
      <c r="C8" s="1">
        <v>311240434</v>
      </c>
      <c r="D8" s="3" t="s">
        <v>3574</v>
      </c>
      <c r="E8" s="1" t="s">
        <v>71</v>
      </c>
      <c r="F8" s="10" t="s">
        <v>3534</v>
      </c>
      <c r="G8" s="2">
        <v>10</v>
      </c>
      <c r="H8" s="6">
        <v>76</v>
      </c>
      <c r="I8" s="6">
        <v>84</v>
      </c>
      <c r="J8" s="6">
        <v>100</v>
      </c>
      <c r="K8" s="6">
        <v>92</v>
      </c>
      <c r="L8" s="6">
        <v>84</v>
      </c>
      <c r="M8" s="6">
        <v>96</v>
      </c>
      <c r="N8" s="6">
        <v>80</v>
      </c>
      <c r="O8" s="6">
        <v>68</v>
      </c>
      <c r="P8" s="1">
        <f t="shared" ref="P8:P38" si="1">SUBTOTAL(9,H8:O8)</f>
        <v>680</v>
      </c>
      <c r="Q8" s="14">
        <f t="shared" ref="Q8:Q38" si="2">P8/8</f>
        <v>85</v>
      </c>
      <c r="R8" s="20">
        <f t="shared" si="0"/>
        <v>2</v>
      </c>
    </row>
    <row r="9" spans="1:18" ht="18" customHeight="1">
      <c r="A9" s="19">
        <v>3</v>
      </c>
      <c r="B9" s="2" t="s">
        <v>3531</v>
      </c>
      <c r="C9" s="1" t="s">
        <v>3532</v>
      </c>
      <c r="D9" s="3" t="s">
        <v>3533</v>
      </c>
      <c r="E9" s="1" t="s">
        <v>59</v>
      </c>
      <c r="F9" s="10" t="s">
        <v>3534</v>
      </c>
      <c r="G9" s="2" t="s">
        <v>2729</v>
      </c>
      <c r="H9" s="6">
        <v>88</v>
      </c>
      <c r="I9" s="6">
        <v>84</v>
      </c>
      <c r="J9" s="6">
        <v>88</v>
      </c>
      <c r="K9" s="6">
        <v>92</v>
      </c>
      <c r="L9" s="6">
        <v>36</v>
      </c>
      <c r="M9" s="6">
        <v>92</v>
      </c>
      <c r="N9" s="6">
        <v>80</v>
      </c>
      <c r="O9" s="6">
        <v>52</v>
      </c>
      <c r="P9" s="1">
        <f t="shared" si="1"/>
        <v>612</v>
      </c>
      <c r="Q9" s="14">
        <f t="shared" si="2"/>
        <v>76.5</v>
      </c>
      <c r="R9" s="20">
        <f t="shared" si="0"/>
        <v>3</v>
      </c>
    </row>
    <row r="10" spans="1:18" ht="18" customHeight="1">
      <c r="A10" s="19">
        <v>4</v>
      </c>
      <c r="B10" s="2" t="s">
        <v>3625</v>
      </c>
      <c r="C10" s="1">
        <v>311220976</v>
      </c>
      <c r="D10" s="3" t="s">
        <v>3626</v>
      </c>
      <c r="E10" s="1" t="s">
        <v>74</v>
      </c>
      <c r="F10" s="10" t="s">
        <v>3534</v>
      </c>
      <c r="G10" s="2">
        <v>11</v>
      </c>
      <c r="H10" s="6">
        <v>60</v>
      </c>
      <c r="I10" s="6">
        <v>93</v>
      </c>
      <c r="J10" s="6">
        <v>88</v>
      </c>
      <c r="K10" s="6">
        <v>76</v>
      </c>
      <c r="L10" s="6">
        <v>56</v>
      </c>
      <c r="M10" s="6">
        <v>56</v>
      </c>
      <c r="N10" s="6">
        <v>76</v>
      </c>
      <c r="O10" s="6">
        <v>56</v>
      </c>
      <c r="P10" s="1">
        <f t="shared" si="1"/>
        <v>561</v>
      </c>
      <c r="Q10" s="14">
        <f t="shared" si="2"/>
        <v>70.125</v>
      </c>
      <c r="R10" s="20">
        <f t="shared" si="0"/>
        <v>4</v>
      </c>
    </row>
    <row r="11" spans="1:18" ht="18" customHeight="1">
      <c r="A11" s="19">
        <v>5</v>
      </c>
      <c r="B11" s="2" t="s">
        <v>3656</v>
      </c>
      <c r="C11" s="1" t="s">
        <v>3657</v>
      </c>
      <c r="D11" s="3" t="s">
        <v>517</v>
      </c>
      <c r="E11" s="1" t="s">
        <v>82</v>
      </c>
      <c r="F11" s="10" t="s">
        <v>3534</v>
      </c>
      <c r="G11" s="2">
        <v>12</v>
      </c>
      <c r="H11" s="6">
        <v>64</v>
      </c>
      <c r="I11" s="6">
        <v>100</v>
      </c>
      <c r="J11" s="6">
        <v>100</v>
      </c>
      <c r="K11" s="6">
        <v>84</v>
      </c>
      <c r="L11" s="6">
        <v>22</v>
      </c>
      <c r="M11" s="6">
        <v>86</v>
      </c>
      <c r="N11" s="6">
        <v>48</v>
      </c>
      <c r="O11" s="6">
        <v>40</v>
      </c>
      <c r="P11" s="1">
        <f t="shared" si="1"/>
        <v>544</v>
      </c>
      <c r="Q11" s="14">
        <f t="shared" si="2"/>
        <v>68</v>
      </c>
      <c r="R11" s="20">
        <f t="shared" si="0"/>
        <v>5</v>
      </c>
    </row>
    <row r="12" spans="1:18" ht="18" customHeight="1">
      <c r="A12" s="19">
        <v>6</v>
      </c>
      <c r="B12" s="2" t="s">
        <v>3604</v>
      </c>
      <c r="C12" s="1" t="s">
        <v>3605</v>
      </c>
      <c r="D12" s="3" t="s">
        <v>3606</v>
      </c>
      <c r="E12" s="1" t="s">
        <v>77</v>
      </c>
      <c r="F12" s="10" t="s">
        <v>3534</v>
      </c>
      <c r="G12" s="2">
        <v>10</v>
      </c>
      <c r="H12" s="6">
        <v>64</v>
      </c>
      <c r="I12" s="6">
        <v>95</v>
      </c>
      <c r="J12" s="6">
        <v>84</v>
      </c>
      <c r="K12" s="6">
        <v>80</v>
      </c>
      <c r="L12" s="6">
        <v>40</v>
      </c>
      <c r="M12" s="6">
        <v>52</v>
      </c>
      <c r="N12" s="6">
        <v>60</v>
      </c>
      <c r="O12" s="6">
        <v>52</v>
      </c>
      <c r="P12" s="1">
        <f t="shared" si="1"/>
        <v>527</v>
      </c>
      <c r="Q12" s="14">
        <f t="shared" si="2"/>
        <v>65.875</v>
      </c>
      <c r="R12" s="20">
        <f t="shared" si="0"/>
        <v>6</v>
      </c>
    </row>
    <row r="13" spans="1:18" ht="18" customHeight="1">
      <c r="A13" s="19">
        <v>7</v>
      </c>
      <c r="B13" s="2" t="s">
        <v>3537</v>
      </c>
      <c r="C13" s="1">
        <v>311220543</v>
      </c>
      <c r="D13" s="3" t="s">
        <v>3538</v>
      </c>
      <c r="E13" s="1" t="s">
        <v>69</v>
      </c>
      <c r="F13" s="10" t="s">
        <v>3534</v>
      </c>
      <c r="G13" s="2" t="s">
        <v>2729</v>
      </c>
      <c r="H13" s="6">
        <v>52</v>
      </c>
      <c r="I13" s="6">
        <v>89</v>
      </c>
      <c r="J13" s="6">
        <v>88</v>
      </c>
      <c r="K13" s="6">
        <v>68</v>
      </c>
      <c r="L13" s="6">
        <v>32</v>
      </c>
      <c r="M13" s="6">
        <v>80</v>
      </c>
      <c r="N13" s="6">
        <v>64</v>
      </c>
      <c r="O13" s="6">
        <v>52</v>
      </c>
      <c r="P13" s="1">
        <f t="shared" si="1"/>
        <v>525</v>
      </c>
      <c r="Q13" s="14">
        <f t="shared" si="2"/>
        <v>65.625</v>
      </c>
      <c r="R13" s="20">
        <f t="shared" si="0"/>
        <v>7</v>
      </c>
    </row>
    <row r="14" spans="1:18" ht="18" customHeight="1">
      <c r="A14" s="19">
        <v>8</v>
      </c>
      <c r="B14" s="2" t="s">
        <v>3672</v>
      </c>
      <c r="C14" s="1">
        <v>311220737</v>
      </c>
      <c r="D14" s="3" t="s">
        <v>3673</v>
      </c>
      <c r="E14" s="1" t="s">
        <v>66</v>
      </c>
      <c r="F14" s="10" t="s">
        <v>3534</v>
      </c>
      <c r="G14" s="2">
        <v>12</v>
      </c>
      <c r="H14" s="6">
        <v>48</v>
      </c>
      <c r="I14" s="6">
        <v>89</v>
      </c>
      <c r="J14" s="6">
        <v>92</v>
      </c>
      <c r="K14" s="6">
        <v>100</v>
      </c>
      <c r="L14" s="6">
        <v>24</v>
      </c>
      <c r="M14" s="6">
        <v>56</v>
      </c>
      <c r="N14" s="6">
        <v>72</v>
      </c>
      <c r="O14" s="6">
        <v>44</v>
      </c>
      <c r="P14" s="1">
        <f t="shared" si="1"/>
        <v>525</v>
      </c>
      <c r="Q14" s="14">
        <f t="shared" si="2"/>
        <v>65.625</v>
      </c>
      <c r="R14" s="20">
        <f t="shared" si="0"/>
        <v>7</v>
      </c>
    </row>
    <row r="15" spans="1:18" ht="18" customHeight="1">
      <c r="A15" s="19">
        <v>9</v>
      </c>
      <c r="B15" s="2" t="s">
        <v>3653</v>
      </c>
      <c r="C15" s="1" t="s">
        <v>3654</v>
      </c>
      <c r="D15" s="3" t="s">
        <v>3655</v>
      </c>
      <c r="E15" s="1" t="s">
        <v>82</v>
      </c>
      <c r="F15" s="10" t="s">
        <v>3534</v>
      </c>
      <c r="G15" s="2">
        <v>11</v>
      </c>
      <c r="H15" s="6">
        <v>56</v>
      </c>
      <c r="I15" s="6">
        <v>79</v>
      </c>
      <c r="J15" s="6">
        <v>92</v>
      </c>
      <c r="K15" s="6">
        <v>56</v>
      </c>
      <c r="L15" s="6">
        <v>36</v>
      </c>
      <c r="M15" s="6">
        <v>80</v>
      </c>
      <c r="N15" s="6">
        <v>76</v>
      </c>
      <c r="O15" s="6">
        <v>28</v>
      </c>
      <c r="P15" s="1">
        <f t="shared" si="1"/>
        <v>503</v>
      </c>
      <c r="Q15" s="14">
        <f t="shared" si="2"/>
        <v>62.875</v>
      </c>
      <c r="R15" s="20">
        <f t="shared" si="0"/>
        <v>9</v>
      </c>
    </row>
    <row r="16" spans="1:18" ht="18" customHeight="1">
      <c r="A16" s="19">
        <v>10</v>
      </c>
      <c r="B16" s="2" t="s">
        <v>3581</v>
      </c>
      <c r="C16" s="1" t="s">
        <v>3582</v>
      </c>
      <c r="D16" s="3" t="s">
        <v>3583</v>
      </c>
      <c r="E16" s="1" t="s">
        <v>72</v>
      </c>
      <c r="F16" s="10" t="s">
        <v>3534</v>
      </c>
      <c r="G16" s="2">
        <v>10</v>
      </c>
      <c r="H16" s="6">
        <v>76</v>
      </c>
      <c r="I16" s="6">
        <v>89</v>
      </c>
      <c r="J16" s="6">
        <v>88</v>
      </c>
      <c r="K16" s="6">
        <v>52</v>
      </c>
      <c r="L16" s="6">
        <v>20</v>
      </c>
      <c r="M16" s="6">
        <v>56</v>
      </c>
      <c r="N16" s="6">
        <v>76</v>
      </c>
      <c r="O16" s="6">
        <v>44</v>
      </c>
      <c r="P16" s="1">
        <f t="shared" si="1"/>
        <v>501</v>
      </c>
      <c r="Q16" s="14">
        <f t="shared" si="2"/>
        <v>62.625</v>
      </c>
      <c r="R16" s="20">
        <f t="shared" si="0"/>
        <v>10</v>
      </c>
    </row>
    <row r="17" spans="1:18" ht="18" customHeight="1">
      <c r="A17" s="19">
        <v>11</v>
      </c>
      <c r="B17" s="2" t="s">
        <v>3630</v>
      </c>
      <c r="C17" s="1">
        <v>311230111</v>
      </c>
      <c r="D17" s="3" t="s">
        <v>3631</v>
      </c>
      <c r="E17" s="1" t="s">
        <v>78</v>
      </c>
      <c r="F17" s="10" t="s">
        <v>3534</v>
      </c>
      <c r="G17" s="2">
        <v>11</v>
      </c>
      <c r="H17" s="6">
        <v>60</v>
      </c>
      <c r="I17" s="6">
        <v>79</v>
      </c>
      <c r="J17" s="6">
        <v>68</v>
      </c>
      <c r="K17" s="6">
        <v>84</v>
      </c>
      <c r="L17" s="6">
        <v>24</v>
      </c>
      <c r="M17" s="6">
        <v>64</v>
      </c>
      <c r="N17" s="6">
        <v>48</v>
      </c>
      <c r="O17" s="6">
        <v>68</v>
      </c>
      <c r="P17" s="1">
        <f t="shared" si="1"/>
        <v>495</v>
      </c>
      <c r="Q17" s="14">
        <f t="shared" si="2"/>
        <v>61.875</v>
      </c>
      <c r="R17" s="20">
        <f t="shared" si="0"/>
        <v>11</v>
      </c>
    </row>
    <row r="18" spans="1:18" ht="18" customHeight="1">
      <c r="A18" s="19">
        <v>12</v>
      </c>
      <c r="B18" s="2" t="s">
        <v>3639</v>
      </c>
      <c r="C18" s="1" t="s">
        <v>3640</v>
      </c>
      <c r="D18" s="3" t="s">
        <v>3641</v>
      </c>
      <c r="E18" s="1" t="s">
        <v>88</v>
      </c>
      <c r="F18" s="10" t="s">
        <v>3534</v>
      </c>
      <c r="G18" s="2">
        <v>11</v>
      </c>
      <c r="H18" s="6">
        <v>52</v>
      </c>
      <c r="I18" s="6">
        <v>95</v>
      </c>
      <c r="J18" s="6">
        <v>80</v>
      </c>
      <c r="K18" s="6">
        <v>68</v>
      </c>
      <c r="L18" s="6">
        <v>28</v>
      </c>
      <c r="M18" s="6">
        <v>80</v>
      </c>
      <c r="N18" s="6">
        <v>48</v>
      </c>
      <c r="O18" s="6">
        <v>36</v>
      </c>
      <c r="P18" s="1">
        <f t="shared" si="1"/>
        <v>487</v>
      </c>
      <c r="Q18" s="14">
        <f t="shared" si="2"/>
        <v>60.875</v>
      </c>
      <c r="R18" s="20">
        <f t="shared" si="0"/>
        <v>12</v>
      </c>
    </row>
    <row r="19" spans="1:18" ht="18" customHeight="1">
      <c r="A19" s="19">
        <v>13</v>
      </c>
      <c r="B19" s="2" t="s">
        <v>3627</v>
      </c>
      <c r="C19" s="1">
        <v>311220689</v>
      </c>
      <c r="D19" s="3" t="s">
        <v>89</v>
      </c>
      <c r="E19" s="1" t="s">
        <v>74</v>
      </c>
      <c r="F19" s="10" t="s">
        <v>3534</v>
      </c>
      <c r="G19" s="2">
        <v>11</v>
      </c>
      <c r="H19" s="6">
        <v>36</v>
      </c>
      <c r="I19" s="6">
        <v>100</v>
      </c>
      <c r="J19" s="6">
        <v>72</v>
      </c>
      <c r="K19" s="6">
        <v>76</v>
      </c>
      <c r="L19" s="6">
        <v>52</v>
      </c>
      <c r="M19" s="6">
        <v>32</v>
      </c>
      <c r="N19" s="6">
        <v>52</v>
      </c>
      <c r="O19" s="6">
        <v>48</v>
      </c>
      <c r="P19" s="1">
        <f t="shared" si="1"/>
        <v>468</v>
      </c>
      <c r="Q19" s="14">
        <f t="shared" si="2"/>
        <v>58.5</v>
      </c>
      <c r="R19" s="20">
        <f t="shared" si="0"/>
        <v>13</v>
      </c>
    </row>
    <row r="20" spans="1:18" ht="18" customHeight="1">
      <c r="A20" s="19">
        <v>14</v>
      </c>
      <c r="B20" s="2" t="s">
        <v>3682</v>
      </c>
      <c r="C20" s="1">
        <v>311260447</v>
      </c>
      <c r="D20" s="3" t="s">
        <v>3683</v>
      </c>
      <c r="E20" s="1" t="s">
        <v>90</v>
      </c>
      <c r="F20" s="10" t="s">
        <v>3534</v>
      </c>
      <c r="G20" s="2">
        <v>12</v>
      </c>
      <c r="H20" s="6">
        <v>48</v>
      </c>
      <c r="I20" s="6">
        <v>89</v>
      </c>
      <c r="J20" s="6">
        <v>72</v>
      </c>
      <c r="K20" s="6">
        <v>68</v>
      </c>
      <c r="L20" s="6">
        <v>28</v>
      </c>
      <c r="M20" s="6">
        <v>76</v>
      </c>
      <c r="N20" s="6">
        <v>24</v>
      </c>
      <c r="O20" s="6">
        <v>60</v>
      </c>
      <c r="P20" s="1">
        <f t="shared" si="1"/>
        <v>465</v>
      </c>
      <c r="Q20" s="14">
        <f t="shared" si="2"/>
        <v>58.125</v>
      </c>
      <c r="R20" s="20">
        <f t="shared" si="0"/>
        <v>14</v>
      </c>
    </row>
    <row r="21" spans="1:18" ht="18" customHeight="1">
      <c r="A21" s="19">
        <v>15</v>
      </c>
      <c r="B21" s="2" t="s">
        <v>3661</v>
      </c>
      <c r="C21" s="1" t="s">
        <v>3662</v>
      </c>
      <c r="D21" s="3" t="s">
        <v>3663</v>
      </c>
      <c r="E21" s="1" t="s">
        <v>82</v>
      </c>
      <c r="F21" s="10" t="s">
        <v>3534</v>
      </c>
      <c r="G21" s="2">
        <v>12</v>
      </c>
      <c r="H21" s="6">
        <v>56</v>
      </c>
      <c r="I21" s="6">
        <v>100</v>
      </c>
      <c r="J21" s="6">
        <v>64</v>
      </c>
      <c r="K21" s="6">
        <v>80</v>
      </c>
      <c r="L21" s="6">
        <v>32</v>
      </c>
      <c r="M21" s="6">
        <v>56</v>
      </c>
      <c r="N21" s="6">
        <v>24</v>
      </c>
      <c r="O21" s="6">
        <v>48</v>
      </c>
      <c r="P21" s="1">
        <f t="shared" si="1"/>
        <v>460</v>
      </c>
      <c r="Q21" s="14">
        <f t="shared" si="2"/>
        <v>57.5</v>
      </c>
      <c r="R21" s="20">
        <f t="shared" si="0"/>
        <v>15</v>
      </c>
    </row>
    <row r="22" spans="1:18" ht="18" customHeight="1">
      <c r="A22" s="19">
        <v>16</v>
      </c>
      <c r="B22" s="2" t="s">
        <v>3686</v>
      </c>
      <c r="C22" s="1">
        <v>311261002</v>
      </c>
      <c r="D22" s="3" t="s">
        <v>3687</v>
      </c>
      <c r="E22" s="1" t="s">
        <v>69</v>
      </c>
      <c r="F22" s="10" t="s">
        <v>3534</v>
      </c>
      <c r="G22" s="2">
        <v>12</v>
      </c>
      <c r="H22" s="6">
        <v>52</v>
      </c>
      <c r="I22" s="6">
        <v>100</v>
      </c>
      <c r="J22" s="6">
        <v>76</v>
      </c>
      <c r="K22" s="6">
        <v>16</v>
      </c>
      <c r="L22" s="6">
        <v>36</v>
      </c>
      <c r="M22" s="6">
        <v>67</v>
      </c>
      <c r="N22" s="6">
        <v>72</v>
      </c>
      <c r="O22" s="6">
        <v>40</v>
      </c>
      <c r="P22" s="1">
        <f t="shared" si="1"/>
        <v>459</v>
      </c>
      <c r="Q22" s="14">
        <f t="shared" si="2"/>
        <v>57.375</v>
      </c>
      <c r="R22" s="20">
        <f t="shared" si="0"/>
        <v>16</v>
      </c>
    </row>
    <row r="23" spans="1:18" ht="18" customHeight="1">
      <c r="A23" s="19">
        <v>17</v>
      </c>
      <c r="B23" s="2" t="s">
        <v>3542</v>
      </c>
      <c r="C23" s="1" t="s">
        <v>3543</v>
      </c>
      <c r="D23" s="3" t="s">
        <v>3544</v>
      </c>
      <c r="E23" s="1" t="s">
        <v>69</v>
      </c>
      <c r="F23" s="10" t="s">
        <v>3534</v>
      </c>
      <c r="G23" s="2" t="s">
        <v>2729</v>
      </c>
      <c r="H23" s="6">
        <v>40</v>
      </c>
      <c r="I23" s="6">
        <v>92</v>
      </c>
      <c r="J23" s="6">
        <v>68</v>
      </c>
      <c r="K23" s="6">
        <v>64</v>
      </c>
      <c r="L23" s="6">
        <v>32</v>
      </c>
      <c r="M23" s="6">
        <v>48</v>
      </c>
      <c r="N23" s="6">
        <v>60</v>
      </c>
      <c r="O23" s="6">
        <v>52</v>
      </c>
      <c r="P23" s="1">
        <f t="shared" si="1"/>
        <v>456</v>
      </c>
      <c r="Q23" s="14">
        <f t="shared" si="2"/>
        <v>57</v>
      </c>
      <c r="R23" s="20">
        <f t="shared" si="0"/>
        <v>17</v>
      </c>
    </row>
    <row r="24" spans="1:18" ht="18" customHeight="1">
      <c r="A24" s="19">
        <v>18</v>
      </c>
      <c r="B24" s="2" t="s">
        <v>3616</v>
      </c>
      <c r="C24" s="1" t="s">
        <v>3617</v>
      </c>
      <c r="D24" s="3" t="s">
        <v>3618</v>
      </c>
      <c r="E24" s="1" t="s">
        <v>84</v>
      </c>
      <c r="F24" s="10" t="s">
        <v>3534</v>
      </c>
      <c r="G24" s="2">
        <v>11</v>
      </c>
      <c r="H24" s="6">
        <v>36</v>
      </c>
      <c r="I24" s="6">
        <v>100</v>
      </c>
      <c r="J24" s="6">
        <v>68</v>
      </c>
      <c r="K24" s="6">
        <v>76</v>
      </c>
      <c r="L24" s="6">
        <v>28</v>
      </c>
      <c r="M24" s="6">
        <v>52</v>
      </c>
      <c r="N24" s="6">
        <v>72</v>
      </c>
      <c r="O24" s="6">
        <v>16</v>
      </c>
      <c r="P24" s="1">
        <f t="shared" si="1"/>
        <v>448</v>
      </c>
      <c r="Q24" s="14">
        <f t="shared" si="2"/>
        <v>56</v>
      </c>
      <c r="R24" s="20">
        <f t="shared" si="0"/>
        <v>18</v>
      </c>
    </row>
    <row r="25" spans="1:18" ht="18" customHeight="1">
      <c r="A25" s="19">
        <v>19</v>
      </c>
      <c r="B25" s="2" t="s">
        <v>3615</v>
      </c>
      <c r="C25" s="1">
        <v>311220721</v>
      </c>
      <c r="D25" s="3" t="s">
        <v>2276</v>
      </c>
      <c r="E25" s="1" t="s">
        <v>84</v>
      </c>
      <c r="F25" s="10" t="s">
        <v>3534</v>
      </c>
      <c r="G25" s="2">
        <v>10</v>
      </c>
      <c r="H25" s="6">
        <v>52</v>
      </c>
      <c r="I25" s="6">
        <v>89</v>
      </c>
      <c r="J25" s="6">
        <v>72</v>
      </c>
      <c r="K25" s="6">
        <v>32</v>
      </c>
      <c r="L25" s="6">
        <v>50</v>
      </c>
      <c r="M25" s="6">
        <v>48</v>
      </c>
      <c r="N25" s="6">
        <v>72</v>
      </c>
      <c r="O25" s="6">
        <v>28</v>
      </c>
      <c r="P25" s="1">
        <f t="shared" si="1"/>
        <v>443</v>
      </c>
      <c r="Q25" s="14">
        <f t="shared" si="2"/>
        <v>55.375</v>
      </c>
      <c r="R25" s="20">
        <f t="shared" si="0"/>
        <v>19</v>
      </c>
    </row>
    <row r="26" spans="1:18" ht="18" customHeight="1">
      <c r="A26" s="19">
        <v>20</v>
      </c>
      <c r="B26" s="2" t="s">
        <v>3647</v>
      </c>
      <c r="C26" s="1" t="s">
        <v>3648</v>
      </c>
      <c r="D26" s="3" t="s">
        <v>3649</v>
      </c>
      <c r="E26" s="1" t="s">
        <v>65</v>
      </c>
      <c r="F26" s="10" t="s">
        <v>3534</v>
      </c>
      <c r="G26" s="2">
        <v>11</v>
      </c>
      <c r="H26" s="6">
        <v>40</v>
      </c>
      <c r="I26" s="6">
        <v>100</v>
      </c>
      <c r="J26" s="6">
        <v>80</v>
      </c>
      <c r="K26" s="6">
        <v>52</v>
      </c>
      <c r="L26" s="6">
        <v>16</v>
      </c>
      <c r="M26" s="6">
        <v>36</v>
      </c>
      <c r="N26" s="6">
        <v>86</v>
      </c>
      <c r="O26" s="6">
        <v>28</v>
      </c>
      <c r="P26" s="1">
        <f t="shared" si="1"/>
        <v>438</v>
      </c>
      <c r="Q26" s="14">
        <f t="shared" si="2"/>
        <v>54.75</v>
      </c>
      <c r="R26" s="20">
        <f t="shared" si="0"/>
        <v>20</v>
      </c>
    </row>
    <row r="27" spans="1:18" ht="18" customHeight="1">
      <c r="A27" s="19">
        <v>21</v>
      </c>
      <c r="B27" s="2" t="s">
        <v>3545</v>
      </c>
      <c r="C27" s="1" t="s">
        <v>3546</v>
      </c>
      <c r="D27" s="3" t="s">
        <v>3547</v>
      </c>
      <c r="E27" s="1" t="s">
        <v>69</v>
      </c>
      <c r="F27" s="10" t="s">
        <v>3534</v>
      </c>
      <c r="G27" s="2" t="s">
        <v>2729</v>
      </c>
      <c r="H27" s="6">
        <v>40</v>
      </c>
      <c r="I27" s="6">
        <v>89</v>
      </c>
      <c r="J27" s="6">
        <v>72</v>
      </c>
      <c r="K27" s="6">
        <v>72</v>
      </c>
      <c r="L27" s="6">
        <v>20</v>
      </c>
      <c r="M27" s="6">
        <v>56</v>
      </c>
      <c r="N27" s="6">
        <v>56</v>
      </c>
      <c r="O27" s="6">
        <v>28</v>
      </c>
      <c r="P27" s="1">
        <f t="shared" si="1"/>
        <v>433</v>
      </c>
      <c r="Q27" s="14">
        <f t="shared" si="2"/>
        <v>54.125</v>
      </c>
      <c r="R27" s="20">
        <f t="shared" si="0"/>
        <v>21</v>
      </c>
    </row>
    <row r="28" spans="1:18" ht="18" customHeight="1">
      <c r="A28" s="19">
        <v>22</v>
      </c>
      <c r="B28" s="2" t="s">
        <v>3612</v>
      </c>
      <c r="C28" s="1" t="s">
        <v>3613</v>
      </c>
      <c r="D28" s="3" t="s">
        <v>3614</v>
      </c>
      <c r="E28" s="1" t="s">
        <v>84</v>
      </c>
      <c r="F28" s="10" t="s">
        <v>3534</v>
      </c>
      <c r="G28" s="2">
        <v>10</v>
      </c>
      <c r="H28" s="6">
        <v>36</v>
      </c>
      <c r="I28" s="6">
        <v>100</v>
      </c>
      <c r="J28" s="6">
        <v>72</v>
      </c>
      <c r="K28" s="6">
        <v>48</v>
      </c>
      <c r="L28" s="6">
        <v>12</v>
      </c>
      <c r="M28" s="6">
        <v>64</v>
      </c>
      <c r="N28" s="6">
        <v>56</v>
      </c>
      <c r="O28" s="6">
        <v>44</v>
      </c>
      <c r="P28" s="1">
        <f t="shared" si="1"/>
        <v>432</v>
      </c>
      <c r="Q28" s="14">
        <f t="shared" si="2"/>
        <v>54</v>
      </c>
      <c r="R28" s="20">
        <f t="shared" si="0"/>
        <v>22</v>
      </c>
    </row>
    <row r="29" spans="1:18" ht="18" customHeight="1">
      <c r="A29" s="19">
        <v>23</v>
      </c>
      <c r="B29" s="2" t="s">
        <v>3684</v>
      </c>
      <c r="C29" s="1">
        <v>311260448</v>
      </c>
      <c r="D29" s="3" t="s">
        <v>3685</v>
      </c>
      <c r="E29" s="1" t="s">
        <v>88</v>
      </c>
      <c r="F29" s="10" t="s">
        <v>3534</v>
      </c>
      <c r="G29" s="2">
        <v>12</v>
      </c>
      <c r="H29" s="6">
        <v>52</v>
      </c>
      <c r="I29" s="6">
        <v>79</v>
      </c>
      <c r="J29" s="6">
        <v>24</v>
      </c>
      <c r="K29" s="6">
        <v>64</v>
      </c>
      <c r="L29" s="6">
        <v>40</v>
      </c>
      <c r="M29" s="6">
        <v>64</v>
      </c>
      <c r="N29" s="6">
        <v>52</v>
      </c>
      <c r="O29" s="6">
        <v>48</v>
      </c>
      <c r="P29" s="1">
        <f t="shared" si="1"/>
        <v>423</v>
      </c>
      <c r="Q29" s="14">
        <f t="shared" si="2"/>
        <v>52.875</v>
      </c>
      <c r="R29" s="20">
        <f t="shared" si="0"/>
        <v>23</v>
      </c>
    </row>
    <row r="30" spans="1:18" ht="18" customHeight="1">
      <c r="A30" s="19">
        <v>24</v>
      </c>
      <c r="B30" s="2" t="s">
        <v>3556</v>
      </c>
      <c r="C30" s="1">
        <v>311220549</v>
      </c>
      <c r="D30" s="3" t="s">
        <v>3557</v>
      </c>
      <c r="E30" s="1" t="s">
        <v>70</v>
      </c>
      <c r="F30" s="10" t="s">
        <v>3534</v>
      </c>
      <c r="G30" s="2" t="s">
        <v>2729</v>
      </c>
      <c r="H30" s="6">
        <v>44</v>
      </c>
      <c r="I30" s="6">
        <v>100</v>
      </c>
      <c r="J30" s="6">
        <v>72</v>
      </c>
      <c r="K30" s="6">
        <v>56</v>
      </c>
      <c r="L30" s="6">
        <v>16</v>
      </c>
      <c r="M30" s="6">
        <v>36</v>
      </c>
      <c r="N30" s="6">
        <v>44</v>
      </c>
      <c r="O30" s="6">
        <v>52</v>
      </c>
      <c r="P30" s="1">
        <f t="shared" si="1"/>
        <v>420</v>
      </c>
      <c r="Q30" s="14">
        <f t="shared" si="2"/>
        <v>52.5</v>
      </c>
      <c r="R30" s="20">
        <f t="shared" si="0"/>
        <v>24</v>
      </c>
    </row>
    <row r="31" spans="1:18" ht="18" customHeight="1">
      <c r="A31" s="19">
        <v>25</v>
      </c>
      <c r="B31" s="2" t="s">
        <v>3589</v>
      </c>
      <c r="C31" s="1" t="s">
        <v>3590</v>
      </c>
      <c r="D31" s="3" t="s">
        <v>3591</v>
      </c>
      <c r="E31" s="1" t="s">
        <v>59</v>
      </c>
      <c r="F31" s="10" t="s">
        <v>3534</v>
      </c>
      <c r="G31" s="2">
        <v>10</v>
      </c>
      <c r="H31" s="6">
        <v>24</v>
      </c>
      <c r="I31" s="6">
        <v>100</v>
      </c>
      <c r="J31" s="6">
        <v>52</v>
      </c>
      <c r="K31" s="6">
        <v>40</v>
      </c>
      <c r="L31" s="6">
        <v>40</v>
      </c>
      <c r="M31" s="6">
        <v>52</v>
      </c>
      <c r="N31" s="6">
        <v>64</v>
      </c>
      <c r="O31" s="6">
        <v>48</v>
      </c>
      <c r="P31" s="1">
        <f t="shared" si="1"/>
        <v>420</v>
      </c>
      <c r="Q31" s="14">
        <f t="shared" si="2"/>
        <v>52.5</v>
      </c>
      <c r="R31" s="20">
        <f t="shared" si="0"/>
        <v>24</v>
      </c>
    </row>
    <row r="32" spans="1:18" ht="18" customHeight="1">
      <c r="A32" s="19">
        <v>26</v>
      </c>
      <c r="B32" s="2" t="s">
        <v>3645</v>
      </c>
      <c r="C32" s="1">
        <v>311220952</v>
      </c>
      <c r="D32" s="3" t="s">
        <v>3646</v>
      </c>
      <c r="E32" s="1" t="s">
        <v>65</v>
      </c>
      <c r="F32" s="10" t="s">
        <v>3534</v>
      </c>
      <c r="G32" s="2">
        <v>11</v>
      </c>
      <c r="H32" s="6">
        <v>32</v>
      </c>
      <c r="I32" s="6">
        <v>95</v>
      </c>
      <c r="J32" s="6">
        <v>80</v>
      </c>
      <c r="K32" s="6">
        <v>52</v>
      </c>
      <c r="L32" s="6">
        <v>24</v>
      </c>
      <c r="M32" s="6">
        <v>48</v>
      </c>
      <c r="N32" s="6">
        <v>70</v>
      </c>
      <c r="O32" s="6">
        <v>16</v>
      </c>
      <c r="P32" s="1">
        <f t="shared" si="1"/>
        <v>417</v>
      </c>
      <c r="Q32" s="14">
        <f t="shared" si="2"/>
        <v>52.125</v>
      </c>
      <c r="R32" s="20">
        <f t="shared" si="0"/>
        <v>26</v>
      </c>
    </row>
    <row r="33" spans="1:18" ht="18" customHeight="1">
      <c r="A33" s="19">
        <v>27</v>
      </c>
      <c r="B33" s="2" t="s">
        <v>3623</v>
      </c>
      <c r="C33" s="1">
        <v>311220949</v>
      </c>
      <c r="D33" s="3" t="s">
        <v>3624</v>
      </c>
      <c r="E33" s="1" t="s">
        <v>63</v>
      </c>
      <c r="F33" s="10" t="s">
        <v>3534</v>
      </c>
      <c r="G33" s="2">
        <v>11</v>
      </c>
      <c r="H33" s="6">
        <v>32</v>
      </c>
      <c r="I33" s="6">
        <v>74</v>
      </c>
      <c r="J33" s="6">
        <v>52</v>
      </c>
      <c r="K33" s="6">
        <v>72</v>
      </c>
      <c r="L33" s="6">
        <v>32</v>
      </c>
      <c r="M33" s="6">
        <v>64</v>
      </c>
      <c r="N33" s="6">
        <v>56</v>
      </c>
      <c r="O33" s="6">
        <v>32</v>
      </c>
      <c r="P33" s="1">
        <f t="shared" si="1"/>
        <v>414</v>
      </c>
      <c r="Q33" s="14">
        <f t="shared" si="2"/>
        <v>51.75</v>
      </c>
      <c r="R33" s="20">
        <f t="shared" si="0"/>
        <v>27</v>
      </c>
    </row>
    <row r="34" spans="1:18" ht="18" customHeight="1">
      <c r="A34" s="19">
        <v>28</v>
      </c>
      <c r="B34" s="2" t="s">
        <v>3634</v>
      </c>
      <c r="C34" s="1">
        <v>311220694</v>
      </c>
      <c r="D34" s="3" t="s">
        <v>3635</v>
      </c>
      <c r="E34" s="1" t="s">
        <v>90</v>
      </c>
      <c r="F34" s="10" t="s">
        <v>3534</v>
      </c>
      <c r="G34" s="2">
        <v>11</v>
      </c>
      <c r="H34" s="6">
        <v>40</v>
      </c>
      <c r="I34" s="6">
        <v>89</v>
      </c>
      <c r="J34" s="6">
        <v>60</v>
      </c>
      <c r="K34" s="6">
        <v>52</v>
      </c>
      <c r="L34" s="6">
        <v>36</v>
      </c>
      <c r="M34" s="6">
        <v>44</v>
      </c>
      <c r="N34" s="6">
        <v>56</v>
      </c>
      <c r="O34" s="6">
        <v>32</v>
      </c>
      <c r="P34" s="1">
        <f t="shared" si="1"/>
        <v>409</v>
      </c>
      <c r="Q34" s="14">
        <f t="shared" si="2"/>
        <v>51.125</v>
      </c>
      <c r="R34" s="20">
        <f t="shared" si="0"/>
        <v>28</v>
      </c>
    </row>
    <row r="35" spans="1:18" ht="18" customHeight="1">
      <c r="A35" s="19">
        <v>29</v>
      </c>
      <c r="B35" s="2" t="s">
        <v>3674</v>
      </c>
      <c r="C35" s="1">
        <v>311220641</v>
      </c>
      <c r="D35" s="3" t="s">
        <v>3675</v>
      </c>
      <c r="E35" s="1" t="s">
        <v>75</v>
      </c>
      <c r="F35" s="10" t="s">
        <v>3534</v>
      </c>
      <c r="G35" s="2">
        <v>12</v>
      </c>
      <c r="H35" s="6">
        <v>36</v>
      </c>
      <c r="I35" s="6">
        <v>63</v>
      </c>
      <c r="J35" s="6">
        <v>92</v>
      </c>
      <c r="K35" s="6">
        <v>44</v>
      </c>
      <c r="L35" s="6">
        <v>12</v>
      </c>
      <c r="M35" s="6">
        <v>56</v>
      </c>
      <c r="N35" s="6">
        <v>56</v>
      </c>
      <c r="O35" s="6">
        <v>48</v>
      </c>
      <c r="P35" s="1">
        <f t="shared" si="1"/>
        <v>407</v>
      </c>
      <c r="Q35" s="14">
        <f t="shared" si="2"/>
        <v>50.875</v>
      </c>
      <c r="R35" s="20">
        <f t="shared" si="0"/>
        <v>29</v>
      </c>
    </row>
    <row r="36" spans="1:18" ht="18" customHeight="1">
      <c r="A36" s="19">
        <v>30</v>
      </c>
      <c r="B36" s="2" t="s">
        <v>3558</v>
      </c>
      <c r="C36" s="1">
        <v>311220946</v>
      </c>
      <c r="D36" s="3" t="s">
        <v>1464</v>
      </c>
      <c r="E36" s="1" t="s">
        <v>70</v>
      </c>
      <c r="F36" s="10" t="s">
        <v>3534</v>
      </c>
      <c r="G36" s="2" t="s">
        <v>2729</v>
      </c>
      <c r="H36" s="6">
        <v>44</v>
      </c>
      <c r="I36" s="6">
        <v>79</v>
      </c>
      <c r="J36" s="6">
        <v>72</v>
      </c>
      <c r="K36" s="6">
        <v>32</v>
      </c>
      <c r="L36" s="6">
        <v>24</v>
      </c>
      <c r="M36" s="6">
        <v>56</v>
      </c>
      <c r="N36" s="6">
        <v>60</v>
      </c>
      <c r="O36" s="6">
        <v>36</v>
      </c>
      <c r="P36" s="1">
        <f t="shared" si="1"/>
        <v>403</v>
      </c>
      <c r="Q36" s="14">
        <f t="shared" si="2"/>
        <v>50.375</v>
      </c>
      <c r="R36" s="20">
        <f t="shared" si="0"/>
        <v>30</v>
      </c>
    </row>
    <row r="37" spans="1:18" ht="18" customHeight="1">
      <c r="A37" s="19">
        <v>31</v>
      </c>
      <c r="B37" s="2" t="s">
        <v>3632</v>
      </c>
      <c r="C37" s="1">
        <v>4232877</v>
      </c>
      <c r="D37" s="3" t="s">
        <v>3633</v>
      </c>
      <c r="E37" s="1" t="s">
        <v>90</v>
      </c>
      <c r="F37" s="10" t="s">
        <v>3534</v>
      </c>
      <c r="G37" s="2">
        <v>11</v>
      </c>
      <c r="H37" s="6">
        <v>52</v>
      </c>
      <c r="I37" s="6">
        <v>79</v>
      </c>
      <c r="J37" s="6">
        <v>88</v>
      </c>
      <c r="K37" s="6">
        <v>36</v>
      </c>
      <c r="L37" s="6">
        <v>32</v>
      </c>
      <c r="M37" s="6">
        <v>36</v>
      </c>
      <c r="N37" s="6">
        <v>44</v>
      </c>
      <c r="O37" s="6">
        <v>36</v>
      </c>
      <c r="P37" s="1">
        <f t="shared" si="1"/>
        <v>403</v>
      </c>
      <c r="Q37" s="14">
        <f t="shared" si="2"/>
        <v>50.375</v>
      </c>
      <c r="R37" s="20">
        <f t="shared" si="0"/>
        <v>30</v>
      </c>
    </row>
    <row r="38" spans="1:18" ht="18" customHeight="1">
      <c r="A38" s="19">
        <v>32</v>
      </c>
      <c r="B38" s="2" t="s">
        <v>3571</v>
      </c>
      <c r="C38" s="1">
        <v>311220628</v>
      </c>
      <c r="D38" s="3" t="s">
        <v>3572</v>
      </c>
      <c r="E38" s="1" t="s">
        <v>71</v>
      </c>
      <c r="F38" s="10" t="s">
        <v>3534</v>
      </c>
      <c r="G38" s="2" t="s">
        <v>2729</v>
      </c>
      <c r="H38" s="6">
        <v>40</v>
      </c>
      <c r="I38" s="6">
        <v>89</v>
      </c>
      <c r="J38" s="6">
        <v>96</v>
      </c>
      <c r="K38" s="6">
        <v>48</v>
      </c>
      <c r="L38" s="6">
        <v>24</v>
      </c>
      <c r="M38" s="6">
        <v>24</v>
      </c>
      <c r="N38" s="6">
        <v>68</v>
      </c>
      <c r="O38" s="6">
        <v>12</v>
      </c>
      <c r="P38" s="1">
        <f t="shared" si="1"/>
        <v>401</v>
      </c>
      <c r="Q38" s="14">
        <f t="shared" si="2"/>
        <v>50.125</v>
      </c>
      <c r="R38" s="20">
        <f t="shared" si="0"/>
        <v>32</v>
      </c>
    </row>
    <row r="39" spans="1:18" ht="18" customHeight="1">
      <c r="A39" s="19">
        <v>33</v>
      </c>
      <c r="B39" s="2" t="s">
        <v>3568</v>
      </c>
      <c r="C39" s="1" t="s">
        <v>3569</v>
      </c>
      <c r="D39" s="3" t="s">
        <v>3570</v>
      </c>
      <c r="E39" s="1" t="s">
        <v>71</v>
      </c>
      <c r="F39" s="10" t="s">
        <v>3534</v>
      </c>
      <c r="G39" s="2" t="s">
        <v>2729</v>
      </c>
      <c r="H39" s="6">
        <v>44</v>
      </c>
      <c r="I39" s="6">
        <v>72</v>
      </c>
      <c r="J39" s="6">
        <v>76</v>
      </c>
      <c r="K39" s="6">
        <v>68</v>
      </c>
      <c r="L39" s="6">
        <v>20</v>
      </c>
      <c r="M39" s="6">
        <v>40</v>
      </c>
      <c r="N39" s="6">
        <v>48</v>
      </c>
      <c r="O39" s="6">
        <v>32</v>
      </c>
      <c r="P39" s="1">
        <f t="shared" ref="P39:P70" si="3">SUBTOTAL(9,H39:O39)</f>
        <v>400</v>
      </c>
      <c r="Q39" s="14">
        <f t="shared" ref="Q39:Q70" si="4">P39/8</f>
        <v>50</v>
      </c>
      <c r="R39" s="20">
        <f t="shared" ref="R39:R70" si="5">RANK(Q39,Q$7:Q$274,0)</f>
        <v>33</v>
      </c>
    </row>
    <row r="40" spans="1:18" ht="18" customHeight="1">
      <c r="A40" s="19">
        <v>34</v>
      </c>
      <c r="B40" s="2" t="s">
        <v>3601</v>
      </c>
      <c r="C40" s="1" t="s">
        <v>3602</v>
      </c>
      <c r="D40" s="3" t="s">
        <v>3603</v>
      </c>
      <c r="E40" s="1" t="s">
        <v>73</v>
      </c>
      <c r="F40" s="10" t="s">
        <v>3534</v>
      </c>
      <c r="G40" s="2">
        <v>10</v>
      </c>
      <c r="H40" s="6">
        <v>28</v>
      </c>
      <c r="I40" s="6">
        <v>79</v>
      </c>
      <c r="J40" s="6">
        <v>92</v>
      </c>
      <c r="K40" s="6">
        <v>28</v>
      </c>
      <c r="L40" s="6">
        <v>12</v>
      </c>
      <c r="M40" s="6">
        <v>60</v>
      </c>
      <c r="N40" s="6">
        <v>56</v>
      </c>
      <c r="O40" s="6">
        <v>40</v>
      </c>
      <c r="P40" s="1">
        <f t="shared" si="3"/>
        <v>395</v>
      </c>
      <c r="Q40" s="14">
        <f t="shared" si="4"/>
        <v>49.375</v>
      </c>
      <c r="R40" s="20">
        <f t="shared" si="5"/>
        <v>34</v>
      </c>
    </row>
    <row r="41" spans="1:18" ht="18" customHeight="1">
      <c r="A41" s="19">
        <v>35</v>
      </c>
      <c r="B41" s="2" t="s">
        <v>3550</v>
      </c>
      <c r="C41" s="1">
        <v>311220785</v>
      </c>
      <c r="D41" s="3" t="s">
        <v>3551</v>
      </c>
      <c r="E41" s="1" t="s">
        <v>79</v>
      </c>
      <c r="F41" s="10" t="s">
        <v>3534</v>
      </c>
      <c r="G41" s="2" t="s">
        <v>2729</v>
      </c>
      <c r="H41" s="6">
        <v>40</v>
      </c>
      <c r="I41" s="6">
        <v>100</v>
      </c>
      <c r="J41" s="6">
        <v>72</v>
      </c>
      <c r="K41" s="6">
        <v>72</v>
      </c>
      <c r="L41" s="6">
        <v>16</v>
      </c>
      <c r="M41" s="6">
        <v>56</v>
      </c>
      <c r="N41" s="6">
        <v>24</v>
      </c>
      <c r="O41" s="6">
        <v>12</v>
      </c>
      <c r="P41" s="1">
        <f t="shared" si="3"/>
        <v>392</v>
      </c>
      <c r="Q41" s="14">
        <f t="shared" si="4"/>
        <v>49</v>
      </c>
      <c r="R41" s="20">
        <f t="shared" si="5"/>
        <v>35</v>
      </c>
    </row>
    <row r="42" spans="1:18" ht="18" customHeight="1">
      <c r="A42" s="19">
        <v>36</v>
      </c>
      <c r="B42" s="2" t="s">
        <v>3575</v>
      </c>
      <c r="C42" s="1" t="s">
        <v>3576</v>
      </c>
      <c r="D42" s="3" t="s">
        <v>3577</v>
      </c>
      <c r="E42" s="1" t="s">
        <v>71</v>
      </c>
      <c r="F42" s="10" t="s">
        <v>3534</v>
      </c>
      <c r="G42" s="2">
        <v>10</v>
      </c>
      <c r="H42" s="6">
        <v>16</v>
      </c>
      <c r="I42" s="6">
        <v>100</v>
      </c>
      <c r="J42" s="6">
        <v>92</v>
      </c>
      <c r="K42" s="6">
        <v>52</v>
      </c>
      <c r="L42" s="6">
        <v>28</v>
      </c>
      <c r="M42" s="6">
        <v>36</v>
      </c>
      <c r="N42" s="6">
        <v>52</v>
      </c>
      <c r="O42" s="6">
        <v>16</v>
      </c>
      <c r="P42" s="1">
        <f t="shared" si="3"/>
        <v>392</v>
      </c>
      <c r="Q42" s="14">
        <f t="shared" si="4"/>
        <v>49</v>
      </c>
      <c r="R42" s="20">
        <f t="shared" si="5"/>
        <v>35</v>
      </c>
    </row>
    <row r="43" spans="1:18" ht="18" customHeight="1">
      <c r="A43" s="19">
        <v>37</v>
      </c>
      <c r="B43" s="2" t="s">
        <v>3619</v>
      </c>
      <c r="C43" s="1">
        <v>311241100</v>
      </c>
      <c r="D43" s="3" t="s">
        <v>3620</v>
      </c>
      <c r="E43" s="1" t="s">
        <v>63</v>
      </c>
      <c r="F43" s="10" t="s">
        <v>3534</v>
      </c>
      <c r="G43" s="2">
        <v>11</v>
      </c>
      <c r="H43" s="6">
        <v>52</v>
      </c>
      <c r="I43" s="6">
        <v>100</v>
      </c>
      <c r="J43" s="6">
        <v>60</v>
      </c>
      <c r="K43" s="6">
        <v>24</v>
      </c>
      <c r="L43" s="6">
        <v>24</v>
      </c>
      <c r="M43" s="6">
        <v>28</v>
      </c>
      <c r="N43" s="6">
        <v>60</v>
      </c>
      <c r="O43" s="6">
        <v>44</v>
      </c>
      <c r="P43" s="1">
        <f t="shared" si="3"/>
        <v>392</v>
      </c>
      <c r="Q43" s="14">
        <f t="shared" si="4"/>
        <v>49</v>
      </c>
      <c r="R43" s="20">
        <f t="shared" si="5"/>
        <v>35</v>
      </c>
    </row>
    <row r="44" spans="1:18" ht="18" customHeight="1">
      <c r="A44" s="19">
        <v>38</v>
      </c>
      <c r="B44" s="2" t="s">
        <v>3650</v>
      </c>
      <c r="C44" s="1" t="s">
        <v>3651</v>
      </c>
      <c r="D44" s="3" t="s">
        <v>3652</v>
      </c>
      <c r="E44" s="1" t="s">
        <v>65</v>
      </c>
      <c r="F44" s="10" t="s">
        <v>3534</v>
      </c>
      <c r="G44" s="2">
        <v>11</v>
      </c>
      <c r="H44" s="6">
        <v>44</v>
      </c>
      <c r="I44" s="6">
        <v>100</v>
      </c>
      <c r="J44" s="6">
        <v>84</v>
      </c>
      <c r="K44" s="6">
        <v>52</v>
      </c>
      <c r="L44" s="6">
        <v>12</v>
      </c>
      <c r="M44" s="6">
        <v>24</v>
      </c>
      <c r="N44" s="6">
        <v>52</v>
      </c>
      <c r="O44" s="6">
        <v>20</v>
      </c>
      <c r="P44" s="1">
        <f t="shared" si="3"/>
        <v>388</v>
      </c>
      <c r="Q44" s="14">
        <f t="shared" si="4"/>
        <v>48.5</v>
      </c>
      <c r="R44" s="20">
        <f t="shared" si="5"/>
        <v>38</v>
      </c>
    </row>
    <row r="45" spans="1:18" ht="18" customHeight="1">
      <c r="A45" s="19">
        <v>39</v>
      </c>
      <c r="B45" s="2" t="s">
        <v>3642</v>
      </c>
      <c r="C45" s="1" t="s">
        <v>3643</v>
      </c>
      <c r="D45" s="3" t="s">
        <v>3644</v>
      </c>
      <c r="E45" s="1" t="s">
        <v>2075</v>
      </c>
      <c r="F45" s="10" t="s">
        <v>3534</v>
      </c>
      <c r="G45" s="2">
        <v>11</v>
      </c>
      <c r="H45" s="6">
        <v>44</v>
      </c>
      <c r="I45" s="6">
        <v>74</v>
      </c>
      <c r="J45" s="6">
        <v>80</v>
      </c>
      <c r="K45" s="6">
        <v>44</v>
      </c>
      <c r="L45" s="6">
        <v>24</v>
      </c>
      <c r="M45" s="6">
        <v>40</v>
      </c>
      <c r="N45" s="6">
        <v>56</v>
      </c>
      <c r="O45" s="6">
        <v>20</v>
      </c>
      <c r="P45" s="1">
        <f t="shared" si="3"/>
        <v>382</v>
      </c>
      <c r="Q45" s="14">
        <f t="shared" si="4"/>
        <v>47.75</v>
      </c>
      <c r="R45" s="20">
        <f t="shared" si="5"/>
        <v>39</v>
      </c>
    </row>
    <row r="46" spans="1:18" ht="18" customHeight="1">
      <c r="A46" s="19">
        <v>40</v>
      </c>
      <c r="B46" s="2" t="s">
        <v>3535</v>
      </c>
      <c r="C46" s="1">
        <v>4232884</v>
      </c>
      <c r="D46" s="3" t="s">
        <v>3536</v>
      </c>
      <c r="E46" s="1" t="s">
        <v>63</v>
      </c>
      <c r="F46" s="10" t="s">
        <v>3534</v>
      </c>
      <c r="G46" s="2" t="s">
        <v>2729</v>
      </c>
      <c r="H46" s="6">
        <v>60</v>
      </c>
      <c r="I46" s="6">
        <v>100</v>
      </c>
      <c r="J46" s="6">
        <v>72</v>
      </c>
      <c r="K46" s="6">
        <v>36</v>
      </c>
      <c r="L46" s="6">
        <v>16</v>
      </c>
      <c r="M46" s="6">
        <v>48</v>
      </c>
      <c r="N46" s="6">
        <v>32</v>
      </c>
      <c r="O46" s="6">
        <v>16</v>
      </c>
      <c r="P46" s="1">
        <f t="shared" si="3"/>
        <v>380</v>
      </c>
      <c r="Q46" s="14">
        <f t="shared" si="4"/>
        <v>47.5</v>
      </c>
      <c r="R46" s="20">
        <f t="shared" si="5"/>
        <v>40</v>
      </c>
    </row>
    <row r="47" spans="1:18" ht="18" customHeight="1">
      <c r="A47" s="19">
        <v>41</v>
      </c>
      <c r="B47" s="2" t="s">
        <v>3592</v>
      </c>
      <c r="C47" s="1">
        <v>311220604</v>
      </c>
      <c r="D47" s="3" t="s">
        <v>3593</v>
      </c>
      <c r="E47" s="1" t="s">
        <v>59</v>
      </c>
      <c r="F47" s="10" t="s">
        <v>3534</v>
      </c>
      <c r="G47" s="2">
        <v>10</v>
      </c>
      <c r="H47" s="6">
        <v>44</v>
      </c>
      <c r="I47" s="6">
        <v>95</v>
      </c>
      <c r="J47" s="6">
        <v>76</v>
      </c>
      <c r="K47" s="6">
        <v>32</v>
      </c>
      <c r="L47" s="6">
        <v>24</v>
      </c>
      <c r="M47" s="6">
        <v>40</v>
      </c>
      <c r="N47" s="6">
        <v>52</v>
      </c>
      <c r="O47" s="6">
        <v>4</v>
      </c>
      <c r="P47" s="1">
        <f t="shared" si="3"/>
        <v>367</v>
      </c>
      <c r="Q47" s="14">
        <f t="shared" si="4"/>
        <v>45.875</v>
      </c>
      <c r="R47" s="20">
        <f t="shared" si="5"/>
        <v>41</v>
      </c>
    </row>
    <row r="48" spans="1:18" ht="18" customHeight="1">
      <c r="A48" s="19">
        <v>42</v>
      </c>
      <c r="B48" s="2" t="s">
        <v>3586</v>
      </c>
      <c r="C48" s="1" t="s">
        <v>3587</v>
      </c>
      <c r="D48" s="3" t="s">
        <v>3588</v>
      </c>
      <c r="E48" s="1" t="s">
        <v>59</v>
      </c>
      <c r="F48" s="10" t="s">
        <v>3534</v>
      </c>
      <c r="G48" s="2">
        <v>10</v>
      </c>
      <c r="H48" s="6">
        <v>40</v>
      </c>
      <c r="I48" s="6">
        <v>100</v>
      </c>
      <c r="J48" s="6">
        <v>68</v>
      </c>
      <c r="K48" s="6">
        <v>32</v>
      </c>
      <c r="L48" s="6">
        <v>16</v>
      </c>
      <c r="M48" s="6">
        <v>28</v>
      </c>
      <c r="N48" s="6">
        <v>52</v>
      </c>
      <c r="O48" s="6">
        <v>24</v>
      </c>
      <c r="P48" s="1">
        <f t="shared" si="3"/>
        <v>360</v>
      </c>
      <c r="Q48" s="14">
        <f t="shared" si="4"/>
        <v>45</v>
      </c>
      <c r="R48" s="20">
        <f t="shared" si="5"/>
        <v>42</v>
      </c>
    </row>
    <row r="49" spans="1:18" ht="18" customHeight="1">
      <c r="A49" s="19">
        <v>43</v>
      </c>
      <c r="B49" s="2" t="s">
        <v>3596</v>
      </c>
      <c r="C49" s="1">
        <v>311220732</v>
      </c>
      <c r="D49" s="3" t="s">
        <v>3597</v>
      </c>
      <c r="E49" s="1" t="s">
        <v>80</v>
      </c>
      <c r="F49" s="10" t="s">
        <v>3534</v>
      </c>
      <c r="G49" s="2">
        <v>10</v>
      </c>
      <c r="H49" s="6">
        <v>36</v>
      </c>
      <c r="I49" s="6">
        <v>100</v>
      </c>
      <c r="J49" s="6">
        <v>52</v>
      </c>
      <c r="K49" s="6">
        <v>12</v>
      </c>
      <c r="L49" s="6">
        <v>16</v>
      </c>
      <c r="M49" s="6">
        <v>60</v>
      </c>
      <c r="N49" s="6">
        <v>60</v>
      </c>
      <c r="O49" s="6">
        <v>24</v>
      </c>
      <c r="P49" s="1">
        <f t="shared" si="3"/>
        <v>360</v>
      </c>
      <c r="Q49" s="14">
        <f t="shared" si="4"/>
        <v>45</v>
      </c>
      <c r="R49" s="20">
        <f t="shared" si="5"/>
        <v>42</v>
      </c>
    </row>
    <row r="50" spans="1:18" ht="18" customHeight="1">
      <c r="A50" s="19">
        <v>44</v>
      </c>
      <c r="B50" s="2" t="s">
        <v>3562</v>
      </c>
      <c r="C50" s="1">
        <v>311220544</v>
      </c>
      <c r="D50" s="3" t="s">
        <v>3563</v>
      </c>
      <c r="E50" s="1" t="s">
        <v>56</v>
      </c>
      <c r="F50" s="10" t="s">
        <v>3534</v>
      </c>
      <c r="G50" s="2" t="s">
        <v>2729</v>
      </c>
      <c r="H50" s="6">
        <v>56</v>
      </c>
      <c r="I50" s="6">
        <v>84</v>
      </c>
      <c r="J50" s="6">
        <v>76</v>
      </c>
      <c r="K50" s="6">
        <v>24</v>
      </c>
      <c r="L50" s="6">
        <v>20</v>
      </c>
      <c r="M50" s="6">
        <v>28</v>
      </c>
      <c r="N50" s="6">
        <v>52</v>
      </c>
      <c r="O50" s="6">
        <v>12</v>
      </c>
      <c r="P50" s="1">
        <f t="shared" si="3"/>
        <v>352</v>
      </c>
      <c r="Q50" s="14">
        <f t="shared" si="4"/>
        <v>44</v>
      </c>
      <c r="R50" s="20">
        <f t="shared" si="5"/>
        <v>44</v>
      </c>
    </row>
    <row r="51" spans="1:18" ht="18" customHeight="1">
      <c r="A51" s="19">
        <v>45</v>
      </c>
      <c r="B51" s="2" t="s">
        <v>3559</v>
      </c>
      <c r="C51" s="1" t="s">
        <v>3560</v>
      </c>
      <c r="D51" s="3" t="s">
        <v>3561</v>
      </c>
      <c r="E51" s="1" t="s">
        <v>70</v>
      </c>
      <c r="F51" s="10" t="s">
        <v>3534</v>
      </c>
      <c r="G51" s="2" t="s">
        <v>2729</v>
      </c>
      <c r="H51" s="6">
        <v>48</v>
      </c>
      <c r="I51" s="6">
        <v>36</v>
      </c>
      <c r="J51" s="6">
        <v>92</v>
      </c>
      <c r="K51" s="6">
        <v>56</v>
      </c>
      <c r="L51" s="6">
        <v>16</v>
      </c>
      <c r="M51" s="6">
        <v>32</v>
      </c>
      <c r="N51" s="6">
        <v>28</v>
      </c>
      <c r="O51" s="6">
        <v>40</v>
      </c>
      <c r="P51" s="1">
        <f t="shared" si="3"/>
        <v>348</v>
      </c>
      <c r="Q51" s="14">
        <f t="shared" si="4"/>
        <v>43.5</v>
      </c>
      <c r="R51" s="20">
        <f t="shared" si="5"/>
        <v>45</v>
      </c>
    </row>
    <row r="52" spans="1:18" ht="18" customHeight="1">
      <c r="A52" s="19">
        <v>46</v>
      </c>
      <c r="B52" s="2" t="s">
        <v>3564</v>
      </c>
      <c r="C52" s="1">
        <v>311220940</v>
      </c>
      <c r="D52" s="3" t="s">
        <v>3565</v>
      </c>
      <c r="E52" s="1" t="s">
        <v>56</v>
      </c>
      <c r="F52" s="10" t="s">
        <v>3534</v>
      </c>
      <c r="G52" s="2" t="s">
        <v>2729</v>
      </c>
      <c r="H52" s="6">
        <v>52</v>
      </c>
      <c r="I52" s="6">
        <v>100</v>
      </c>
      <c r="J52" s="6">
        <v>72</v>
      </c>
      <c r="K52" s="6">
        <v>28</v>
      </c>
      <c r="L52" s="6">
        <v>12</v>
      </c>
      <c r="M52" s="6">
        <v>28</v>
      </c>
      <c r="N52" s="6">
        <v>40</v>
      </c>
      <c r="O52" s="6">
        <v>16</v>
      </c>
      <c r="P52" s="1">
        <f t="shared" si="3"/>
        <v>348</v>
      </c>
      <c r="Q52" s="14">
        <f t="shared" si="4"/>
        <v>43.5</v>
      </c>
      <c r="R52" s="20">
        <f t="shared" si="5"/>
        <v>45</v>
      </c>
    </row>
    <row r="53" spans="1:18" ht="18" customHeight="1">
      <c r="A53" s="19">
        <v>47</v>
      </c>
      <c r="B53" s="2" t="s">
        <v>3658</v>
      </c>
      <c r="C53" s="1" t="s">
        <v>3659</v>
      </c>
      <c r="D53" s="3" t="s">
        <v>3660</v>
      </c>
      <c r="E53" s="1" t="s">
        <v>82</v>
      </c>
      <c r="F53" s="10" t="s">
        <v>3534</v>
      </c>
      <c r="G53" s="2">
        <v>12</v>
      </c>
      <c r="H53" s="6">
        <v>44</v>
      </c>
      <c r="I53" s="6">
        <v>89</v>
      </c>
      <c r="J53" s="6">
        <v>64</v>
      </c>
      <c r="K53" s="6">
        <v>12</v>
      </c>
      <c r="L53" s="6">
        <v>24</v>
      </c>
      <c r="M53" s="6">
        <v>28</v>
      </c>
      <c r="N53" s="6">
        <v>48</v>
      </c>
      <c r="O53" s="6">
        <v>28</v>
      </c>
      <c r="P53" s="1">
        <f t="shared" si="3"/>
        <v>337</v>
      </c>
      <c r="Q53" s="14">
        <f t="shared" si="4"/>
        <v>42.125</v>
      </c>
      <c r="R53" s="20">
        <f t="shared" si="5"/>
        <v>47</v>
      </c>
    </row>
    <row r="54" spans="1:18" ht="18" customHeight="1">
      <c r="A54" s="19">
        <v>48</v>
      </c>
      <c r="B54" s="2" t="s">
        <v>3664</v>
      </c>
      <c r="C54" s="1" t="s">
        <v>3665</v>
      </c>
      <c r="D54" s="3" t="s">
        <v>3666</v>
      </c>
      <c r="E54" s="1" t="s">
        <v>82</v>
      </c>
      <c r="F54" s="10" t="s">
        <v>3534</v>
      </c>
      <c r="G54" s="2">
        <v>12</v>
      </c>
      <c r="H54" s="6">
        <v>32</v>
      </c>
      <c r="I54" s="6">
        <v>68</v>
      </c>
      <c r="J54" s="6">
        <v>76</v>
      </c>
      <c r="K54" s="6">
        <v>40</v>
      </c>
      <c r="L54" s="6">
        <v>4</v>
      </c>
      <c r="M54" s="6">
        <v>52</v>
      </c>
      <c r="N54" s="6">
        <v>32</v>
      </c>
      <c r="O54" s="6">
        <v>32</v>
      </c>
      <c r="P54" s="1">
        <f t="shared" si="3"/>
        <v>336</v>
      </c>
      <c r="Q54" s="14">
        <f t="shared" si="4"/>
        <v>42</v>
      </c>
      <c r="R54" s="20">
        <f t="shared" si="5"/>
        <v>48</v>
      </c>
    </row>
    <row r="55" spans="1:18" ht="18" customHeight="1">
      <c r="A55" s="19">
        <v>49</v>
      </c>
      <c r="B55" s="2" t="s">
        <v>3676</v>
      </c>
      <c r="C55" s="1">
        <v>311240447</v>
      </c>
      <c r="D55" s="3" t="s">
        <v>3677</v>
      </c>
      <c r="E55" s="1" t="s">
        <v>68</v>
      </c>
      <c r="F55" s="10" t="s">
        <v>3534</v>
      </c>
      <c r="G55" s="2">
        <v>12</v>
      </c>
      <c r="H55" s="6">
        <v>48</v>
      </c>
      <c r="I55" s="6">
        <v>89</v>
      </c>
      <c r="J55" s="6">
        <v>56</v>
      </c>
      <c r="K55" s="6">
        <v>20</v>
      </c>
      <c r="L55" s="6">
        <v>32</v>
      </c>
      <c r="M55" s="6">
        <v>36</v>
      </c>
      <c r="N55" s="6">
        <v>32</v>
      </c>
      <c r="O55" s="6">
        <v>20</v>
      </c>
      <c r="P55" s="1">
        <f t="shared" si="3"/>
        <v>333</v>
      </c>
      <c r="Q55" s="14">
        <f t="shared" si="4"/>
        <v>41.625</v>
      </c>
      <c r="R55" s="20">
        <f t="shared" si="5"/>
        <v>49</v>
      </c>
    </row>
    <row r="56" spans="1:18" ht="18" customHeight="1">
      <c r="A56" s="19">
        <v>50</v>
      </c>
      <c r="B56" s="2" t="s">
        <v>3566</v>
      </c>
      <c r="C56" s="1">
        <v>311220623</v>
      </c>
      <c r="D56" s="3" t="s">
        <v>3567</v>
      </c>
      <c r="E56" s="1" t="s">
        <v>56</v>
      </c>
      <c r="F56" s="10" t="s">
        <v>3534</v>
      </c>
      <c r="G56" s="2" t="s">
        <v>2729</v>
      </c>
      <c r="H56" s="6">
        <v>36</v>
      </c>
      <c r="I56" s="6">
        <v>95</v>
      </c>
      <c r="J56" s="6">
        <v>72</v>
      </c>
      <c r="K56" s="6">
        <v>28</v>
      </c>
      <c r="L56" s="6">
        <v>12</v>
      </c>
      <c r="M56" s="6">
        <v>20</v>
      </c>
      <c r="N56" s="6">
        <v>48</v>
      </c>
      <c r="O56" s="6">
        <v>20</v>
      </c>
      <c r="P56" s="1">
        <f t="shared" si="3"/>
        <v>331</v>
      </c>
      <c r="Q56" s="14">
        <f t="shared" si="4"/>
        <v>41.375</v>
      </c>
      <c r="R56" s="20">
        <f t="shared" si="5"/>
        <v>50</v>
      </c>
    </row>
    <row r="57" spans="1:18" ht="18" customHeight="1">
      <c r="A57" s="19">
        <v>51</v>
      </c>
      <c r="B57" s="2" t="s">
        <v>3610</v>
      </c>
      <c r="C57" s="1">
        <v>311220701</v>
      </c>
      <c r="D57" s="3" t="s">
        <v>3611</v>
      </c>
      <c r="E57" s="1" t="s">
        <v>84</v>
      </c>
      <c r="F57" s="10" t="s">
        <v>3534</v>
      </c>
      <c r="G57" s="2">
        <v>10</v>
      </c>
      <c r="H57" s="6">
        <v>32</v>
      </c>
      <c r="I57" s="6">
        <v>68</v>
      </c>
      <c r="J57" s="6">
        <v>44</v>
      </c>
      <c r="K57" s="6">
        <v>28</v>
      </c>
      <c r="L57" s="6">
        <v>24</v>
      </c>
      <c r="M57" s="6">
        <v>60</v>
      </c>
      <c r="N57" s="6">
        <v>40</v>
      </c>
      <c r="O57" s="6">
        <v>32</v>
      </c>
      <c r="P57" s="1">
        <f t="shared" si="3"/>
        <v>328</v>
      </c>
      <c r="Q57" s="14">
        <f t="shared" si="4"/>
        <v>41</v>
      </c>
      <c r="R57" s="20">
        <f t="shared" si="5"/>
        <v>51</v>
      </c>
    </row>
    <row r="58" spans="1:18" ht="18" customHeight="1">
      <c r="A58" s="19">
        <v>52</v>
      </c>
      <c r="B58" s="2" t="s">
        <v>3580</v>
      </c>
      <c r="C58" s="1">
        <v>311220674</v>
      </c>
      <c r="D58" s="3" t="s">
        <v>91</v>
      </c>
      <c r="E58" s="1" t="s">
        <v>72</v>
      </c>
      <c r="F58" s="10" t="s">
        <v>3534</v>
      </c>
      <c r="G58" s="2">
        <v>10</v>
      </c>
      <c r="H58" s="6">
        <v>24</v>
      </c>
      <c r="I58" s="6">
        <v>89</v>
      </c>
      <c r="J58" s="6">
        <v>84</v>
      </c>
      <c r="K58" s="6">
        <v>24</v>
      </c>
      <c r="L58" s="6">
        <v>12</v>
      </c>
      <c r="M58" s="6">
        <v>28</v>
      </c>
      <c r="N58" s="6">
        <v>52</v>
      </c>
      <c r="O58" s="6">
        <v>12</v>
      </c>
      <c r="P58" s="1">
        <f t="shared" si="3"/>
        <v>325</v>
      </c>
      <c r="Q58" s="14">
        <f t="shared" si="4"/>
        <v>40.625</v>
      </c>
      <c r="R58" s="20">
        <f t="shared" si="5"/>
        <v>52</v>
      </c>
    </row>
    <row r="59" spans="1:18" ht="18" customHeight="1">
      <c r="A59" s="19">
        <v>53</v>
      </c>
      <c r="B59" s="2" t="s">
        <v>3628</v>
      </c>
      <c r="C59" s="1">
        <v>311220697</v>
      </c>
      <c r="D59" s="3" t="s">
        <v>3629</v>
      </c>
      <c r="E59" s="1" t="s">
        <v>64</v>
      </c>
      <c r="F59" s="10" t="s">
        <v>3534</v>
      </c>
      <c r="G59" s="2">
        <v>11</v>
      </c>
      <c r="H59" s="6">
        <v>48</v>
      </c>
      <c r="I59" s="6">
        <v>36</v>
      </c>
      <c r="J59" s="6">
        <v>72</v>
      </c>
      <c r="K59" s="6">
        <v>16</v>
      </c>
      <c r="L59" s="6">
        <v>48</v>
      </c>
      <c r="M59" s="6">
        <v>32</v>
      </c>
      <c r="N59" s="6">
        <v>56</v>
      </c>
      <c r="O59" s="6">
        <v>8</v>
      </c>
      <c r="P59" s="1">
        <f t="shared" si="3"/>
        <v>316</v>
      </c>
      <c r="Q59" s="14">
        <f t="shared" si="4"/>
        <v>39.5</v>
      </c>
      <c r="R59" s="20">
        <f t="shared" si="5"/>
        <v>53</v>
      </c>
    </row>
    <row r="60" spans="1:18" ht="18" customHeight="1">
      <c r="A60" s="19">
        <v>54</v>
      </c>
      <c r="B60" s="2" t="s">
        <v>3636</v>
      </c>
      <c r="C60" s="1" t="s">
        <v>3637</v>
      </c>
      <c r="D60" s="3" t="s">
        <v>3638</v>
      </c>
      <c r="E60" s="1" t="s">
        <v>88</v>
      </c>
      <c r="F60" s="10" t="s">
        <v>3534</v>
      </c>
      <c r="G60" s="2">
        <v>11</v>
      </c>
      <c r="H60" s="6">
        <v>36</v>
      </c>
      <c r="I60" s="6">
        <v>63</v>
      </c>
      <c r="J60" s="6">
        <v>56</v>
      </c>
      <c r="K60" s="6">
        <v>44</v>
      </c>
      <c r="L60" s="6">
        <v>12</v>
      </c>
      <c r="M60" s="6">
        <v>36</v>
      </c>
      <c r="N60" s="6">
        <v>36</v>
      </c>
      <c r="O60" s="6">
        <v>24</v>
      </c>
      <c r="P60" s="1">
        <f t="shared" si="3"/>
        <v>307</v>
      </c>
      <c r="Q60" s="14">
        <f t="shared" si="4"/>
        <v>38.375</v>
      </c>
      <c r="R60" s="20">
        <f t="shared" si="5"/>
        <v>54</v>
      </c>
    </row>
    <row r="61" spans="1:18" ht="18" customHeight="1">
      <c r="A61" s="19">
        <v>55</v>
      </c>
      <c r="B61" s="2" t="s">
        <v>3594</v>
      </c>
      <c r="C61" s="1">
        <v>311240436</v>
      </c>
      <c r="D61" s="3" t="s">
        <v>3595</v>
      </c>
      <c r="E61" s="1" t="s">
        <v>60</v>
      </c>
      <c r="F61" s="10" t="s">
        <v>3534</v>
      </c>
      <c r="G61" s="2">
        <v>10</v>
      </c>
      <c r="H61" s="6">
        <v>24</v>
      </c>
      <c r="I61" s="6">
        <v>100</v>
      </c>
      <c r="J61" s="6">
        <v>44</v>
      </c>
      <c r="K61" s="6">
        <v>20</v>
      </c>
      <c r="L61" s="6">
        <v>16</v>
      </c>
      <c r="M61" s="6">
        <v>24</v>
      </c>
      <c r="N61" s="6">
        <v>32</v>
      </c>
      <c r="O61" s="6">
        <v>44</v>
      </c>
      <c r="P61" s="1">
        <f t="shared" si="3"/>
        <v>304</v>
      </c>
      <c r="Q61" s="14">
        <f t="shared" si="4"/>
        <v>38</v>
      </c>
      <c r="R61" s="20">
        <f t="shared" si="5"/>
        <v>55</v>
      </c>
    </row>
    <row r="62" spans="1:18" ht="18" customHeight="1">
      <c r="A62" s="19">
        <v>56</v>
      </c>
      <c r="B62" s="2" t="s">
        <v>3607</v>
      </c>
      <c r="C62" s="1" t="s">
        <v>3608</v>
      </c>
      <c r="D62" s="3" t="s">
        <v>3609</v>
      </c>
      <c r="E62" s="1" t="s">
        <v>90</v>
      </c>
      <c r="F62" s="10" t="s">
        <v>3534</v>
      </c>
      <c r="G62" s="2">
        <v>10</v>
      </c>
      <c r="H62" s="6">
        <v>32</v>
      </c>
      <c r="I62" s="6">
        <v>100</v>
      </c>
      <c r="J62" s="6">
        <v>48</v>
      </c>
      <c r="K62" s="6">
        <v>0</v>
      </c>
      <c r="L62" s="6">
        <v>20</v>
      </c>
      <c r="M62" s="6">
        <v>36</v>
      </c>
      <c r="N62" s="6">
        <v>40</v>
      </c>
      <c r="O62" s="6">
        <v>20</v>
      </c>
      <c r="P62" s="1">
        <f t="shared" si="3"/>
        <v>296</v>
      </c>
      <c r="Q62" s="14">
        <f t="shared" si="4"/>
        <v>37</v>
      </c>
      <c r="R62" s="20">
        <f t="shared" si="5"/>
        <v>56</v>
      </c>
    </row>
    <row r="63" spans="1:18" ht="18" customHeight="1">
      <c r="A63" s="19">
        <v>57</v>
      </c>
      <c r="B63" s="2" t="s">
        <v>3669</v>
      </c>
      <c r="C63" s="1" t="s">
        <v>3670</v>
      </c>
      <c r="D63" s="3" t="s">
        <v>3671</v>
      </c>
      <c r="E63" s="1" t="s">
        <v>66</v>
      </c>
      <c r="F63" s="10" t="s">
        <v>3534</v>
      </c>
      <c r="G63" s="2">
        <v>12</v>
      </c>
      <c r="H63" s="6">
        <v>36</v>
      </c>
      <c r="I63" s="6">
        <v>89</v>
      </c>
      <c r="J63" s="6">
        <v>20</v>
      </c>
      <c r="K63" s="6">
        <v>28</v>
      </c>
      <c r="L63" s="6">
        <v>24</v>
      </c>
      <c r="M63" s="6">
        <v>36</v>
      </c>
      <c r="N63" s="6">
        <v>32</v>
      </c>
      <c r="O63" s="6">
        <v>28</v>
      </c>
      <c r="P63" s="1">
        <f t="shared" si="3"/>
        <v>293</v>
      </c>
      <c r="Q63" s="14">
        <f t="shared" si="4"/>
        <v>36.625</v>
      </c>
      <c r="R63" s="20">
        <f t="shared" si="5"/>
        <v>57</v>
      </c>
    </row>
    <row r="64" spans="1:18" ht="18" customHeight="1">
      <c r="A64" s="19">
        <v>58</v>
      </c>
      <c r="B64" s="2" t="s">
        <v>3678</v>
      </c>
      <c r="C64" s="1">
        <v>311220592</v>
      </c>
      <c r="D64" s="3" t="s">
        <v>3679</v>
      </c>
      <c r="E64" s="1" t="s">
        <v>68</v>
      </c>
      <c r="F64" s="10" t="s">
        <v>3534</v>
      </c>
      <c r="G64" s="2">
        <v>12</v>
      </c>
      <c r="H64" s="6">
        <v>48</v>
      </c>
      <c r="I64" s="6">
        <v>89</v>
      </c>
      <c r="J64" s="6">
        <v>56</v>
      </c>
      <c r="K64" s="6">
        <v>16</v>
      </c>
      <c r="L64" s="6">
        <v>8</v>
      </c>
      <c r="M64" s="6">
        <v>28</v>
      </c>
      <c r="N64" s="6">
        <v>28</v>
      </c>
      <c r="O64" s="6">
        <v>20</v>
      </c>
      <c r="P64" s="1">
        <f t="shared" si="3"/>
        <v>293</v>
      </c>
      <c r="Q64" s="14">
        <f t="shared" si="4"/>
        <v>36.625</v>
      </c>
      <c r="R64" s="20">
        <f t="shared" si="5"/>
        <v>57</v>
      </c>
    </row>
    <row r="65" spans="1:18" ht="18" customHeight="1">
      <c r="A65" s="19">
        <v>59</v>
      </c>
      <c r="B65" s="2" t="s">
        <v>3621</v>
      </c>
      <c r="C65" s="1">
        <v>311220935</v>
      </c>
      <c r="D65" s="3" t="s">
        <v>3622</v>
      </c>
      <c r="E65" s="1" t="s">
        <v>63</v>
      </c>
      <c r="F65" s="10" t="s">
        <v>3534</v>
      </c>
      <c r="G65" s="2">
        <v>11</v>
      </c>
      <c r="H65" s="6">
        <v>40</v>
      </c>
      <c r="I65" s="6">
        <v>74</v>
      </c>
      <c r="J65" s="6">
        <v>12</v>
      </c>
      <c r="K65" s="6">
        <v>24</v>
      </c>
      <c r="L65" s="6">
        <v>16</v>
      </c>
      <c r="M65" s="6">
        <v>28</v>
      </c>
      <c r="N65" s="6">
        <v>28</v>
      </c>
      <c r="O65" s="6">
        <v>28</v>
      </c>
      <c r="P65" s="1">
        <f t="shared" si="3"/>
        <v>250</v>
      </c>
      <c r="Q65" s="14">
        <f t="shared" si="4"/>
        <v>31.25</v>
      </c>
      <c r="R65" s="20">
        <f t="shared" si="5"/>
        <v>59</v>
      </c>
    </row>
    <row r="66" spans="1:18" ht="18" customHeight="1">
      <c r="A66" s="19">
        <v>60</v>
      </c>
      <c r="B66" s="2" t="s">
        <v>3667</v>
      </c>
      <c r="C66" s="1">
        <v>311220874</v>
      </c>
      <c r="D66" s="3" t="s">
        <v>3668</v>
      </c>
      <c r="E66" s="1" t="s">
        <v>66</v>
      </c>
      <c r="F66" s="10" t="s">
        <v>3534</v>
      </c>
      <c r="G66" s="2">
        <v>12</v>
      </c>
      <c r="H66" s="6">
        <v>28</v>
      </c>
      <c r="I66" s="6">
        <v>68</v>
      </c>
      <c r="J66" s="6">
        <v>44</v>
      </c>
      <c r="K66" s="6">
        <v>16</v>
      </c>
      <c r="L66" s="6">
        <v>20</v>
      </c>
      <c r="M66" s="6">
        <v>32</v>
      </c>
      <c r="N66" s="6">
        <v>8</v>
      </c>
      <c r="O66" s="6">
        <v>32</v>
      </c>
      <c r="P66" s="1">
        <f t="shared" si="3"/>
        <v>248</v>
      </c>
      <c r="Q66" s="14">
        <f t="shared" si="4"/>
        <v>31</v>
      </c>
      <c r="R66" s="20">
        <f t="shared" si="5"/>
        <v>60</v>
      </c>
    </row>
    <row r="67" spans="1:18" ht="18" customHeight="1">
      <c r="A67" s="19">
        <v>61</v>
      </c>
      <c r="B67" s="2" t="s">
        <v>3554</v>
      </c>
      <c r="C67" s="1">
        <v>4232847</v>
      </c>
      <c r="D67" s="3" t="s">
        <v>3555</v>
      </c>
      <c r="E67" s="1" t="s">
        <v>70</v>
      </c>
      <c r="F67" s="10" t="s">
        <v>3534</v>
      </c>
      <c r="G67" s="2" t="s">
        <v>2729</v>
      </c>
      <c r="H67" s="6">
        <v>28</v>
      </c>
      <c r="I67" s="6">
        <v>100</v>
      </c>
      <c r="J67" s="6">
        <v>24</v>
      </c>
      <c r="K67" s="6">
        <v>0</v>
      </c>
      <c r="L67" s="6">
        <v>4</v>
      </c>
      <c r="M67" s="6">
        <v>40</v>
      </c>
      <c r="N67" s="6">
        <v>24</v>
      </c>
      <c r="O67" s="6">
        <v>20</v>
      </c>
      <c r="P67" s="1">
        <f t="shared" si="3"/>
        <v>240</v>
      </c>
      <c r="Q67" s="14">
        <f t="shared" si="4"/>
        <v>30</v>
      </c>
      <c r="R67" s="20">
        <f t="shared" si="5"/>
        <v>61</v>
      </c>
    </row>
    <row r="68" spans="1:18" ht="18" customHeight="1">
      <c r="A68" s="19">
        <v>62</v>
      </c>
      <c r="B68" s="2" t="s">
        <v>3548</v>
      </c>
      <c r="C68" s="1">
        <v>4232755</v>
      </c>
      <c r="D68" s="3" t="s">
        <v>3549</v>
      </c>
      <c r="E68" s="1" t="s">
        <v>55</v>
      </c>
      <c r="F68" s="10" t="s">
        <v>3534</v>
      </c>
      <c r="G68" s="2" t="s">
        <v>2729</v>
      </c>
      <c r="H68" s="6">
        <v>36</v>
      </c>
      <c r="I68" s="6">
        <v>63</v>
      </c>
      <c r="J68" s="6">
        <v>44</v>
      </c>
      <c r="K68" s="6">
        <v>8</v>
      </c>
      <c r="L68" s="6">
        <v>4</v>
      </c>
      <c r="M68" s="6">
        <v>32</v>
      </c>
      <c r="N68" s="6">
        <v>40</v>
      </c>
      <c r="O68" s="6">
        <v>12</v>
      </c>
      <c r="P68" s="1">
        <f t="shared" si="3"/>
        <v>239</v>
      </c>
      <c r="Q68" s="14">
        <f t="shared" si="4"/>
        <v>29.875</v>
      </c>
      <c r="R68" s="20">
        <f t="shared" si="5"/>
        <v>62</v>
      </c>
    </row>
    <row r="69" spans="1:18" ht="18" customHeight="1">
      <c r="A69" s="19">
        <v>63</v>
      </c>
      <c r="B69" s="2" t="s">
        <v>3598</v>
      </c>
      <c r="C69" s="1" t="s">
        <v>3599</v>
      </c>
      <c r="D69" s="3" t="s">
        <v>3600</v>
      </c>
      <c r="E69" s="1" t="s">
        <v>81</v>
      </c>
      <c r="F69" s="10" t="s">
        <v>3534</v>
      </c>
      <c r="G69" s="2">
        <v>10</v>
      </c>
      <c r="H69" s="6">
        <v>12</v>
      </c>
      <c r="I69" s="6">
        <v>15</v>
      </c>
      <c r="J69" s="6">
        <v>36</v>
      </c>
      <c r="K69" s="6">
        <v>48</v>
      </c>
      <c r="L69" s="6">
        <v>12</v>
      </c>
      <c r="M69" s="6">
        <v>40</v>
      </c>
      <c r="N69" s="6">
        <v>36</v>
      </c>
      <c r="O69" s="6">
        <v>20</v>
      </c>
      <c r="P69" s="1">
        <f t="shared" si="3"/>
        <v>219</v>
      </c>
      <c r="Q69" s="14">
        <f t="shared" si="4"/>
        <v>27.375</v>
      </c>
      <c r="R69" s="20">
        <f t="shared" si="5"/>
        <v>63</v>
      </c>
    </row>
    <row r="70" spans="1:18" ht="18" customHeight="1">
      <c r="A70" s="19">
        <v>64</v>
      </c>
      <c r="B70" s="2" t="s">
        <v>3584</v>
      </c>
      <c r="C70" s="1">
        <v>4233031</v>
      </c>
      <c r="D70" s="3" t="s">
        <v>3585</v>
      </c>
      <c r="E70" s="1" t="s">
        <v>58</v>
      </c>
      <c r="F70" s="10" t="s">
        <v>3534</v>
      </c>
      <c r="G70" s="2">
        <v>10</v>
      </c>
      <c r="H70" s="6">
        <v>32</v>
      </c>
      <c r="I70" s="6">
        <v>56</v>
      </c>
      <c r="J70" s="6">
        <v>40</v>
      </c>
      <c r="K70" s="6">
        <v>32</v>
      </c>
      <c r="L70" s="6">
        <v>10</v>
      </c>
      <c r="M70" s="6">
        <v>28</v>
      </c>
      <c r="N70" s="6">
        <v>8</v>
      </c>
      <c r="O70" s="6">
        <v>12</v>
      </c>
      <c r="P70" s="1">
        <f t="shared" si="3"/>
        <v>218</v>
      </c>
      <c r="Q70" s="14">
        <f t="shared" si="4"/>
        <v>27.25</v>
      </c>
      <c r="R70" s="20">
        <f t="shared" si="5"/>
        <v>64</v>
      </c>
    </row>
    <row r="71" spans="1:18" ht="18" customHeight="1">
      <c r="A71" s="19">
        <v>65</v>
      </c>
      <c r="B71" s="2" t="s">
        <v>3552</v>
      </c>
      <c r="C71" s="1">
        <v>4232804</v>
      </c>
      <c r="D71" s="3" t="s">
        <v>3553</v>
      </c>
      <c r="E71" s="1" t="s">
        <v>79</v>
      </c>
      <c r="F71" s="10" t="s">
        <v>3534</v>
      </c>
      <c r="G71" s="2" t="s">
        <v>2729</v>
      </c>
      <c r="H71" s="6">
        <v>28</v>
      </c>
      <c r="I71" s="6">
        <v>89</v>
      </c>
      <c r="J71" s="6"/>
      <c r="K71" s="6">
        <v>12</v>
      </c>
      <c r="L71" s="6"/>
      <c r="M71" s="6">
        <v>4</v>
      </c>
      <c r="N71" s="6">
        <v>36</v>
      </c>
      <c r="O71" s="6">
        <v>28</v>
      </c>
      <c r="P71" s="1">
        <f t="shared" ref="P71:P73" si="6">SUBTOTAL(9,H71:O71)</f>
        <v>197</v>
      </c>
      <c r="Q71" s="14">
        <f t="shared" ref="Q71:Q73" si="7">P71/8</f>
        <v>24.625</v>
      </c>
      <c r="R71" s="20">
        <f t="shared" ref="R71:R73" si="8">RANK(Q71,Q$7:Q$274,0)</f>
        <v>65</v>
      </c>
    </row>
    <row r="72" spans="1:18" ht="18" customHeight="1">
      <c r="A72" s="19">
        <v>66</v>
      </c>
      <c r="B72" s="2" t="s">
        <v>3680</v>
      </c>
      <c r="C72" s="1" t="s">
        <v>1870</v>
      </c>
      <c r="D72" s="3" t="s">
        <v>3681</v>
      </c>
      <c r="E72" s="1" t="s">
        <v>85</v>
      </c>
      <c r="F72" s="10" t="s">
        <v>3534</v>
      </c>
      <c r="G72" s="2">
        <v>12</v>
      </c>
      <c r="H72" s="6"/>
      <c r="I72" s="6"/>
      <c r="J72" s="6">
        <v>68</v>
      </c>
      <c r="K72" s="6"/>
      <c r="L72" s="6">
        <v>32</v>
      </c>
      <c r="M72" s="6"/>
      <c r="N72" s="6"/>
      <c r="O72" s="6"/>
      <c r="P72" s="1">
        <f t="shared" si="6"/>
        <v>100</v>
      </c>
      <c r="Q72" s="14">
        <f t="shared" si="7"/>
        <v>12.5</v>
      </c>
      <c r="R72" s="20">
        <f t="shared" si="8"/>
        <v>66</v>
      </c>
    </row>
    <row r="73" spans="1:18" ht="18" customHeight="1">
      <c r="A73" s="19">
        <v>67</v>
      </c>
      <c r="B73" s="28" t="s">
        <v>3578</v>
      </c>
      <c r="C73" s="29">
        <v>311220685</v>
      </c>
      <c r="D73" s="30" t="s">
        <v>3579</v>
      </c>
      <c r="E73" s="29" t="s">
        <v>72</v>
      </c>
      <c r="F73" s="31" t="s">
        <v>3534</v>
      </c>
      <c r="G73" s="28">
        <v>10</v>
      </c>
      <c r="H73" s="46"/>
      <c r="I73" s="46"/>
      <c r="J73" s="46"/>
      <c r="K73" s="46"/>
      <c r="L73" s="46"/>
      <c r="M73" s="46"/>
      <c r="N73" s="46"/>
      <c r="O73" s="46"/>
      <c r="P73" s="29">
        <f t="shared" si="6"/>
        <v>0</v>
      </c>
      <c r="Q73" s="41">
        <f t="shared" si="7"/>
        <v>0</v>
      </c>
      <c r="R73" s="33">
        <f t="shared" si="8"/>
        <v>67</v>
      </c>
    </row>
  </sheetData>
  <mergeCells count="4">
    <mergeCell ref="A1:P1"/>
    <mergeCell ref="A2:P2"/>
    <mergeCell ref="A3:P3"/>
    <mergeCell ref="A5:B5"/>
  </mergeCells>
  <conditionalFormatting sqref="H7:O7">
    <cfRule type="cellIs" dxfId="4186" priority="332" operator="lessThan">
      <formula>50</formula>
    </cfRule>
    <cfRule type="cellIs" dxfId="4185" priority="333" operator="lessThan">
      <formula>5</formula>
    </cfRule>
    <cfRule type="cellIs" dxfId="4184" priority="334" operator="lessThan">
      <formula>5</formula>
    </cfRule>
    <cfRule type="cellIs" dxfId="4183" priority="335" operator="lessThan">
      <formula>5</formula>
    </cfRule>
  </conditionalFormatting>
  <conditionalFormatting sqref="Q7">
    <cfRule type="cellIs" dxfId="4182" priority="331" operator="lessThan">
      <formula>50</formula>
    </cfRule>
  </conditionalFormatting>
  <conditionalFormatting sqref="H8:O8">
    <cfRule type="cellIs" dxfId="4181" priority="327" operator="lessThan">
      <formula>50</formula>
    </cfRule>
    <cfRule type="cellIs" dxfId="4180" priority="328" operator="lessThan">
      <formula>5</formula>
    </cfRule>
    <cfRule type="cellIs" dxfId="4179" priority="329" operator="lessThan">
      <formula>5</formula>
    </cfRule>
    <cfRule type="cellIs" dxfId="4178" priority="330" operator="lessThan">
      <formula>5</formula>
    </cfRule>
  </conditionalFormatting>
  <conditionalFormatting sqref="Q8">
    <cfRule type="cellIs" dxfId="4177" priority="326" operator="lessThan">
      <formula>50</formula>
    </cfRule>
  </conditionalFormatting>
  <conditionalFormatting sqref="H9:O9">
    <cfRule type="cellIs" dxfId="4176" priority="322" operator="lessThan">
      <formula>50</formula>
    </cfRule>
    <cfRule type="cellIs" dxfId="4175" priority="323" operator="lessThan">
      <formula>5</formula>
    </cfRule>
    <cfRule type="cellIs" dxfId="4174" priority="324" operator="lessThan">
      <formula>5</formula>
    </cfRule>
    <cfRule type="cellIs" dxfId="4173" priority="325" operator="lessThan">
      <formula>5</formula>
    </cfRule>
  </conditionalFormatting>
  <conditionalFormatting sqref="Q9">
    <cfRule type="cellIs" dxfId="4172" priority="321" operator="lessThan">
      <formula>50</formula>
    </cfRule>
  </conditionalFormatting>
  <conditionalFormatting sqref="H10:O10">
    <cfRule type="cellIs" dxfId="4171" priority="317" operator="lessThan">
      <formula>50</formula>
    </cfRule>
    <cfRule type="cellIs" dxfId="4170" priority="318" operator="lessThan">
      <formula>5</formula>
    </cfRule>
    <cfRule type="cellIs" dxfId="4169" priority="319" operator="lessThan">
      <formula>5</formula>
    </cfRule>
    <cfRule type="cellIs" dxfId="4168" priority="320" operator="lessThan">
      <formula>5</formula>
    </cfRule>
  </conditionalFormatting>
  <conditionalFormatting sqref="Q10">
    <cfRule type="cellIs" dxfId="4167" priority="316" operator="lessThan">
      <formula>50</formula>
    </cfRule>
  </conditionalFormatting>
  <conditionalFormatting sqref="H11:O11">
    <cfRule type="cellIs" dxfId="4166" priority="312" operator="lessThan">
      <formula>50</formula>
    </cfRule>
    <cfRule type="cellIs" dxfId="4165" priority="313" operator="lessThan">
      <formula>5</formula>
    </cfRule>
    <cfRule type="cellIs" dxfId="4164" priority="314" operator="lessThan">
      <formula>5</formula>
    </cfRule>
    <cfRule type="cellIs" dxfId="4163" priority="315" operator="lessThan">
      <formula>5</formula>
    </cfRule>
  </conditionalFormatting>
  <conditionalFormatting sqref="Q11">
    <cfRule type="cellIs" dxfId="4162" priority="311" operator="lessThan">
      <formula>50</formula>
    </cfRule>
  </conditionalFormatting>
  <conditionalFormatting sqref="H12:O12">
    <cfRule type="cellIs" dxfId="4161" priority="307" operator="lessThan">
      <formula>50</formula>
    </cfRule>
    <cfRule type="cellIs" dxfId="4160" priority="308" operator="lessThan">
      <formula>5</formula>
    </cfRule>
    <cfRule type="cellIs" dxfId="4159" priority="309" operator="lessThan">
      <formula>5</formula>
    </cfRule>
    <cfRule type="cellIs" dxfId="4158" priority="310" operator="lessThan">
      <formula>5</formula>
    </cfRule>
  </conditionalFormatting>
  <conditionalFormatting sqref="Q12">
    <cfRule type="cellIs" dxfId="4157" priority="306" operator="lessThan">
      <formula>50</formula>
    </cfRule>
  </conditionalFormatting>
  <conditionalFormatting sqref="H13:O13">
    <cfRule type="cellIs" dxfId="4156" priority="302" operator="lessThan">
      <formula>50</formula>
    </cfRule>
    <cfRule type="cellIs" dxfId="4155" priority="303" operator="lessThan">
      <formula>5</formula>
    </cfRule>
    <cfRule type="cellIs" dxfId="4154" priority="304" operator="lessThan">
      <formula>5</formula>
    </cfRule>
    <cfRule type="cellIs" dxfId="4153" priority="305" operator="lessThan">
      <formula>5</formula>
    </cfRule>
  </conditionalFormatting>
  <conditionalFormatting sqref="Q13">
    <cfRule type="cellIs" dxfId="4152" priority="301" operator="lessThan">
      <formula>50</formula>
    </cfRule>
  </conditionalFormatting>
  <conditionalFormatting sqref="H14:O14">
    <cfRule type="cellIs" dxfId="4151" priority="297" operator="lessThan">
      <formula>50</formula>
    </cfRule>
    <cfRule type="cellIs" dxfId="4150" priority="298" operator="lessThan">
      <formula>5</formula>
    </cfRule>
    <cfRule type="cellIs" dxfId="4149" priority="299" operator="lessThan">
      <formula>5</formula>
    </cfRule>
    <cfRule type="cellIs" dxfId="4148" priority="300" operator="lessThan">
      <formula>5</formula>
    </cfRule>
  </conditionalFormatting>
  <conditionalFormatting sqref="Q14">
    <cfRule type="cellIs" dxfId="4147" priority="296" operator="lessThan">
      <formula>50</formula>
    </cfRule>
  </conditionalFormatting>
  <conditionalFormatting sqref="H15:O15">
    <cfRule type="cellIs" dxfId="4146" priority="292" operator="lessThan">
      <formula>50</formula>
    </cfRule>
    <cfRule type="cellIs" dxfId="4145" priority="293" operator="lessThan">
      <formula>5</formula>
    </cfRule>
    <cfRule type="cellIs" dxfId="4144" priority="294" operator="lessThan">
      <formula>5</formula>
    </cfRule>
    <cfRule type="cellIs" dxfId="4143" priority="295" operator="lessThan">
      <formula>5</formula>
    </cfRule>
  </conditionalFormatting>
  <conditionalFormatting sqref="Q15">
    <cfRule type="cellIs" dxfId="4142" priority="291" operator="lessThan">
      <formula>50</formula>
    </cfRule>
  </conditionalFormatting>
  <conditionalFormatting sqref="H16:O16">
    <cfRule type="cellIs" dxfId="4141" priority="287" operator="lessThan">
      <formula>50</formula>
    </cfRule>
    <cfRule type="cellIs" dxfId="4140" priority="288" operator="lessThan">
      <formula>5</formula>
    </cfRule>
    <cfRule type="cellIs" dxfId="4139" priority="289" operator="lessThan">
      <formula>5</formula>
    </cfRule>
    <cfRule type="cellIs" dxfId="4138" priority="290" operator="lessThan">
      <formula>5</formula>
    </cfRule>
  </conditionalFormatting>
  <conditionalFormatting sqref="Q16">
    <cfRule type="cellIs" dxfId="4137" priority="286" operator="lessThan">
      <formula>50</formula>
    </cfRule>
  </conditionalFormatting>
  <conditionalFormatting sqref="H17:O17">
    <cfRule type="cellIs" dxfId="4136" priority="282" operator="lessThan">
      <formula>50</formula>
    </cfRule>
    <cfRule type="cellIs" dxfId="4135" priority="283" operator="lessThan">
      <formula>5</formula>
    </cfRule>
    <cfRule type="cellIs" dxfId="4134" priority="284" operator="lessThan">
      <formula>5</formula>
    </cfRule>
    <cfRule type="cellIs" dxfId="4133" priority="285" operator="lessThan">
      <formula>5</formula>
    </cfRule>
  </conditionalFormatting>
  <conditionalFormatting sqref="Q17">
    <cfRule type="cellIs" dxfId="4132" priority="281" operator="lessThan">
      <formula>50</formula>
    </cfRule>
  </conditionalFormatting>
  <conditionalFormatting sqref="H18:O18">
    <cfRule type="cellIs" dxfId="4131" priority="277" operator="lessThan">
      <formula>50</formula>
    </cfRule>
    <cfRule type="cellIs" dxfId="4130" priority="278" operator="lessThan">
      <formula>5</formula>
    </cfRule>
    <cfRule type="cellIs" dxfId="4129" priority="279" operator="lessThan">
      <formula>5</formula>
    </cfRule>
    <cfRule type="cellIs" dxfId="4128" priority="280" operator="lessThan">
      <formula>5</formula>
    </cfRule>
  </conditionalFormatting>
  <conditionalFormatting sqref="Q18">
    <cfRule type="cellIs" dxfId="4127" priority="276" operator="lessThan">
      <formula>50</formula>
    </cfRule>
  </conditionalFormatting>
  <conditionalFormatting sqref="H19:O19">
    <cfRule type="cellIs" dxfId="4126" priority="272" operator="lessThan">
      <formula>50</formula>
    </cfRule>
    <cfRule type="cellIs" dxfId="4125" priority="273" operator="lessThan">
      <formula>5</formula>
    </cfRule>
    <cfRule type="cellIs" dxfId="4124" priority="274" operator="lessThan">
      <formula>5</formula>
    </cfRule>
    <cfRule type="cellIs" dxfId="4123" priority="275" operator="lessThan">
      <formula>5</formula>
    </cfRule>
  </conditionalFormatting>
  <conditionalFormatting sqref="Q19">
    <cfRule type="cellIs" dxfId="4122" priority="271" operator="lessThan">
      <formula>50</formula>
    </cfRule>
  </conditionalFormatting>
  <conditionalFormatting sqref="H20:O20">
    <cfRule type="cellIs" dxfId="4121" priority="267" operator="lessThan">
      <formula>50</formula>
    </cfRule>
    <cfRule type="cellIs" dxfId="4120" priority="268" operator="lessThan">
      <formula>5</formula>
    </cfRule>
    <cfRule type="cellIs" dxfId="4119" priority="269" operator="lessThan">
      <formula>5</formula>
    </cfRule>
    <cfRule type="cellIs" dxfId="4118" priority="270" operator="lessThan">
      <formula>5</formula>
    </cfRule>
  </conditionalFormatting>
  <conditionalFormatting sqref="Q20">
    <cfRule type="cellIs" dxfId="4117" priority="266" operator="lessThan">
      <formula>50</formula>
    </cfRule>
  </conditionalFormatting>
  <conditionalFormatting sqref="H21:O21">
    <cfRule type="cellIs" dxfId="4116" priority="262" operator="lessThan">
      <formula>50</formula>
    </cfRule>
    <cfRule type="cellIs" dxfId="4115" priority="263" operator="lessThan">
      <formula>5</formula>
    </cfRule>
    <cfRule type="cellIs" dxfId="4114" priority="264" operator="lessThan">
      <formula>5</formula>
    </cfRule>
    <cfRule type="cellIs" dxfId="4113" priority="265" operator="lessThan">
      <formula>5</formula>
    </cfRule>
  </conditionalFormatting>
  <conditionalFormatting sqref="Q21">
    <cfRule type="cellIs" dxfId="4112" priority="261" operator="lessThan">
      <formula>50</formula>
    </cfRule>
  </conditionalFormatting>
  <conditionalFormatting sqref="H22:O22">
    <cfRule type="cellIs" dxfId="4111" priority="257" operator="lessThan">
      <formula>50</formula>
    </cfRule>
    <cfRule type="cellIs" dxfId="4110" priority="258" operator="lessThan">
      <formula>5</formula>
    </cfRule>
    <cfRule type="cellIs" dxfId="4109" priority="259" operator="lessThan">
      <formula>5</formula>
    </cfRule>
    <cfRule type="cellIs" dxfId="4108" priority="260" operator="lessThan">
      <formula>5</formula>
    </cfRule>
  </conditionalFormatting>
  <conditionalFormatting sqref="Q22">
    <cfRule type="cellIs" dxfId="4107" priority="256" operator="lessThan">
      <formula>50</formula>
    </cfRule>
  </conditionalFormatting>
  <conditionalFormatting sqref="H23:O23">
    <cfRule type="cellIs" dxfId="4106" priority="252" operator="lessThan">
      <formula>50</formula>
    </cfRule>
    <cfRule type="cellIs" dxfId="4105" priority="253" operator="lessThan">
      <formula>5</formula>
    </cfRule>
    <cfRule type="cellIs" dxfId="4104" priority="254" operator="lessThan">
      <formula>5</formula>
    </cfRule>
    <cfRule type="cellIs" dxfId="4103" priority="255" operator="lessThan">
      <formula>5</formula>
    </cfRule>
  </conditionalFormatting>
  <conditionalFormatting sqref="Q23">
    <cfRule type="cellIs" dxfId="4102" priority="251" operator="lessThan">
      <formula>50</formula>
    </cfRule>
  </conditionalFormatting>
  <conditionalFormatting sqref="H24:O24">
    <cfRule type="cellIs" dxfId="4101" priority="247" operator="lessThan">
      <formula>50</formula>
    </cfRule>
    <cfRule type="cellIs" dxfId="4100" priority="248" operator="lessThan">
      <formula>5</formula>
    </cfRule>
    <cfRule type="cellIs" dxfId="4099" priority="249" operator="lessThan">
      <formula>5</formula>
    </cfRule>
    <cfRule type="cellIs" dxfId="4098" priority="250" operator="lessThan">
      <formula>5</formula>
    </cfRule>
  </conditionalFormatting>
  <conditionalFormatting sqref="Q24">
    <cfRule type="cellIs" dxfId="4097" priority="246" operator="lessThan">
      <formula>50</formula>
    </cfRule>
  </conditionalFormatting>
  <conditionalFormatting sqref="H25:O25">
    <cfRule type="cellIs" dxfId="4096" priority="242" operator="lessThan">
      <formula>50</formula>
    </cfRule>
    <cfRule type="cellIs" dxfId="4095" priority="243" operator="lessThan">
      <formula>5</formula>
    </cfRule>
    <cfRule type="cellIs" dxfId="4094" priority="244" operator="lessThan">
      <formula>5</formula>
    </cfRule>
    <cfRule type="cellIs" dxfId="4093" priority="245" operator="lessThan">
      <formula>5</formula>
    </cfRule>
  </conditionalFormatting>
  <conditionalFormatting sqref="Q25">
    <cfRule type="cellIs" dxfId="4092" priority="241" operator="lessThan">
      <formula>50</formula>
    </cfRule>
  </conditionalFormatting>
  <conditionalFormatting sqref="H26:O26">
    <cfRule type="cellIs" dxfId="4091" priority="237" operator="lessThan">
      <formula>50</formula>
    </cfRule>
    <cfRule type="cellIs" dxfId="4090" priority="238" operator="lessThan">
      <formula>5</formula>
    </cfRule>
    <cfRule type="cellIs" dxfId="4089" priority="239" operator="lessThan">
      <formula>5</formula>
    </cfRule>
    <cfRule type="cellIs" dxfId="4088" priority="240" operator="lessThan">
      <formula>5</formula>
    </cfRule>
  </conditionalFormatting>
  <conditionalFormatting sqref="Q26">
    <cfRule type="cellIs" dxfId="4087" priority="236" operator="lessThan">
      <formula>50</formula>
    </cfRule>
  </conditionalFormatting>
  <conditionalFormatting sqref="H27:O27">
    <cfRule type="cellIs" dxfId="4086" priority="232" operator="lessThan">
      <formula>50</formula>
    </cfRule>
    <cfRule type="cellIs" dxfId="4085" priority="233" operator="lessThan">
      <formula>5</formula>
    </cfRule>
    <cfRule type="cellIs" dxfId="4084" priority="234" operator="lessThan">
      <formula>5</formula>
    </cfRule>
    <cfRule type="cellIs" dxfId="4083" priority="235" operator="lessThan">
      <formula>5</formula>
    </cfRule>
  </conditionalFormatting>
  <conditionalFormatting sqref="Q27">
    <cfRule type="cellIs" dxfId="4082" priority="231" operator="lessThan">
      <formula>50</formula>
    </cfRule>
  </conditionalFormatting>
  <conditionalFormatting sqref="H28:O28">
    <cfRule type="cellIs" dxfId="4081" priority="227" operator="lessThan">
      <formula>50</formula>
    </cfRule>
    <cfRule type="cellIs" dxfId="4080" priority="228" operator="lessThan">
      <formula>5</formula>
    </cfRule>
    <cfRule type="cellIs" dxfId="4079" priority="229" operator="lessThan">
      <formula>5</formula>
    </cfRule>
    <cfRule type="cellIs" dxfId="4078" priority="230" operator="lessThan">
      <formula>5</formula>
    </cfRule>
  </conditionalFormatting>
  <conditionalFormatting sqref="Q28">
    <cfRule type="cellIs" dxfId="4077" priority="226" operator="lessThan">
      <formula>50</formula>
    </cfRule>
  </conditionalFormatting>
  <conditionalFormatting sqref="H29:O29">
    <cfRule type="cellIs" dxfId="4076" priority="222" operator="lessThan">
      <formula>50</formula>
    </cfRule>
    <cfRule type="cellIs" dxfId="4075" priority="223" operator="lessThan">
      <formula>5</formula>
    </cfRule>
    <cfRule type="cellIs" dxfId="4074" priority="224" operator="lessThan">
      <formula>5</formula>
    </cfRule>
    <cfRule type="cellIs" dxfId="4073" priority="225" operator="lessThan">
      <formula>5</formula>
    </cfRule>
  </conditionalFormatting>
  <conditionalFormatting sqref="Q29">
    <cfRule type="cellIs" dxfId="4072" priority="221" operator="lessThan">
      <formula>50</formula>
    </cfRule>
  </conditionalFormatting>
  <conditionalFormatting sqref="H30:O30">
    <cfRule type="cellIs" dxfId="4071" priority="217" operator="lessThan">
      <formula>50</formula>
    </cfRule>
    <cfRule type="cellIs" dxfId="4070" priority="218" operator="lessThan">
      <formula>5</formula>
    </cfRule>
    <cfRule type="cellIs" dxfId="4069" priority="219" operator="lessThan">
      <formula>5</formula>
    </cfRule>
    <cfRule type="cellIs" dxfId="4068" priority="220" operator="lessThan">
      <formula>5</formula>
    </cfRule>
  </conditionalFormatting>
  <conditionalFormatting sqref="Q30">
    <cfRule type="cellIs" dxfId="4067" priority="216" operator="lessThan">
      <formula>50</formula>
    </cfRule>
  </conditionalFormatting>
  <conditionalFormatting sqref="H31:O31">
    <cfRule type="cellIs" dxfId="4066" priority="212" operator="lessThan">
      <formula>50</formula>
    </cfRule>
    <cfRule type="cellIs" dxfId="4065" priority="213" operator="lessThan">
      <formula>5</formula>
    </cfRule>
    <cfRule type="cellIs" dxfId="4064" priority="214" operator="lessThan">
      <formula>5</formula>
    </cfRule>
    <cfRule type="cellIs" dxfId="4063" priority="215" operator="lessThan">
      <formula>5</formula>
    </cfRule>
  </conditionalFormatting>
  <conditionalFormatting sqref="Q31">
    <cfRule type="cellIs" dxfId="4062" priority="211" operator="lessThan">
      <formula>50</formula>
    </cfRule>
  </conditionalFormatting>
  <conditionalFormatting sqref="H32:O32">
    <cfRule type="cellIs" dxfId="4061" priority="207" operator="lessThan">
      <formula>50</formula>
    </cfRule>
    <cfRule type="cellIs" dxfId="4060" priority="208" operator="lessThan">
      <formula>5</formula>
    </cfRule>
    <cfRule type="cellIs" dxfId="4059" priority="209" operator="lessThan">
      <formula>5</formula>
    </cfRule>
    <cfRule type="cellIs" dxfId="4058" priority="210" operator="lessThan">
      <formula>5</formula>
    </cfRule>
  </conditionalFormatting>
  <conditionalFormatting sqref="Q32">
    <cfRule type="cellIs" dxfId="4057" priority="206" operator="lessThan">
      <formula>50</formula>
    </cfRule>
  </conditionalFormatting>
  <conditionalFormatting sqref="H33:O33">
    <cfRule type="cellIs" dxfId="4056" priority="202" operator="lessThan">
      <formula>50</formula>
    </cfRule>
    <cfRule type="cellIs" dxfId="4055" priority="203" operator="lessThan">
      <formula>5</formula>
    </cfRule>
    <cfRule type="cellIs" dxfId="4054" priority="204" operator="lessThan">
      <formula>5</formula>
    </cfRule>
    <cfRule type="cellIs" dxfId="4053" priority="205" operator="lessThan">
      <formula>5</formula>
    </cfRule>
  </conditionalFormatting>
  <conditionalFormatting sqref="Q33">
    <cfRule type="cellIs" dxfId="4052" priority="201" operator="lessThan">
      <formula>50</formula>
    </cfRule>
  </conditionalFormatting>
  <conditionalFormatting sqref="H34:O34">
    <cfRule type="cellIs" dxfId="4051" priority="197" operator="lessThan">
      <formula>50</formula>
    </cfRule>
    <cfRule type="cellIs" dxfId="4050" priority="198" operator="lessThan">
      <formula>5</formula>
    </cfRule>
    <cfRule type="cellIs" dxfId="4049" priority="199" operator="lessThan">
      <formula>5</formula>
    </cfRule>
    <cfRule type="cellIs" dxfId="4048" priority="200" operator="lessThan">
      <formula>5</formula>
    </cfRule>
  </conditionalFormatting>
  <conditionalFormatting sqref="Q34">
    <cfRule type="cellIs" dxfId="4047" priority="196" operator="lessThan">
      <formula>50</formula>
    </cfRule>
  </conditionalFormatting>
  <conditionalFormatting sqref="H35:O35">
    <cfRule type="cellIs" dxfId="4046" priority="192" operator="lessThan">
      <formula>50</formula>
    </cfRule>
    <cfRule type="cellIs" dxfId="4045" priority="193" operator="lessThan">
      <formula>5</formula>
    </cfRule>
    <cfRule type="cellIs" dxfId="4044" priority="194" operator="lessThan">
      <formula>5</formula>
    </cfRule>
    <cfRule type="cellIs" dxfId="4043" priority="195" operator="lessThan">
      <formula>5</formula>
    </cfRule>
  </conditionalFormatting>
  <conditionalFormatting sqref="Q35">
    <cfRule type="cellIs" dxfId="4042" priority="191" operator="lessThan">
      <formula>50</formula>
    </cfRule>
  </conditionalFormatting>
  <conditionalFormatting sqref="H36:O36">
    <cfRule type="cellIs" dxfId="4041" priority="187" operator="lessThan">
      <formula>50</formula>
    </cfRule>
    <cfRule type="cellIs" dxfId="4040" priority="188" operator="lessThan">
      <formula>5</formula>
    </cfRule>
    <cfRule type="cellIs" dxfId="4039" priority="189" operator="lessThan">
      <formula>5</formula>
    </cfRule>
    <cfRule type="cellIs" dxfId="4038" priority="190" operator="lessThan">
      <formula>5</formula>
    </cfRule>
  </conditionalFormatting>
  <conditionalFormatting sqref="Q36">
    <cfRule type="cellIs" dxfId="4037" priority="186" operator="lessThan">
      <formula>50</formula>
    </cfRule>
  </conditionalFormatting>
  <conditionalFormatting sqref="H37:O37">
    <cfRule type="cellIs" dxfId="4036" priority="182" operator="lessThan">
      <formula>50</formula>
    </cfRule>
    <cfRule type="cellIs" dxfId="4035" priority="183" operator="lessThan">
      <formula>5</formula>
    </cfRule>
    <cfRule type="cellIs" dxfId="4034" priority="184" operator="lessThan">
      <formula>5</formula>
    </cfRule>
    <cfRule type="cellIs" dxfId="4033" priority="185" operator="lessThan">
      <formula>5</formula>
    </cfRule>
  </conditionalFormatting>
  <conditionalFormatting sqref="Q37">
    <cfRule type="cellIs" dxfId="4032" priority="181" operator="lessThan">
      <formula>50</formula>
    </cfRule>
  </conditionalFormatting>
  <conditionalFormatting sqref="H38:O38">
    <cfRule type="cellIs" dxfId="4031" priority="177" operator="lessThan">
      <formula>50</formula>
    </cfRule>
    <cfRule type="cellIs" dxfId="4030" priority="178" operator="lessThan">
      <formula>5</formula>
    </cfRule>
    <cfRule type="cellIs" dxfId="4029" priority="179" operator="lessThan">
      <formula>5</formula>
    </cfRule>
    <cfRule type="cellIs" dxfId="4028" priority="180" operator="lessThan">
      <formula>5</formula>
    </cfRule>
  </conditionalFormatting>
  <conditionalFormatting sqref="Q38">
    <cfRule type="cellIs" dxfId="4027" priority="176" operator="lessThan">
      <formula>50</formula>
    </cfRule>
  </conditionalFormatting>
  <conditionalFormatting sqref="H39:O39">
    <cfRule type="cellIs" dxfId="4026" priority="172" operator="lessThan">
      <formula>50</formula>
    </cfRule>
    <cfRule type="cellIs" dxfId="4025" priority="173" operator="lessThan">
      <formula>5</formula>
    </cfRule>
    <cfRule type="cellIs" dxfId="4024" priority="174" operator="lessThan">
      <formula>5</formula>
    </cfRule>
    <cfRule type="cellIs" dxfId="4023" priority="175" operator="lessThan">
      <formula>5</formula>
    </cfRule>
  </conditionalFormatting>
  <conditionalFormatting sqref="Q39">
    <cfRule type="cellIs" dxfId="4022" priority="171" operator="lessThan">
      <formula>50</formula>
    </cfRule>
  </conditionalFormatting>
  <conditionalFormatting sqref="H40:O40">
    <cfRule type="cellIs" dxfId="4021" priority="167" operator="lessThan">
      <formula>50</formula>
    </cfRule>
    <cfRule type="cellIs" dxfId="4020" priority="168" operator="lessThan">
      <formula>5</formula>
    </cfRule>
    <cfRule type="cellIs" dxfId="4019" priority="169" operator="lessThan">
      <formula>5</formula>
    </cfRule>
    <cfRule type="cellIs" dxfId="4018" priority="170" operator="lessThan">
      <formula>5</formula>
    </cfRule>
  </conditionalFormatting>
  <conditionalFormatting sqref="Q40">
    <cfRule type="cellIs" dxfId="4017" priority="166" operator="lessThan">
      <formula>50</formula>
    </cfRule>
  </conditionalFormatting>
  <conditionalFormatting sqref="H41:O41">
    <cfRule type="cellIs" dxfId="4016" priority="162" operator="lessThan">
      <formula>50</formula>
    </cfRule>
    <cfRule type="cellIs" dxfId="4015" priority="163" operator="lessThan">
      <formula>5</formula>
    </cfRule>
    <cfRule type="cellIs" dxfId="4014" priority="164" operator="lessThan">
      <formula>5</formula>
    </cfRule>
    <cfRule type="cellIs" dxfId="4013" priority="165" operator="lessThan">
      <formula>5</formula>
    </cfRule>
  </conditionalFormatting>
  <conditionalFormatting sqref="Q41">
    <cfRule type="cellIs" dxfId="4012" priority="161" operator="lessThan">
      <formula>50</formula>
    </cfRule>
  </conditionalFormatting>
  <conditionalFormatting sqref="H42:O42">
    <cfRule type="cellIs" dxfId="4011" priority="157" operator="lessThan">
      <formula>50</formula>
    </cfRule>
    <cfRule type="cellIs" dxfId="4010" priority="158" operator="lessThan">
      <formula>5</formula>
    </cfRule>
    <cfRule type="cellIs" dxfId="4009" priority="159" operator="lessThan">
      <formula>5</formula>
    </cfRule>
    <cfRule type="cellIs" dxfId="4008" priority="160" operator="lessThan">
      <formula>5</formula>
    </cfRule>
  </conditionalFormatting>
  <conditionalFormatting sqref="Q42">
    <cfRule type="cellIs" dxfId="4007" priority="156" operator="lessThan">
      <formula>50</formula>
    </cfRule>
  </conditionalFormatting>
  <conditionalFormatting sqref="H43:O43">
    <cfRule type="cellIs" dxfId="4006" priority="152" operator="lessThan">
      <formula>50</formula>
    </cfRule>
    <cfRule type="cellIs" dxfId="4005" priority="153" operator="lessThan">
      <formula>5</formula>
    </cfRule>
    <cfRule type="cellIs" dxfId="4004" priority="154" operator="lessThan">
      <formula>5</formula>
    </cfRule>
    <cfRule type="cellIs" dxfId="4003" priority="155" operator="lessThan">
      <formula>5</formula>
    </cfRule>
  </conditionalFormatting>
  <conditionalFormatting sqref="Q43">
    <cfRule type="cellIs" dxfId="4002" priority="151" operator="lessThan">
      <formula>50</formula>
    </cfRule>
  </conditionalFormatting>
  <conditionalFormatting sqref="H44:O44">
    <cfRule type="cellIs" dxfId="4001" priority="147" operator="lessThan">
      <formula>50</formula>
    </cfRule>
    <cfRule type="cellIs" dxfId="4000" priority="148" operator="lessThan">
      <formula>5</formula>
    </cfRule>
    <cfRule type="cellIs" dxfId="3999" priority="149" operator="lessThan">
      <formula>5</formula>
    </cfRule>
    <cfRule type="cellIs" dxfId="3998" priority="150" operator="lessThan">
      <formula>5</formula>
    </cfRule>
  </conditionalFormatting>
  <conditionalFormatting sqref="Q44">
    <cfRule type="cellIs" dxfId="3997" priority="146" operator="lessThan">
      <formula>50</formula>
    </cfRule>
  </conditionalFormatting>
  <conditionalFormatting sqref="H45:O45">
    <cfRule type="cellIs" dxfId="3996" priority="142" operator="lessThan">
      <formula>50</formula>
    </cfRule>
    <cfRule type="cellIs" dxfId="3995" priority="143" operator="lessThan">
      <formula>5</formula>
    </cfRule>
    <cfRule type="cellIs" dxfId="3994" priority="144" operator="lessThan">
      <formula>5</formula>
    </cfRule>
    <cfRule type="cellIs" dxfId="3993" priority="145" operator="lessThan">
      <formula>5</formula>
    </cfRule>
  </conditionalFormatting>
  <conditionalFormatting sqref="Q45">
    <cfRule type="cellIs" dxfId="3992" priority="141" operator="lessThan">
      <formula>50</formula>
    </cfRule>
  </conditionalFormatting>
  <conditionalFormatting sqref="H46:O46">
    <cfRule type="cellIs" dxfId="3991" priority="137" operator="lessThan">
      <formula>50</formula>
    </cfRule>
    <cfRule type="cellIs" dxfId="3990" priority="138" operator="lessThan">
      <formula>5</formula>
    </cfRule>
    <cfRule type="cellIs" dxfId="3989" priority="139" operator="lessThan">
      <formula>5</formula>
    </cfRule>
    <cfRule type="cellIs" dxfId="3988" priority="140" operator="lessThan">
      <formula>5</formula>
    </cfRule>
  </conditionalFormatting>
  <conditionalFormatting sqref="Q46">
    <cfRule type="cellIs" dxfId="3987" priority="136" operator="lessThan">
      <formula>50</formula>
    </cfRule>
  </conditionalFormatting>
  <conditionalFormatting sqref="H47:O47">
    <cfRule type="cellIs" dxfId="3986" priority="132" operator="lessThan">
      <formula>50</formula>
    </cfRule>
    <cfRule type="cellIs" dxfId="3985" priority="133" operator="lessThan">
      <formula>5</formula>
    </cfRule>
    <cfRule type="cellIs" dxfId="3984" priority="134" operator="lessThan">
      <formula>5</formula>
    </cfRule>
    <cfRule type="cellIs" dxfId="3983" priority="135" operator="lessThan">
      <formula>5</formula>
    </cfRule>
  </conditionalFormatting>
  <conditionalFormatting sqref="Q47">
    <cfRule type="cellIs" dxfId="3982" priority="131" operator="lessThan">
      <formula>50</formula>
    </cfRule>
  </conditionalFormatting>
  <conditionalFormatting sqref="H48:O48">
    <cfRule type="cellIs" dxfId="3981" priority="127" operator="lessThan">
      <formula>50</formula>
    </cfRule>
    <cfRule type="cellIs" dxfId="3980" priority="128" operator="lessThan">
      <formula>5</formula>
    </cfRule>
    <cfRule type="cellIs" dxfId="3979" priority="129" operator="lessThan">
      <formula>5</formula>
    </cfRule>
    <cfRule type="cellIs" dxfId="3978" priority="130" operator="lessThan">
      <formula>5</formula>
    </cfRule>
  </conditionalFormatting>
  <conditionalFormatting sqref="Q48">
    <cfRule type="cellIs" dxfId="3977" priority="126" operator="lessThan">
      <formula>50</formula>
    </cfRule>
  </conditionalFormatting>
  <conditionalFormatting sqref="H49:O49">
    <cfRule type="cellIs" dxfId="3976" priority="122" operator="lessThan">
      <formula>50</formula>
    </cfRule>
    <cfRule type="cellIs" dxfId="3975" priority="123" operator="lessThan">
      <formula>5</formula>
    </cfRule>
    <cfRule type="cellIs" dxfId="3974" priority="124" operator="lessThan">
      <formula>5</formula>
    </cfRule>
    <cfRule type="cellIs" dxfId="3973" priority="125" operator="lessThan">
      <formula>5</formula>
    </cfRule>
  </conditionalFormatting>
  <conditionalFormatting sqref="Q49">
    <cfRule type="cellIs" dxfId="3972" priority="121" operator="lessThan">
      <formula>50</formula>
    </cfRule>
  </conditionalFormatting>
  <conditionalFormatting sqref="H50:O50">
    <cfRule type="cellIs" dxfId="3971" priority="117" operator="lessThan">
      <formula>50</formula>
    </cfRule>
    <cfRule type="cellIs" dxfId="3970" priority="118" operator="lessThan">
      <formula>5</formula>
    </cfRule>
    <cfRule type="cellIs" dxfId="3969" priority="119" operator="lessThan">
      <formula>5</formula>
    </cfRule>
    <cfRule type="cellIs" dxfId="3968" priority="120" operator="lessThan">
      <formula>5</formula>
    </cfRule>
  </conditionalFormatting>
  <conditionalFormatting sqref="Q50">
    <cfRule type="cellIs" dxfId="3967" priority="116" operator="lessThan">
      <formula>50</formula>
    </cfRule>
  </conditionalFormatting>
  <conditionalFormatting sqref="H51:O51">
    <cfRule type="cellIs" dxfId="3966" priority="112" operator="lessThan">
      <formula>50</formula>
    </cfRule>
    <cfRule type="cellIs" dxfId="3965" priority="113" operator="lessThan">
      <formula>5</formula>
    </cfRule>
    <cfRule type="cellIs" dxfId="3964" priority="114" operator="lessThan">
      <formula>5</formula>
    </cfRule>
    <cfRule type="cellIs" dxfId="3963" priority="115" operator="lessThan">
      <formula>5</formula>
    </cfRule>
  </conditionalFormatting>
  <conditionalFormatting sqref="Q51">
    <cfRule type="cellIs" dxfId="3962" priority="111" operator="lessThan">
      <formula>50</formula>
    </cfRule>
  </conditionalFormatting>
  <conditionalFormatting sqref="H52:O52">
    <cfRule type="cellIs" dxfId="3961" priority="107" operator="lessThan">
      <formula>50</formula>
    </cfRule>
    <cfRule type="cellIs" dxfId="3960" priority="108" operator="lessThan">
      <formula>5</formula>
    </cfRule>
    <cfRule type="cellIs" dxfId="3959" priority="109" operator="lessThan">
      <formula>5</formula>
    </cfRule>
    <cfRule type="cellIs" dxfId="3958" priority="110" operator="lessThan">
      <formula>5</formula>
    </cfRule>
  </conditionalFormatting>
  <conditionalFormatting sqref="Q52">
    <cfRule type="cellIs" dxfId="3957" priority="106" operator="lessThan">
      <formula>50</formula>
    </cfRule>
  </conditionalFormatting>
  <conditionalFormatting sqref="H53:O53">
    <cfRule type="cellIs" dxfId="3956" priority="102" operator="lessThan">
      <formula>50</formula>
    </cfRule>
    <cfRule type="cellIs" dxfId="3955" priority="103" operator="lessThan">
      <formula>5</formula>
    </cfRule>
    <cfRule type="cellIs" dxfId="3954" priority="104" operator="lessThan">
      <formula>5</formula>
    </cfRule>
    <cfRule type="cellIs" dxfId="3953" priority="105" operator="lessThan">
      <formula>5</formula>
    </cfRule>
  </conditionalFormatting>
  <conditionalFormatting sqref="Q53">
    <cfRule type="cellIs" dxfId="3952" priority="101" operator="lessThan">
      <formula>50</formula>
    </cfRule>
  </conditionalFormatting>
  <conditionalFormatting sqref="H54:O54">
    <cfRule type="cellIs" dxfId="3951" priority="97" operator="lessThan">
      <formula>50</formula>
    </cfRule>
    <cfRule type="cellIs" dxfId="3950" priority="98" operator="lessThan">
      <formula>5</formula>
    </cfRule>
    <cfRule type="cellIs" dxfId="3949" priority="99" operator="lessThan">
      <formula>5</formula>
    </cfRule>
    <cfRule type="cellIs" dxfId="3948" priority="100" operator="lessThan">
      <formula>5</formula>
    </cfRule>
  </conditionalFormatting>
  <conditionalFormatting sqref="Q54">
    <cfRule type="cellIs" dxfId="3947" priority="96" operator="lessThan">
      <formula>50</formula>
    </cfRule>
  </conditionalFormatting>
  <conditionalFormatting sqref="H55:O55">
    <cfRule type="cellIs" dxfId="3946" priority="92" operator="lessThan">
      <formula>50</formula>
    </cfRule>
    <cfRule type="cellIs" dxfId="3945" priority="93" operator="lessThan">
      <formula>5</formula>
    </cfRule>
    <cfRule type="cellIs" dxfId="3944" priority="94" operator="lessThan">
      <formula>5</formula>
    </cfRule>
    <cfRule type="cellIs" dxfId="3943" priority="95" operator="lessThan">
      <formula>5</formula>
    </cfRule>
  </conditionalFormatting>
  <conditionalFormatting sqref="Q55">
    <cfRule type="cellIs" dxfId="3942" priority="91" operator="lessThan">
      <formula>50</formula>
    </cfRule>
  </conditionalFormatting>
  <conditionalFormatting sqref="H56:O56">
    <cfRule type="cellIs" dxfId="3941" priority="87" operator="lessThan">
      <formula>50</formula>
    </cfRule>
    <cfRule type="cellIs" dxfId="3940" priority="88" operator="lessThan">
      <formula>5</formula>
    </cfRule>
    <cfRule type="cellIs" dxfId="3939" priority="89" operator="lessThan">
      <formula>5</formula>
    </cfRule>
    <cfRule type="cellIs" dxfId="3938" priority="90" operator="lessThan">
      <formula>5</formula>
    </cfRule>
  </conditionalFormatting>
  <conditionalFormatting sqref="Q56">
    <cfRule type="cellIs" dxfId="3937" priority="86" operator="lessThan">
      <formula>50</formula>
    </cfRule>
  </conditionalFormatting>
  <conditionalFormatting sqref="H57:O57">
    <cfRule type="cellIs" dxfId="3936" priority="82" operator="lessThan">
      <formula>50</formula>
    </cfRule>
    <cfRule type="cellIs" dxfId="3935" priority="83" operator="lessThan">
      <formula>5</formula>
    </cfRule>
    <cfRule type="cellIs" dxfId="3934" priority="84" operator="lessThan">
      <formula>5</formula>
    </cfRule>
    <cfRule type="cellIs" dxfId="3933" priority="85" operator="lessThan">
      <formula>5</formula>
    </cfRule>
  </conditionalFormatting>
  <conditionalFormatting sqref="Q57">
    <cfRule type="cellIs" dxfId="3932" priority="81" operator="lessThan">
      <formula>50</formula>
    </cfRule>
  </conditionalFormatting>
  <conditionalFormatting sqref="H58:O58">
    <cfRule type="cellIs" dxfId="3931" priority="77" operator="lessThan">
      <formula>50</formula>
    </cfRule>
    <cfRule type="cellIs" dxfId="3930" priority="78" operator="lessThan">
      <formula>5</formula>
    </cfRule>
    <cfRule type="cellIs" dxfId="3929" priority="79" operator="lessThan">
      <formula>5</formula>
    </cfRule>
    <cfRule type="cellIs" dxfId="3928" priority="80" operator="lessThan">
      <formula>5</formula>
    </cfRule>
  </conditionalFormatting>
  <conditionalFormatting sqref="Q58">
    <cfRule type="cellIs" dxfId="3927" priority="76" operator="lessThan">
      <formula>50</formula>
    </cfRule>
  </conditionalFormatting>
  <conditionalFormatting sqref="H59:O59">
    <cfRule type="cellIs" dxfId="3926" priority="72" operator="lessThan">
      <formula>50</formula>
    </cfRule>
    <cfRule type="cellIs" dxfId="3925" priority="73" operator="lessThan">
      <formula>5</formula>
    </cfRule>
    <cfRule type="cellIs" dxfId="3924" priority="74" operator="lessThan">
      <formula>5</formula>
    </cfRule>
    <cfRule type="cellIs" dxfId="3923" priority="75" operator="lessThan">
      <formula>5</formula>
    </cfRule>
  </conditionalFormatting>
  <conditionalFormatting sqref="Q59">
    <cfRule type="cellIs" dxfId="3922" priority="71" operator="lessThan">
      <formula>50</formula>
    </cfRule>
  </conditionalFormatting>
  <conditionalFormatting sqref="H60:O60">
    <cfRule type="cellIs" dxfId="3921" priority="67" operator="lessThan">
      <formula>50</formula>
    </cfRule>
    <cfRule type="cellIs" dxfId="3920" priority="68" operator="lessThan">
      <formula>5</formula>
    </cfRule>
    <cfRule type="cellIs" dxfId="3919" priority="69" operator="lessThan">
      <formula>5</formula>
    </cfRule>
    <cfRule type="cellIs" dxfId="3918" priority="70" operator="lessThan">
      <formula>5</formula>
    </cfRule>
  </conditionalFormatting>
  <conditionalFormatting sqref="Q60">
    <cfRule type="cellIs" dxfId="3917" priority="66" operator="lessThan">
      <formula>50</formula>
    </cfRule>
  </conditionalFormatting>
  <conditionalFormatting sqref="H61:O61">
    <cfRule type="cellIs" dxfId="3916" priority="62" operator="lessThan">
      <formula>50</formula>
    </cfRule>
    <cfRule type="cellIs" dxfId="3915" priority="63" operator="lessThan">
      <formula>5</formula>
    </cfRule>
    <cfRule type="cellIs" dxfId="3914" priority="64" operator="lessThan">
      <formula>5</formula>
    </cfRule>
    <cfRule type="cellIs" dxfId="3913" priority="65" operator="lessThan">
      <formula>5</formula>
    </cfRule>
  </conditionalFormatting>
  <conditionalFormatting sqref="Q61">
    <cfRule type="cellIs" dxfId="3912" priority="61" operator="lessThan">
      <formula>50</formula>
    </cfRule>
  </conditionalFormatting>
  <conditionalFormatting sqref="H62:O62">
    <cfRule type="cellIs" dxfId="3911" priority="57" operator="lessThan">
      <formula>50</formula>
    </cfRule>
    <cfRule type="cellIs" dxfId="3910" priority="58" operator="lessThan">
      <formula>5</formula>
    </cfRule>
    <cfRule type="cellIs" dxfId="3909" priority="59" operator="lessThan">
      <formula>5</formula>
    </cfRule>
    <cfRule type="cellIs" dxfId="3908" priority="60" operator="lessThan">
      <formula>5</formula>
    </cfRule>
  </conditionalFormatting>
  <conditionalFormatting sqref="Q62">
    <cfRule type="cellIs" dxfId="3907" priority="56" operator="lessThan">
      <formula>50</formula>
    </cfRule>
  </conditionalFormatting>
  <conditionalFormatting sqref="H63:O63">
    <cfRule type="cellIs" dxfId="3906" priority="52" operator="lessThan">
      <formula>50</formula>
    </cfRule>
    <cfRule type="cellIs" dxfId="3905" priority="53" operator="lessThan">
      <formula>5</formula>
    </cfRule>
    <cfRule type="cellIs" dxfId="3904" priority="54" operator="lessThan">
      <formula>5</formula>
    </cfRule>
    <cfRule type="cellIs" dxfId="3903" priority="55" operator="lessThan">
      <formula>5</formula>
    </cfRule>
  </conditionalFormatting>
  <conditionalFormatting sqref="Q63">
    <cfRule type="cellIs" dxfId="3902" priority="51" operator="lessThan">
      <formula>50</formula>
    </cfRule>
  </conditionalFormatting>
  <conditionalFormatting sqref="H64:O64">
    <cfRule type="cellIs" dxfId="3901" priority="47" operator="lessThan">
      <formula>50</formula>
    </cfRule>
    <cfRule type="cellIs" dxfId="3900" priority="48" operator="lessThan">
      <formula>5</formula>
    </cfRule>
    <cfRule type="cellIs" dxfId="3899" priority="49" operator="lessThan">
      <formula>5</formula>
    </cfRule>
    <cfRule type="cellIs" dxfId="3898" priority="50" operator="lessThan">
      <formula>5</formula>
    </cfRule>
  </conditionalFormatting>
  <conditionalFormatting sqref="Q64">
    <cfRule type="cellIs" dxfId="3897" priority="46" operator="lessThan">
      <formula>50</formula>
    </cfRule>
  </conditionalFormatting>
  <conditionalFormatting sqref="H65:O65">
    <cfRule type="cellIs" dxfId="3896" priority="42" operator="lessThan">
      <formula>50</formula>
    </cfRule>
    <cfRule type="cellIs" dxfId="3895" priority="43" operator="lessThan">
      <formula>5</formula>
    </cfRule>
    <cfRule type="cellIs" dxfId="3894" priority="44" operator="lessThan">
      <formula>5</formula>
    </cfRule>
    <cfRule type="cellIs" dxfId="3893" priority="45" operator="lessThan">
      <formula>5</formula>
    </cfRule>
  </conditionalFormatting>
  <conditionalFormatting sqref="Q65">
    <cfRule type="cellIs" dxfId="3892" priority="41" operator="lessThan">
      <formula>50</formula>
    </cfRule>
  </conditionalFormatting>
  <conditionalFormatting sqref="H66:O66">
    <cfRule type="cellIs" dxfId="3891" priority="37" operator="lessThan">
      <formula>50</formula>
    </cfRule>
    <cfRule type="cellIs" dxfId="3890" priority="38" operator="lessThan">
      <formula>5</formula>
    </cfRule>
    <cfRule type="cellIs" dxfId="3889" priority="39" operator="lessThan">
      <formula>5</formula>
    </cfRule>
    <cfRule type="cellIs" dxfId="3888" priority="40" operator="lessThan">
      <formula>5</formula>
    </cfRule>
  </conditionalFormatting>
  <conditionalFormatting sqref="Q66">
    <cfRule type="cellIs" dxfId="3887" priority="36" operator="lessThan">
      <formula>50</formula>
    </cfRule>
  </conditionalFormatting>
  <conditionalFormatting sqref="H67:O67">
    <cfRule type="cellIs" dxfId="3886" priority="32" operator="lessThan">
      <formula>50</formula>
    </cfRule>
    <cfRule type="cellIs" dxfId="3885" priority="33" operator="lessThan">
      <formula>5</formula>
    </cfRule>
    <cfRule type="cellIs" dxfId="3884" priority="34" operator="lessThan">
      <formula>5</formula>
    </cfRule>
    <cfRule type="cellIs" dxfId="3883" priority="35" operator="lessThan">
      <formula>5</formula>
    </cfRule>
  </conditionalFormatting>
  <conditionalFormatting sqref="Q67">
    <cfRule type="cellIs" dxfId="3882" priority="31" operator="lessThan">
      <formula>50</formula>
    </cfRule>
  </conditionalFormatting>
  <conditionalFormatting sqref="H68:O68">
    <cfRule type="cellIs" dxfId="3881" priority="27" operator="lessThan">
      <formula>50</formula>
    </cfRule>
    <cfRule type="cellIs" dxfId="3880" priority="28" operator="lessThan">
      <formula>5</formula>
    </cfRule>
    <cfRule type="cellIs" dxfId="3879" priority="29" operator="lessThan">
      <formula>5</formula>
    </cfRule>
    <cfRule type="cellIs" dxfId="3878" priority="30" operator="lessThan">
      <formula>5</formula>
    </cfRule>
  </conditionalFormatting>
  <conditionalFormatting sqref="Q68">
    <cfRule type="cellIs" dxfId="3877" priority="26" operator="lessThan">
      <formula>50</formula>
    </cfRule>
  </conditionalFormatting>
  <conditionalFormatting sqref="H69:O69">
    <cfRule type="cellIs" dxfId="3876" priority="22" operator="lessThan">
      <formula>50</formula>
    </cfRule>
    <cfRule type="cellIs" dxfId="3875" priority="23" operator="lessThan">
      <formula>5</formula>
    </cfRule>
    <cfRule type="cellIs" dxfId="3874" priority="24" operator="lessThan">
      <formula>5</formula>
    </cfRule>
    <cfRule type="cellIs" dxfId="3873" priority="25" operator="lessThan">
      <formula>5</formula>
    </cfRule>
  </conditionalFormatting>
  <conditionalFormatting sqref="Q69">
    <cfRule type="cellIs" dxfId="3872" priority="21" operator="lessThan">
      <formula>50</formula>
    </cfRule>
  </conditionalFormatting>
  <conditionalFormatting sqref="H70:O70">
    <cfRule type="cellIs" dxfId="3871" priority="17" operator="lessThan">
      <formula>50</formula>
    </cfRule>
    <cfRule type="cellIs" dxfId="3870" priority="18" operator="lessThan">
      <formula>5</formula>
    </cfRule>
    <cfRule type="cellIs" dxfId="3869" priority="19" operator="lessThan">
      <formula>5</formula>
    </cfRule>
    <cfRule type="cellIs" dxfId="3868" priority="20" operator="lessThan">
      <formula>5</formula>
    </cfRule>
  </conditionalFormatting>
  <conditionalFormatting sqref="Q70">
    <cfRule type="cellIs" dxfId="3867" priority="16" operator="lessThan">
      <formula>50</formula>
    </cfRule>
  </conditionalFormatting>
  <conditionalFormatting sqref="H71:O71">
    <cfRule type="cellIs" dxfId="3866" priority="12" operator="lessThan">
      <formula>50</formula>
    </cfRule>
    <cfRule type="cellIs" dxfId="3865" priority="13" operator="lessThan">
      <formula>5</formula>
    </cfRule>
    <cfRule type="cellIs" dxfId="3864" priority="14" operator="lessThan">
      <formula>5</formula>
    </cfRule>
    <cfRule type="cellIs" dxfId="3863" priority="15" operator="lessThan">
      <formula>5</formula>
    </cfRule>
  </conditionalFormatting>
  <conditionalFormatting sqref="Q71">
    <cfRule type="cellIs" dxfId="3862" priority="11" operator="lessThan">
      <formula>50</formula>
    </cfRule>
  </conditionalFormatting>
  <conditionalFormatting sqref="H72:O72">
    <cfRule type="cellIs" dxfId="3861" priority="7" operator="lessThan">
      <formula>50</formula>
    </cfRule>
    <cfRule type="cellIs" dxfId="3860" priority="8" operator="lessThan">
      <formula>5</formula>
    </cfRule>
    <cfRule type="cellIs" dxfId="3859" priority="9" operator="lessThan">
      <formula>5</formula>
    </cfRule>
    <cfRule type="cellIs" dxfId="3858" priority="10" operator="lessThan">
      <formula>5</formula>
    </cfRule>
  </conditionalFormatting>
  <conditionalFormatting sqref="Q72">
    <cfRule type="cellIs" dxfId="3857" priority="6" operator="lessThan">
      <formula>50</formula>
    </cfRule>
  </conditionalFormatting>
  <conditionalFormatting sqref="H73:O73">
    <cfRule type="cellIs" dxfId="3856" priority="2" operator="lessThan">
      <formula>50</formula>
    </cfRule>
    <cfRule type="cellIs" dxfId="3855" priority="3" operator="lessThan">
      <formula>5</formula>
    </cfRule>
    <cfRule type="cellIs" dxfId="3854" priority="4" operator="lessThan">
      <formula>5</formula>
    </cfRule>
    <cfRule type="cellIs" dxfId="3853" priority="5" operator="lessThan">
      <formula>5</formula>
    </cfRule>
  </conditionalFormatting>
  <conditionalFormatting sqref="Q73">
    <cfRule type="cellIs" dxfId="3852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0:E10 D12:E14 D17:E21 D35:E37" xr:uid="{117B1F31-B1DF-4DB8-9F20-40D53C398F96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2DB2-8FDF-409D-B6AD-B696032EFBEC}">
  <sheetPr codeName="Sheet106"/>
  <dimension ref="A1:R74"/>
  <sheetViews>
    <sheetView showGridLines="0" topLeftCell="A64" workbookViewId="0">
      <selection activeCell="J12" sqref="J12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5" width="4.7109375" customWidth="1"/>
    <col min="16" max="16" width="6.7109375" customWidth="1"/>
    <col min="17" max="17" width="4.7109375" style="44" customWidth="1"/>
    <col min="18" max="18" width="4.7109375" customWidth="1"/>
  </cols>
  <sheetData>
    <row r="1" spans="1:18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49"/>
      <c r="R1" s="16"/>
    </row>
    <row r="2" spans="1:18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0"/>
      <c r="R2" s="11"/>
    </row>
    <row r="3" spans="1:18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0"/>
      <c r="R3" s="11"/>
    </row>
    <row r="4" spans="1:18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51"/>
      <c r="R4" s="11"/>
    </row>
    <row r="5" spans="1:18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52"/>
      <c r="R5" s="12"/>
    </row>
    <row r="6" spans="1:18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16</v>
      </c>
      <c r="I6" s="39" t="s">
        <v>3</v>
      </c>
      <c r="J6" s="39" t="s">
        <v>17</v>
      </c>
      <c r="K6" s="39" t="s">
        <v>15</v>
      </c>
      <c r="L6" s="39" t="s">
        <v>18</v>
      </c>
      <c r="M6" s="39" t="s">
        <v>19</v>
      </c>
      <c r="N6" s="39" t="s">
        <v>20</v>
      </c>
      <c r="O6" s="39" t="s">
        <v>21</v>
      </c>
      <c r="P6" s="39" t="s">
        <v>5320</v>
      </c>
      <c r="Q6" s="53" t="s">
        <v>5321</v>
      </c>
      <c r="R6" s="39" t="s">
        <v>5324</v>
      </c>
    </row>
    <row r="7" spans="1:18" ht="18" customHeight="1" thickTop="1">
      <c r="A7" s="19">
        <v>1</v>
      </c>
      <c r="B7" s="2" t="s">
        <v>3844</v>
      </c>
      <c r="C7" s="1">
        <v>311260963</v>
      </c>
      <c r="D7" s="3" t="s">
        <v>3845</v>
      </c>
      <c r="E7" s="1" t="s">
        <v>60</v>
      </c>
      <c r="F7" s="10" t="s">
        <v>3690</v>
      </c>
      <c r="G7" s="2">
        <v>16</v>
      </c>
      <c r="H7" s="6">
        <v>100</v>
      </c>
      <c r="I7" s="6">
        <v>100</v>
      </c>
      <c r="J7" s="6">
        <v>100</v>
      </c>
      <c r="K7" s="6">
        <v>84</v>
      </c>
      <c r="L7" s="6">
        <v>92</v>
      </c>
      <c r="M7" s="6">
        <v>88</v>
      </c>
      <c r="N7" s="6">
        <v>80</v>
      </c>
      <c r="O7" s="6">
        <v>68</v>
      </c>
      <c r="P7" s="1">
        <f t="shared" ref="P7:P38" si="0">SUBTOTAL(9,H7:O7)</f>
        <v>712</v>
      </c>
      <c r="Q7" s="14">
        <f t="shared" ref="Q7:Q38" si="1">P7/8</f>
        <v>89</v>
      </c>
      <c r="R7" s="20">
        <f t="shared" ref="R7:R38" si="2">RANK(Q7,Q$7:Q$274,0)</f>
        <v>1</v>
      </c>
    </row>
    <row r="8" spans="1:18" ht="18" customHeight="1">
      <c r="A8" s="19">
        <v>2</v>
      </c>
      <c r="B8" s="2" t="s">
        <v>3717</v>
      </c>
      <c r="C8" s="1" t="s">
        <v>3718</v>
      </c>
      <c r="D8" s="3" t="s">
        <v>3719</v>
      </c>
      <c r="E8" s="1" t="s">
        <v>70</v>
      </c>
      <c r="F8" s="10" t="s">
        <v>3690</v>
      </c>
      <c r="G8" s="2">
        <v>13</v>
      </c>
      <c r="H8" s="6">
        <v>96</v>
      </c>
      <c r="I8" s="6">
        <v>100</v>
      </c>
      <c r="J8" s="6">
        <v>84</v>
      </c>
      <c r="K8" s="6">
        <v>84</v>
      </c>
      <c r="L8" s="6">
        <v>82</v>
      </c>
      <c r="M8" s="6">
        <v>84</v>
      </c>
      <c r="N8" s="6">
        <v>84</v>
      </c>
      <c r="O8" s="6">
        <v>80</v>
      </c>
      <c r="P8" s="1">
        <f t="shared" si="0"/>
        <v>694</v>
      </c>
      <c r="Q8" s="14">
        <f t="shared" si="1"/>
        <v>86.75</v>
      </c>
      <c r="R8" s="20">
        <f t="shared" si="2"/>
        <v>2</v>
      </c>
    </row>
    <row r="9" spans="1:18" ht="18" customHeight="1">
      <c r="A9" s="19">
        <v>3</v>
      </c>
      <c r="B9" s="2" t="s">
        <v>3752</v>
      </c>
      <c r="C9" s="1">
        <v>311240435</v>
      </c>
      <c r="D9" s="3" t="s">
        <v>3753</v>
      </c>
      <c r="E9" s="1" t="s">
        <v>58</v>
      </c>
      <c r="F9" s="10" t="s">
        <v>3690</v>
      </c>
      <c r="G9" s="2">
        <v>14</v>
      </c>
      <c r="H9" s="6">
        <v>100</v>
      </c>
      <c r="I9" s="6">
        <v>95</v>
      </c>
      <c r="J9" s="6">
        <v>96</v>
      </c>
      <c r="K9" s="6">
        <v>84</v>
      </c>
      <c r="L9" s="6">
        <v>84</v>
      </c>
      <c r="M9" s="6">
        <v>84</v>
      </c>
      <c r="N9" s="6">
        <v>76</v>
      </c>
      <c r="O9" s="6">
        <v>68</v>
      </c>
      <c r="P9" s="1">
        <f t="shared" si="0"/>
        <v>687</v>
      </c>
      <c r="Q9" s="14">
        <f t="shared" si="1"/>
        <v>85.875</v>
      </c>
      <c r="R9" s="20">
        <f t="shared" si="2"/>
        <v>3</v>
      </c>
    </row>
    <row r="10" spans="1:18" ht="18" customHeight="1">
      <c r="A10" s="19">
        <v>4</v>
      </c>
      <c r="B10" s="2" t="s">
        <v>3704</v>
      </c>
      <c r="C10" s="1">
        <v>311220656</v>
      </c>
      <c r="D10" s="3" t="s">
        <v>3705</v>
      </c>
      <c r="E10" s="1" t="s">
        <v>69</v>
      </c>
      <c r="F10" s="10" t="s">
        <v>3690</v>
      </c>
      <c r="G10" s="2">
        <v>13</v>
      </c>
      <c r="H10" s="6">
        <v>68</v>
      </c>
      <c r="I10" s="6">
        <v>68</v>
      </c>
      <c r="J10" s="6">
        <v>100</v>
      </c>
      <c r="K10" s="6">
        <v>100</v>
      </c>
      <c r="L10" s="6">
        <v>64</v>
      </c>
      <c r="M10" s="6">
        <v>88</v>
      </c>
      <c r="N10" s="6">
        <v>64</v>
      </c>
      <c r="O10" s="6">
        <v>84</v>
      </c>
      <c r="P10" s="1">
        <f t="shared" si="0"/>
        <v>636</v>
      </c>
      <c r="Q10" s="14">
        <f t="shared" si="1"/>
        <v>79.5</v>
      </c>
      <c r="R10" s="20">
        <f t="shared" si="2"/>
        <v>4</v>
      </c>
    </row>
    <row r="11" spans="1:18" ht="18" customHeight="1">
      <c r="A11" s="19">
        <v>5</v>
      </c>
      <c r="B11" s="2" t="s">
        <v>3813</v>
      </c>
      <c r="C11" s="1" t="s">
        <v>3814</v>
      </c>
      <c r="D11" s="3" t="s">
        <v>3815</v>
      </c>
      <c r="E11" s="1" t="s">
        <v>82</v>
      </c>
      <c r="F11" s="10" t="s">
        <v>3690</v>
      </c>
      <c r="G11" s="2">
        <v>15</v>
      </c>
      <c r="H11" s="6">
        <v>64</v>
      </c>
      <c r="I11" s="6">
        <v>92</v>
      </c>
      <c r="J11" s="6">
        <v>100</v>
      </c>
      <c r="K11" s="6">
        <v>76</v>
      </c>
      <c r="L11" s="6">
        <v>40</v>
      </c>
      <c r="M11" s="6">
        <v>80</v>
      </c>
      <c r="N11" s="6">
        <v>64</v>
      </c>
      <c r="O11" s="6">
        <v>96</v>
      </c>
      <c r="P11" s="1">
        <f t="shared" si="0"/>
        <v>612</v>
      </c>
      <c r="Q11" s="14">
        <f t="shared" si="1"/>
        <v>76.5</v>
      </c>
      <c r="R11" s="20">
        <f t="shared" si="2"/>
        <v>5</v>
      </c>
    </row>
    <row r="12" spans="1:18" ht="18" customHeight="1">
      <c r="A12" s="19">
        <v>6</v>
      </c>
      <c r="B12" s="2" t="s">
        <v>3754</v>
      </c>
      <c r="C12" s="1">
        <v>311220568</v>
      </c>
      <c r="D12" s="3" t="s">
        <v>3755</v>
      </c>
      <c r="E12" s="1" t="s">
        <v>58</v>
      </c>
      <c r="F12" s="10" t="s">
        <v>3690</v>
      </c>
      <c r="G12" s="2">
        <v>14</v>
      </c>
      <c r="H12" s="6">
        <v>72</v>
      </c>
      <c r="I12" s="6">
        <v>95</v>
      </c>
      <c r="J12" s="6">
        <v>84</v>
      </c>
      <c r="K12" s="6">
        <v>80</v>
      </c>
      <c r="L12" s="6">
        <v>84</v>
      </c>
      <c r="M12" s="6">
        <v>64</v>
      </c>
      <c r="N12" s="6">
        <v>72</v>
      </c>
      <c r="O12" s="6">
        <v>56</v>
      </c>
      <c r="P12" s="1">
        <f t="shared" si="0"/>
        <v>607</v>
      </c>
      <c r="Q12" s="14">
        <f t="shared" si="1"/>
        <v>75.875</v>
      </c>
      <c r="R12" s="20">
        <f t="shared" si="2"/>
        <v>6</v>
      </c>
    </row>
    <row r="13" spans="1:18" ht="18" customHeight="1">
      <c r="A13" s="19">
        <v>7</v>
      </c>
      <c r="B13" s="2" t="s">
        <v>3802</v>
      </c>
      <c r="C13" s="1">
        <v>311220712</v>
      </c>
      <c r="D13" s="3" t="s">
        <v>92</v>
      </c>
      <c r="E13" s="1" t="s">
        <v>88</v>
      </c>
      <c r="F13" s="10" t="s">
        <v>3690</v>
      </c>
      <c r="G13" s="2">
        <v>15</v>
      </c>
      <c r="H13" s="6">
        <v>72</v>
      </c>
      <c r="I13" s="6">
        <v>100</v>
      </c>
      <c r="J13" s="6">
        <v>84</v>
      </c>
      <c r="K13" s="6">
        <v>76</v>
      </c>
      <c r="L13" s="6">
        <v>48</v>
      </c>
      <c r="M13" s="6">
        <v>80</v>
      </c>
      <c r="N13" s="6">
        <v>72</v>
      </c>
      <c r="O13" s="6">
        <v>68</v>
      </c>
      <c r="P13" s="1">
        <f t="shared" si="0"/>
        <v>600</v>
      </c>
      <c r="Q13" s="14">
        <f t="shared" si="1"/>
        <v>75</v>
      </c>
      <c r="R13" s="20">
        <f t="shared" si="2"/>
        <v>7</v>
      </c>
    </row>
    <row r="14" spans="1:18" ht="18" customHeight="1">
      <c r="A14" s="19">
        <v>8</v>
      </c>
      <c r="B14" s="2" t="s">
        <v>3770</v>
      </c>
      <c r="C14" s="1">
        <v>311240444</v>
      </c>
      <c r="D14" s="3" t="s">
        <v>3771</v>
      </c>
      <c r="E14" s="1" t="s">
        <v>81</v>
      </c>
      <c r="F14" s="10" t="s">
        <v>3690</v>
      </c>
      <c r="G14" s="2">
        <v>14</v>
      </c>
      <c r="H14" s="6">
        <v>76</v>
      </c>
      <c r="I14" s="6">
        <v>100</v>
      </c>
      <c r="J14" s="6">
        <v>96</v>
      </c>
      <c r="K14" s="6">
        <v>72</v>
      </c>
      <c r="L14" s="6">
        <v>60</v>
      </c>
      <c r="M14" s="6">
        <v>76</v>
      </c>
      <c r="N14" s="6">
        <v>60</v>
      </c>
      <c r="O14" s="6">
        <v>56</v>
      </c>
      <c r="P14" s="1">
        <f t="shared" si="0"/>
        <v>596</v>
      </c>
      <c r="Q14" s="14">
        <f t="shared" si="1"/>
        <v>74.5</v>
      </c>
      <c r="R14" s="20">
        <f t="shared" si="2"/>
        <v>8</v>
      </c>
    </row>
    <row r="15" spans="1:18" ht="18" customHeight="1">
      <c r="A15" s="19">
        <v>9</v>
      </c>
      <c r="B15" s="2" t="s">
        <v>3791</v>
      </c>
      <c r="C15" s="1" t="s">
        <v>3792</v>
      </c>
      <c r="D15" s="3" t="s">
        <v>3793</v>
      </c>
      <c r="E15" s="1" t="s">
        <v>64</v>
      </c>
      <c r="F15" s="10" t="s">
        <v>3690</v>
      </c>
      <c r="G15" s="2">
        <v>15</v>
      </c>
      <c r="H15" s="6">
        <v>40</v>
      </c>
      <c r="I15" s="6">
        <v>100</v>
      </c>
      <c r="J15" s="6">
        <v>76</v>
      </c>
      <c r="K15" s="6">
        <v>92</v>
      </c>
      <c r="L15" s="6">
        <v>64</v>
      </c>
      <c r="M15" s="6">
        <v>82</v>
      </c>
      <c r="N15" s="6">
        <v>72</v>
      </c>
      <c r="O15" s="6">
        <v>64</v>
      </c>
      <c r="P15" s="1">
        <f t="shared" si="0"/>
        <v>590</v>
      </c>
      <c r="Q15" s="14">
        <f t="shared" si="1"/>
        <v>73.75</v>
      </c>
      <c r="R15" s="20">
        <f t="shared" si="2"/>
        <v>9</v>
      </c>
    </row>
    <row r="16" spans="1:18" ht="18" customHeight="1">
      <c r="A16" s="19">
        <v>10</v>
      </c>
      <c r="B16" s="2" t="s">
        <v>3695</v>
      </c>
      <c r="C16" s="1" t="s">
        <v>3696</v>
      </c>
      <c r="D16" s="3" t="s">
        <v>3697</v>
      </c>
      <c r="E16" s="1" t="s">
        <v>82</v>
      </c>
      <c r="F16" s="10" t="s">
        <v>3690</v>
      </c>
      <c r="G16" s="2">
        <v>13</v>
      </c>
      <c r="H16" s="6">
        <v>72</v>
      </c>
      <c r="I16" s="6">
        <v>100</v>
      </c>
      <c r="J16" s="6">
        <v>88</v>
      </c>
      <c r="K16" s="6">
        <v>72</v>
      </c>
      <c r="L16" s="6">
        <v>52</v>
      </c>
      <c r="M16" s="6">
        <v>84</v>
      </c>
      <c r="N16" s="6">
        <v>52</v>
      </c>
      <c r="O16" s="6">
        <v>68</v>
      </c>
      <c r="P16" s="1">
        <f t="shared" si="0"/>
        <v>588</v>
      </c>
      <c r="Q16" s="14">
        <f t="shared" si="1"/>
        <v>73.5</v>
      </c>
      <c r="R16" s="20">
        <f t="shared" si="2"/>
        <v>10</v>
      </c>
    </row>
    <row r="17" spans="1:18" ht="18" customHeight="1">
      <c r="A17" s="19">
        <v>11</v>
      </c>
      <c r="B17" s="2" t="s">
        <v>3759</v>
      </c>
      <c r="C17" s="1" t="s">
        <v>3760</v>
      </c>
      <c r="D17" s="3" t="s">
        <v>3666</v>
      </c>
      <c r="E17" s="1" t="s">
        <v>59</v>
      </c>
      <c r="F17" s="10" t="s">
        <v>3690</v>
      </c>
      <c r="G17" s="2">
        <v>14</v>
      </c>
      <c r="H17" s="6">
        <v>68</v>
      </c>
      <c r="I17" s="6">
        <v>100</v>
      </c>
      <c r="J17" s="6">
        <v>92</v>
      </c>
      <c r="K17" s="6">
        <v>72</v>
      </c>
      <c r="L17" s="6">
        <v>24</v>
      </c>
      <c r="M17" s="6">
        <v>52</v>
      </c>
      <c r="N17" s="6">
        <v>80</v>
      </c>
      <c r="O17" s="6">
        <v>94</v>
      </c>
      <c r="P17" s="1">
        <f t="shared" si="0"/>
        <v>582</v>
      </c>
      <c r="Q17" s="14">
        <f t="shared" si="1"/>
        <v>72.75</v>
      </c>
      <c r="R17" s="20">
        <f t="shared" si="2"/>
        <v>11</v>
      </c>
    </row>
    <row r="18" spans="1:18" ht="18" customHeight="1">
      <c r="A18" s="19">
        <v>12</v>
      </c>
      <c r="B18" s="2" t="s">
        <v>3808</v>
      </c>
      <c r="C18" s="1" t="s">
        <v>3809</v>
      </c>
      <c r="D18" s="3" t="s">
        <v>3810</v>
      </c>
      <c r="E18" s="1" t="s">
        <v>88</v>
      </c>
      <c r="F18" s="10" t="s">
        <v>3690</v>
      </c>
      <c r="G18" s="2">
        <v>15</v>
      </c>
      <c r="H18" s="6">
        <v>60</v>
      </c>
      <c r="I18" s="6">
        <v>100</v>
      </c>
      <c r="J18" s="6">
        <v>68</v>
      </c>
      <c r="K18" s="6">
        <v>72</v>
      </c>
      <c r="L18" s="6">
        <v>34</v>
      </c>
      <c r="M18" s="6">
        <v>72</v>
      </c>
      <c r="N18" s="6">
        <v>76</v>
      </c>
      <c r="O18" s="6">
        <v>76</v>
      </c>
      <c r="P18" s="1">
        <f t="shared" si="0"/>
        <v>558</v>
      </c>
      <c r="Q18" s="14">
        <f t="shared" si="1"/>
        <v>69.75</v>
      </c>
      <c r="R18" s="20">
        <f t="shared" si="2"/>
        <v>12</v>
      </c>
    </row>
    <row r="19" spans="1:18" ht="18" customHeight="1">
      <c r="A19" s="19">
        <v>13</v>
      </c>
      <c r="B19" s="2" t="s">
        <v>3774</v>
      </c>
      <c r="C19" s="1">
        <v>311220820</v>
      </c>
      <c r="D19" s="3" t="s">
        <v>3775</v>
      </c>
      <c r="E19" s="1" t="s">
        <v>74</v>
      </c>
      <c r="F19" s="10" t="s">
        <v>3690</v>
      </c>
      <c r="G19" s="2">
        <v>14</v>
      </c>
      <c r="H19" s="6">
        <v>44</v>
      </c>
      <c r="I19" s="6">
        <v>100</v>
      </c>
      <c r="J19" s="6">
        <v>100</v>
      </c>
      <c r="K19" s="6">
        <v>100</v>
      </c>
      <c r="L19" s="6">
        <v>24</v>
      </c>
      <c r="M19" s="6">
        <v>80</v>
      </c>
      <c r="N19" s="6">
        <v>72</v>
      </c>
      <c r="O19" s="6">
        <v>36</v>
      </c>
      <c r="P19" s="1">
        <f t="shared" si="0"/>
        <v>556</v>
      </c>
      <c r="Q19" s="14">
        <f t="shared" si="1"/>
        <v>69.5</v>
      </c>
      <c r="R19" s="20">
        <f t="shared" si="2"/>
        <v>13</v>
      </c>
    </row>
    <row r="20" spans="1:18" ht="18" customHeight="1">
      <c r="A20" s="19">
        <v>14</v>
      </c>
      <c r="B20" s="2" t="s">
        <v>3794</v>
      </c>
      <c r="C20" s="1">
        <v>311240440</v>
      </c>
      <c r="D20" s="3" t="s">
        <v>3795</v>
      </c>
      <c r="E20" s="1" t="s">
        <v>64</v>
      </c>
      <c r="F20" s="10" t="s">
        <v>3690</v>
      </c>
      <c r="G20" s="2">
        <v>15</v>
      </c>
      <c r="H20" s="6">
        <v>76</v>
      </c>
      <c r="I20" s="6">
        <v>100</v>
      </c>
      <c r="J20" s="6">
        <v>80</v>
      </c>
      <c r="K20" s="6">
        <v>76</v>
      </c>
      <c r="L20" s="6">
        <v>24</v>
      </c>
      <c r="M20" s="6">
        <v>60</v>
      </c>
      <c r="N20" s="6">
        <v>72</v>
      </c>
      <c r="O20" s="6">
        <v>60</v>
      </c>
      <c r="P20" s="1">
        <f t="shared" si="0"/>
        <v>548</v>
      </c>
      <c r="Q20" s="14">
        <f t="shared" si="1"/>
        <v>68.5</v>
      </c>
      <c r="R20" s="20">
        <f t="shared" si="2"/>
        <v>14</v>
      </c>
    </row>
    <row r="21" spans="1:18" ht="18" customHeight="1">
      <c r="A21" s="19">
        <v>15</v>
      </c>
      <c r="B21" s="2" t="s">
        <v>3822</v>
      </c>
      <c r="C21" s="1">
        <v>311220708</v>
      </c>
      <c r="D21" s="3" t="s">
        <v>3823</v>
      </c>
      <c r="E21" s="1" t="s">
        <v>67</v>
      </c>
      <c r="F21" s="10" t="s">
        <v>3690</v>
      </c>
      <c r="G21" s="2">
        <v>16</v>
      </c>
      <c r="H21" s="6">
        <v>60</v>
      </c>
      <c r="I21" s="6">
        <v>95</v>
      </c>
      <c r="J21" s="6">
        <v>68</v>
      </c>
      <c r="K21" s="6">
        <v>72</v>
      </c>
      <c r="L21" s="6">
        <v>52</v>
      </c>
      <c r="M21" s="6">
        <v>72</v>
      </c>
      <c r="N21" s="6">
        <v>60</v>
      </c>
      <c r="O21" s="6">
        <v>44</v>
      </c>
      <c r="P21" s="1">
        <f t="shared" si="0"/>
        <v>523</v>
      </c>
      <c r="Q21" s="14">
        <f t="shared" si="1"/>
        <v>65.375</v>
      </c>
      <c r="R21" s="20">
        <f t="shared" si="2"/>
        <v>15</v>
      </c>
    </row>
    <row r="22" spans="1:18" ht="18" customHeight="1">
      <c r="A22" s="19">
        <v>16</v>
      </c>
      <c r="B22" s="2" t="s">
        <v>3738</v>
      </c>
      <c r="C22" s="1" t="s">
        <v>3739</v>
      </c>
      <c r="D22" s="3" t="s">
        <v>3740</v>
      </c>
      <c r="E22" s="1" t="s">
        <v>72</v>
      </c>
      <c r="F22" s="10" t="s">
        <v>3690</v>
      </c>
      <c r="G22" s="2">
        <v>14</v>
      </c>
      <c r="H22" s="6">
        <v>80</v>
      </c>
      <c r="I22" s="6">
        <v>79</v>
      </c>
      <c r="J22" s="6">
        <v>88</v>
      </c>
      <c r="K22" s="6">
        <v>62</v>
      </c>
      <c r="L22" s="6">
        <v>28</v>
      </c>
      <c r="M22" s="6">
        <v>80</v>
      </c>
      <c r="N22" s="6">
        <v>76</v>
      </c>
      <c r="O22" s="6">
        <v>28</v>
      </c>
      <c r="P22" s="1">
        <f t="shared" si="0"/>
        <v>521</v>
      </c>
      <c r="Q22" s="14">
        <f t="shared" si="1"/>
        <v>65.125</v>
      </c>
      <c r="R22" s="20">
        <f t="shared" si="2"/>
        <v>16</v>
      </c>
    </row>
    <row r="23" spans="1:18" ht="18" customHeight="1">
      <c r="A23" s="19">
        <v>17</v>
      </c>
      <c r="B23" s="2" t="s">
        <v>3824</v>
      </c>
      <c r="C23" s="1" t="s">
        <v>3825</v>
      </c>
      <c r="D23" s="3" t="s">
        <v>3826</v>
      </c>
      <c r="E23" s="1" t="s">
        <v>67</v>
      </c>
      <c r="F23" s="10" t="s">
        <v>3690</v>
      </c>
      <c r="G23" s="2">
        <v>16</v>
      </c>
      <c r="H23" s="6">
        <v>72</v>
      </c>
      <c r="I23" s="6">
        <v>79</v>
      </c>
      <c r="J23" s="6">
        <v>94</v>
      </c>
      <c r="K23" s="6">
        <v>80</v>
      </c>
      <c r="L23" s="6">
        <v>36</v>
      </c>
      <c r="M23" s="6">
        <v>76</v>
      </c>
      <c r="N23" s="6">
        <v>68</v>
      </c>
      <c r="O23" s="6">
        <v>16</v>
      </c>
      <c r="P23" s="1">
        <f t="shared" si="0"/>
        <v>521</v>
      </c>
      <c r="Q23" s="14">
        <f t="shared" si="1"/>
        <v>65.125</v>
      </c>
      <c r="R23" s="20">
        <f t="shared" si="2"/>
        <v>16</v>
      </c>
    </row>
    <row r="24" spans="1:18" ht="18" customHeight="1">
      <c r="A24" s="19">
        <v>18</v>
      </c>
      <c r="B24" s="2" t="s">
        <v>3785</v>
      </c>
      <c r="C24" s="1">
        <v>311220561</v>
      </c>
      <c r="D24" s="3" t="s">
        <v>3786</v>
      </c>
      <c r="E24" s="1" t="s">
        <v>74</v>
      </c>
      <c r="F24" s="10" t="s">
        <v>3690</v>
      </c>
      <c r="G24" s="2">
        <v>15</v>
      </c>
      <c r="H24" s="6">
        <v>76</v>
      </c>
      <c r="I24" s="6">
        <v>100</v>
      </c>
      <c r="J24" s="6">
        <v>100</v>
      </c>
      <c r="K24" s="6">
        <v>59</v>
      </c>
      <c r="L24" s="6">
        <v>32</v>
      </c>
      <c r="M24" s="6">
        <v>52</v>
      </c>
      <c r="N24" s="6">
        <v>56</v>
      </c>
      <c r="O24" s="6">
        <v>44</v>
      </c>
      <c r="P24" s="1">
        <f t="shared" si="0"/>
        <v>519</v>
      </c>
      <c r="Q24" s="14">
        <f t="shared" si="1"/>
        <v>64.875</v>
      </c>
      <c r="R24" s="20">
        <f t="shared" si="2"/>
        <v>18</v>
      </c>
    </row>
    <row r="25" spans="1:18" ht="18" customHeight="1">
      <c r="A25" s="19">
        <v>19</v>
      </c>
      <c r="B25" s="2" t="s">
        <v>3688</v>
      </c>
      <c r="C25" s="1">
        <v>4232816</v>
      </c>
      <c r="D25" s="3" t="s">
        <v>3689</v>
      </c>
      <c r="E25" s="1" t="s">
        <v>69</v>
      </c>
      <c r="F25" s="10" t="s">
        <v>3690</v>
      </c>
      <c r="G25" s="2">
        <v>12</v>
      </c>
      <c r="H25" s="6">
        <v>68</v>
      </c>
      <c r="I25" s="6">
        <v>100</v>
      </c>
      <c r="J25" s="6">
        <v>60</v>
      </c>
      <c r="K25" s="6">
        <v>68</v>
      </c>
      <c r="L25" s="6">
        <v>36</v>
      </c>
      <c r="M25" s="6">
        <v>88</v>
      </c>
      <c r="N25" s="6">
        <v>60</v>
      </c>
      <c r="O25" s="6">
        <v>36</v>
      </c>
      <c r="P25" s="1">
        <f t="shared" si="0"/>
        <v>516</v>
      </c>
      <c r="Q25" s="14">
        <f t="shared" si="1"/>
        <v>64.5</v>
      </c>
      <c r="R25" s="20">
        <f t="shared" si="2"/>
        <v>19</v>
      </c>
    </row>
    <row r="26" spans="1:18" ht="18" customHeight="1">
      <c r="A26" s="19">
        <v>20</v>
      </c>
      <c r="B26" s="2" t="s">
        <v>3811</v>
      </c>
      <c r="C26" s="1">
        <v>311220733</v>
      </c>
      <c r="D26" s="3" t="s">
        <v>3812</v>
      </c>
      <c r="E26" s="1" t="s">
        <v>82</v>
      </c>
      <c r="F26" s="10" t="s">
        <v>3690</v>
      </c>
      <c r="G26" s="2">
        <v>15</v>
      </c>
      <c r="H26" s="6">
        <v>72</v>
      </c>
      <c r="I26" s="6">
        <v>68</v>
      </c>
      <c r="J26" s="6">
        <v>82</v>
      </c>
      <c r="K26" s="6">
        <v>64</v>
      </c>
      <c r="L26" s="6">
        <v>40</v>
      </c>
      <c r="M26" s="6">
        <v>72</v>
      </c>
      <c r="N26" s="6">
        <v>68</v>
      </c>
      <c r="O26" s="6">
        <v>48</v>
      </c>
      <c r="P26" s="1">
        <f t="shared" si="0"/>
        <v>514</v>
      </c>
      <c r="Q26" s="14">
        <f t="shared" si="1"/>
        <v>64.25</v>
      </c>
      <c r="R26" s="20">
        <f t="shared" si="2"/>
        <v>20</v>
      </c>
    </row>
    <row r="27" spans="1:18" ht="18" customHeight="1">
      <c r="A27" s="19">
        <v>21</v>
      </c>
      <c r="B27" s="2" t="s">
        <v>3776</v>
      </c>
      <c r="C27" s="1">
        <v>311220746</v>
      </c>
      <c r="D27" s="3" t="s">
        <v>3777</v>
      </c>
      <c r="E27" s="1" t="s">
        <v>74</v>
      </c>
      <c r="F27" s="10" t="s">
        <v>3690</v>
      </c>
      <c r="G27" s="2">
        <v>14</v>
      </c>
      <c r="H27" s="6">
        <v>52</v>
      </c>
      <c r="I27" s="6">
        <v>100</v>
      </c>
      <c r="J27" s="6">
        <v>100</v>
      </c>
      <c r="K27" s="6">
        <v>72</v>
      </c>
      <c r="L27" s="6">
        <v>36</v>
      </c>
      <c r="M27" s="6">
        <v>80</v>
      </c>
      <c r="N27" s="6">
        <v>36</v>
      </c>
      <c r="O27" s="6">
        <v>28</v>
      </c>
      <c r="P27" s="1">
        <f t="shared" si="0"/>
        <v>504</v>
      </c>
      <c r="Q27" s="14">
        <f t="shared" si="1"/>
        <v>63</v>
      </c>
      <c r="R27" s="20">
        <f t="shared" si="2"/>
        <v>21</v>
      </c>
    </row>
    <row r="28" spans="1:18" ht="18" customHeight="1">
      <c r="A28" s="19">
        <v>22</v>
      </c>
      <c r="B28" s="2" t="s">
        <v>3772</v>
      </c>
      <c r="C28" s="1">
        <v>311220744</v>
      </c>
      <c r="D28" s="3" t="s">
        <v>3773</v>
      </c>
      <c r="E28" s="1" t="s">
        <v>77</v>
      </c>
      <c r="F28" s="10" t="s">
        <v>3690</v>
      </c>
      <c r="G28" s="2">
        <v>14</v>
      </c>
      <c r="H28" s="6">
        <v>80</v>
      </c>
      <c r="I28" s="6">
        <v>84</v>
      </c>
      <c r="J28" s="6">
        <v>88</v>
      </c>
      <c r="K28" s="6">
        <v>48</v>
      </c>
      <c r="L28" s="6">
        <v>36</v>
      </c>
      <c r="M28" s="6">
        <v>56</v>
      </c>
      <c r="N28" s="6">
        <v>60</v>
      </c>
      <c r="O28" s="6">
        <v>32</v>
      </c>
      <c r="P28" s="1">
        <f t="shared" si="0"/>
        <v>484</v>
      </c>
      <c r="Q28" s="14">
        <f t="shared" si="1"/>
        <v>60.5</v>
      </c>
      <c r="R28" s="20">
        <f t="shared" si="2"/>
        <v>22</v>
      </c>
    </row>
    <row r="29" spans="1:18" ht="18" customHeight="1">
      <c r="A29" s="19">
        <v>23</v>
      </c>
      <c r="B29" s="2" t="s">
        <v>3803</v>
      </c>
      <c r="C29" s="1">
        <v>311220749</v>
      </c>
      <c r="D29" s="3" t="s">
        <v>3804</v>
      </c>
      <c r="E29" s="1" t="s">
        <v>88</v>
      </c>
      <c r="F29" s="10" t="s">
        <v>3690</v>
      </c>
      <c r="G29" s="2">
        <v>15</v>
      </c>
      <c r="H29" s="6">
        <v>48</v>
      </c>
      <c r="I29" s="6">
        <v>100</v>
      </c>
      <c r="J29" s="6">
        <v>68</v>
      </c>
      <c r="K29" s="6">
        <v>56</v>
      </c>
      <c r="L29" s="6">
        <v>40</v>
      </c>
      <c r="M29" s="6">
        <v>56</v>
      </c>
      <c r="N29" s="6">
        <v>60</v>
      </c>
      <c r="O29" s="6">
        <v>56</v>
      </c>
      <c r="P29" s="1">
        <f t="shared" si="0"/>
        <v>484</v>
      </c>
      <c r="Q29" s="14">
        <f t="shared" si="1"/>
        <v>60.5</v>
      </c>
      <c r="R29" s="20">
        <f t="shared" si="2"/>
        <v>22</v>
      </c>
    </row>
    <row r="30" spans="1:18" ht="18" customHeight="1">
      <c r="A30" s="19">
        <v>24</v>
      </c>
      <c r="B30" s="2" t="s">
        <v>3741</v>
      </c>
      <c r="C30" s="1">
        <v>311220578</v>
      </c>
      <c r="D30" s="3" t="s">
        <v>3742</v>
      </c>
      <c r="E30" s="1" t="s">
        <v>72</v>
      </c>
      <c r="F30" s="10" t="s">
        <v>3690</v>
      </c>
      <c r="G30" s="2">
        <v>14</v>
      </c>
      <c r="H30" s="6">
        <v>56</v>
      </c>
      <c r="I30" s="6">
        <v>84</v>
      </c>
      <c r="J30" s="6">
        <v>88</v>
      </c>
      <c r="K30" s="6">
        <v>64</v>
      </c>
      <c r="L30" s="6">
        <v>24</v>
      </c>
      <c r="M30" s="6">
        <v>60</v>
      </c>
      <c r="N30" s="6">
        <v>60</v>
      </c>
      <c r="O30" s="6">
        <v>44</v>
      </c>
      <c r="P30" s="1">
        <f t="shared" si="0"/>
        <v>480</v>
      </c>
      <c r="Q30" s="14">
        <f t="shared" si="1"/>
        <v>60</v>
      </c>
      <c r="R30" s="20">
        <f t="shared" si="2"/>
        <v>24</v>
      </c>
    </row>
    <row r="31" spans="1:18" ht="18" customHeight="1">
      <c r="A31" s="19">
        <v>25</v>
      </c>
      <c r="B31" s="2" t="s">
        <v>3730</v>
      </c>
      <c r="C31" s="1" t="s">
        <v>3731</v>
      </c>
      <c r="D31" s="3" t="s">
        <v>3732</v>
      </c>
      <c r="E31" s="1" t="s">
        <v>57</v>
      </c>
      <c r="F31" s="10" t="s">
        <v>3690</v>
      </c>
      <c r="G31" s="2">
        <v>13</v>
      </c>
      <c r="H31" s="6">
        <v>44</v>
      </c>
      <c r="I31" s="6">
        <v>79</v>
      </c>
      <c r="J31" s="6">
        <v>80</v>
      </c>
      <c r="K31" s="6">
        <v>60</v>
      </c>
      <c r="L31" s="6">
        <v>44</v>
      </c>
      <c r="M31" s="6">
        <v>86</v>
      </c>
      <c r="N31" s="6">
        <v>48</v>
      </c>
      <c r="O31" s="6">
        <v>32</v>
      </c>
      <c r="P31" s="1">
        <f t="shared" si="0"/>
        <v>473</v>
      </c>
      <c r="Q31" s="14">
        <f t="shared" si="1"/>
        <v>59.125</v>
      </c>
      <c r="R31" s="20">
        <f t="shared" si="2"/>
        <v>25</v>
      </c>
    </row>
    <row r="32" spans="1:18" ht="18" customHeight="1">
      <c r="A32" s="19">
        <v>26</v>
      </c>
      <c r="B32" s="2" t="s">
        <v>3799</v>
      </c>
      <c r="C32" s="1" t="s">
        <v>3800</v>
      </c>
      <c r="D32" s="3" t="s">
        <v>3801</v>
      </c>
      <c r="E32" s="1" t="s">
        <v>90</v>
      </c>
      <c r="F32" s="10" t="s">
        <v>3690</v>
      </c>
      <c r="G32" s="2">
        <v>15</v>
      </c>
      <c r="H32" s="6">
        <v>68</v>
      </c>
      <c r="I32" s="6">
        <v>89</v>
      </c>
      <c r="J32" s="6">
        <v>68</v>
      </c>
      <c r="K32" s="6">
        <v>64</v>
      </c>
      <c r="L32" s="6">
        <v>24</v>
      </c>
      <c r="M32" s="6">
        <v>72</v>
      </c>
      <c r="N32" s="6">
        <v>68</v>
      </c>
      <c r="O32" s="6">
        <v>16</v>
      </c>
      <c r="P32" s="1">
        <f t="shared" si="0"/>
        <v>469</v>
      </c>
      <c r="Q32" s="14">
        <f t="shared" si="1"/>
        <v>58.625</v>
      </c>
      <c r="R32" s="20">
        <f t="shared" si="2"/>
        <v>26</v>
      </c>
    </row>
    <row r="33" spans="1:18" ht="18" customHeight="1">
      <c r="A33" s="19">
        <v>27</v>
      </c>
      <c r="B33" s="2" t="s">
        <v>3840</v>
      </c>
      <c r="C33" s="1">
        <v>311220642</v>
      </c>
      <c r="D33" s="3" t="s">
        <v>3841</v>
      </c>
      <c r="E33" s="1" t="s">
        <v>68</v>
      </c>
      <c r="F33" s="10" t="s">
        <v>3690</v>
      </c>
      <c r="G33" s="2">
        <v>16</v>
      </c>
      <c r="H33" s="6">
        <v>56</v>
      </c>
      <c r="I33" s="6">
        <v>100</v>
      </c>
      <c r="J33" s="6">
        <v>84</v>
      </c>
      <c r="K33" s="6">
        <v>56</v>
      </c>
      <c r="L33" s="6">
        <v>20</v>
      </c>
      <c r="M33" s="6">
        <v>44</v>
      </c>
      <c r="N33" s="6">
        <v>60</v>
      </c>
      <c r="O33" s="6">
        <v>48</v>
      </c>
      <c r="P33" s="1">
        <f t="shared" si="0"/>
        <v>468</v>
      </c>
      <c r="Q33" s="14">
        <f t="shared" si="1"/>
        <v>58.5</v>
      </c>
      <c r="R33" s="20">
        <f t="shared" si="2"/>
        <v>27</v>
      </c>
    </row>
    <row r="34" spans="1:18" ht="18" customHeight="1">
      <c r="A34" s="19">
        <v>28</v>
      </c>
      <c r="B34" s="2" t="s">
        <v>3743</v>
      </c>
      <c r="C34" s="1" t="s">
        <v>3744</v>
      </c>
      <c r="D34" s="3" t="s">
        <v>3745</v>
      </c>
      <c r="E34" s="1" t="s">
        <v>3746</v>
      </c>
      <c r="F34" s="10" t="s">
        <v>3690</v>
      </c>
      <c r="G34" s="2">
        <v>14</v>
      </c>
      <c r="H34" s="6">
        <v>64</v>
      </c>
      <c r="I34" s="6">
        <v>68</v>
      </c>
      <c r="J34" s="6">
        <v>84</v>
      </c>
      <c r="K34" s="6">
        <v>40</v>
      </c>
      <c r="L34" s="6">
        <v>24</v>
      </c>
      <c r="M34" s="6">
        <v>40</v>
      </c>
      <c r="N34" s="6">
        <v>84</v>
      </c>
      <c r="O34" s="6">
        <v>44</v>
      </c>
      <c r="P34" s="1">
        <f t="shared" si="0"/>
        <v>448</v>
      </c>
      <c r="Q34" s="14">
        <f t="shared" si="1"/>
        <v>56</v>
      </c>
      <c r="R34" s="20">
        <f t="shared" si="2"/>
        <v>28</v>
      </c>
    </row>
    <row r="35" spans="1:18" ht="18" customHeight="1">
      <c r="A35" s="19">
        <v>29</v>
      </c>
      <c r="B35" s="2" t="s">
        <v>3711</v>
      </c>
      <c r="C35" s="1">
        <v>311230088</v>
      </c>
      <c r="D35" s="3" t="s">
        <v>3712</v>
      </c>
      <c r="E35" s="1" t="s">
        <v>79</v>
      </c>
      <c r="F35" s="10" t="s">
        <v>3690</v>
      </c>
      <c r="G35" s="2">
        <v>13</v>
      </c>
      <c r="H35" s="6">
        <v>48</v>
      </c>
      <c r="I35" s="6">
        <v>100</v>
      </c>
      <c r="J35" s="6">
        <v>84</v>
      </c>
      <c r="K35" s="6">
        <v>36</v>
      </c>
      <c r="L35" s="6">
        <v>36</v>
      </c>
      <c r="M35" s="6">
        <v>48</v>
      </c>
      <c r="N35" s="6">
        <v>56</v>
      </c>
      <c r="O35" s="6">
        <v>32</v>
      </c>
      <c r="P35" s="1">
        <f t="shared" si="0"/>
        <v>440</v>
      </c>
      <c r="Q35" s="14">
        <f t="shared" si="1"/>
        <v>55</v>
      </c>
      <c r="R35" s="20">
        <f t="shared" si="2"/>
        <v>29</v>
      </c>
    </row>
    <row r="36" spans="1:18" ht="18" customHeight="1">
      <c r="A36" s="19">
        <v>30</v>
      </c>
      <c r="B36" s="2" t="s">
        <v>3693</v>
      </c>
      <c r="C36" s="1">
        <v>311220607</v>
      </c>
      <c r="D36" s="3" t="s">
        <v>3694</v>
      </c>
      <c r="E36" s="1" t="s">
        <v>84</v>
      </c>
      <c r="F36" s="10" t="s">
        <v>3690</v>
      </c>
      <c r="G36" s="2">
        <v>12</v>
      </c>
      <c r="H36" s="6">
        <v>52</v>
      </c>
      <c r="I36" s="6">
        <v>100</v>
      </c>
      <c r="J36" s="6">
        <v>72</v>
      </c>
      <c r="K36" s="6">
        <v>44</v>
      </c>
      <c r="L36" s="6">
        <v>28</v>
      </c>
      <c r="M36" s="6">
        <v>52</v>
      </c>
      <c r="N36" s="6">
        <v>52</v>
      </c>
      <c r="O36" s="6">
        <v>40</v>
      </c>
      <c r="P36" s="1">
        <f t="shared" si="0"/>
        <v>440</v>
      </c>
      <c r="Q36" s="14">
        <f t="shared" si="1"/>
        <v>55</v>
      </c>
      <c r="R36" s="20">
        <f t="shared" si="2"/>
        <v>29</v>
      </c>
    </row>
    <row r="37" spans="1:18" ht="18" customHeight="1">
      <c r="A37" s="19">
        <v>31</v>
      </c>
      <c r="B37" s="2" t="s">
        <v>3831</v>
      </c>
      <c r="C37" s="1" t="s">
        <v>3832</v>
      </c>
      <c r="D37" s="3" t="s">
        <v>3833</v>
      </c>
      <c r="E37" s="1" t="s">
        <v>353</v>
      </c>
      <c r="F37" s="10" t="s">
        <v>3690</v>
      </c>
      <c r="G37" s="2">
        <v>16</v>
      </c>
      <c r="H37" s="6">
        <v>48</v>
      </c>
      <c r="I37" s="6">
        <v>100</v>
      </c>
      <c r="J37" s="6">
        <v>72</v>
      </c>
      <c r="K37" s="6">
        <v>68</v>
      </c>
      <c r="L37" s="6">
        <v>12</v>
      </c>
      <c r="M37" s="6">
        <v>52</v>
      </c>
      <c r="N37" s="6">
        <v>64</v>
      </c>
      <c r="O37" s="6">
        <v>20</v>
      </c>
      <c r="P37" s="1">
        <f t="shared" si="0"/>
        <v>436</v>
      </c>
      <c r="Q37" s="14">
        <f t="shared" si="1"/>
        <v>54.5</v>
      </c>
      <c r="R37" s="20">
        <f t="shared" si="2"/>
        <v>31</v>
      </c>
    </row>
    <row r="38" spans="1:18" ht="18" customHeight="1">
      <c r="A38" s="19">
        <v>32</v>
      </c>
      <c r="B38" s="2" t="s">
        <v>3787</v>
      </c>
      <c r="C38" s="1">
        <v>311220696</v>
      </c>
      <c r="D38" s="3" t="s">
        <v>3788</v>
      </c>
      <c r="E38" s="1" t="s">
        <v>74</v>
      </c>
      <c r="F38" s="10" t="s">
        <v>3690</v>
      </c>
      <c r="G38" s="2">
        <v>15</v>
      </c>
      <c r="H38" s="6">
        <v>60</v>
      </c>
      <c r="I38" s="6">
        <v>100</v>
      </c>
      <c r="J38" s="6">
        <v>72</v>
      </c>
      <c r="K38" s="6">
        <v>36</v>
      </c>
      <c r="L38" s="6">
        <v>28</v>
      </c>
      <c r="M38" s="6">
        <v>32</v>
      </c>
      <c r="N38" s="6">
        <v>76</v>
      </c>
      <c r="O38" s="6">
        <v>28</v>
      </c>
      <c r="P38" s="1">
        <f t="shared" si="0"/>
        <v>432</v>
      </c>
      <c r="Q38" s="14">
        <f t="shared" si="1"/>
        <v>54</v>
      </c>
      <c r="R38" s="20">
        <f t="shared" si="2"/>
        <v>32</v>
      </c>
    </row>
    <row r="39" spans="1:18" ht="18" customHeight="1">
      <c r="A39" s="19">
        <v>33</v>
      </c>
      <c r="B39" s="2" t="s">
        <v>3834</v>
      </c>
      <c r="C39" s="1">
        <v>311220717</v>
      </c>
      <c r="D39" s="3" t="s">
        <v>3835</v>
      </c>
      <c r="E39" s="1" t="s">
        <v>353</v>
      </c>
      <c r="F39" s="10" t="s">
        <v>3690</v>
      </c>
      <c r="G39" s="2">
        <v>16</v>
      </c>
      <c r="H39" s="6">
        <v>48</v>
      </c>
      <c r="I39" s="6">
        <v>100</v>
      </c>
      <c r="J39" s="6">
        <v>80</v>
      </c>
      <c r="K39" s="6">
        <v>44</v>
      </c>
      <c r="L39" s="6">
        <v>12</v>
      </c>
      <c r="M39" s="6">
        <v>56</v>
      </c>
      <c r="N39" s="6">
        <v>72</v>
      </c>
      <c r="O39" s="6">
        <v>20</v>
      </c>
      <c r="P39" s="1">
        <f t="shared" ref="P39:P70" si="3">SUBTOTAL(9,H39:O39)</f>
        <v>432</v>
      </c>
      <c r="Q39" s="14">
        <f t="shared" ref="Q39:Q70" si="4">P39/8</f>
        <v>54</v>
      </c>
      <c r="R39" s="20">
        <f t="shared" ref="R39:R70" si="5">RANK(Q39,Q$7:Q$274,0)</f>
        <v>32</v>
      </c>
    </row>
    <row r="40" spans="1:18" ht="18" customHeight="1">
      <c r="A40" s="19">
        <v>34</v>
      </c>
      <c r="B40" s="2" t="s">
        <v>3726</v>
      </c>
      <c r="C40" s="1">
        <v>311220742</v>
      </c>
      <c r="D40" s="3" t="s">
        <v>3727</v>
      </c>
      <c r="E40" s="1" t="s">
        <v>57</v>
      </c>
      <c r="F40" s="10" t="s">
        <v>3690</v>
      </c>
      <c r="G40" s="2">
        <v>13</v>
      </c>
      <c r="H40" s="6">
        <v>36</v>
      </c>
      <c r="I40" s="6">
        <v>68</v>
      </c>
      <c r="J40" s="6">
        <v>92</v>
      </c>
      <c r="K40" s="6">
        <v>56</v>
      </c>
      <c r="L40" s="6">
        <v>24</v>
      </c>
      <c r="M40" s="6">
        <v>68</v>
      </c>
      <c r="N40" s="6">
        <v>52</v>
      </c>
      <c r="O40" s="6">
        <v>32</v>
      </c>
      <c r="P40" s="1">
        <f t="shared" si="3"/>
        <v>428</v>
      </c>
      <c r="Q40" s="14">
        <f t="shared" si="4"/>
        <v>53.5</v>
      </c>
      <c r="R40" s="20">
        <f t="shared" si="5"/>
        <v>34</v>
      </c>
    </row>
    <row r="41" spans="1:18" ht="18" customHeight="1">
      <c r="A41" s="19">
        <v>35</v>
      </c>
      <c r="B41" s="2" t="s">
        <v>3827</v>
      </c>
      <c r="C41" s="1">
        <v>311220598</v>
      </c>
      <c r="D41" s="3" t="s">
        <v>3828</v>
      </c>
      <c r="E41" s="1" t="s">
        <v>67</v>
      </c>
      <c r="F41" s="10" t="s">
        <v>3690</v>
      </c>
      <c r="G41" s="2">
        <v>16</v>
      </c>
      <c r="H41" s="6">
        <v>52</v>
      </c>
      <c r="I41" s="6">
        <v>100</v>
      </c>
      <c r="J41" s="6">
        <v>92</v>
      </c>
      <c r="K41" s="6">
        <v>32</v>
      </c>
      <c r="L41" s="6">
        <v>24</v>
      </c>
      <c r="M41" s="6">
        <v>36</v>
      </c>
      <c r="N41" s="6">
        <v>60</v>
      </c>
      <c r="O41" s="6">
        <v>32</v>
      </c>
      <c r="P41" s="1">
        <f t="shared" si="3"/>
        <v>428</v>
      </c>
      <c r="Q41" s="14">
        <f t="shared" si="4"/>
        <v>53.5</v>
      </c>
      <c r="R41" s="20">
        <f t="shared" si="5"/>
        <v>34</v>
      </c>
    </row>
    <row r="42" spans="1:18" ht="18" customHeight="1">
      <c r="A42" s="19">
        <v>36</v>
      </c>
      <c r="B42" s="2" t="s">
        <v>3698</v>
      </c>
      <c r="C42" s="1" t="s">
        <v>3699</v>
      </c>
      <c r="D42" s="3" t="s">
        <v>3700</v>
      </c>
      <c r="E42" s="1" t="s">
        <v>69</v>
      </c>
      <c r="F42" s="10" t="s">
        <v>3690</v>
      </c>
      <c r="G42" s="2">
        <v>13</v>
      </c>
      <c r="H42" s="6">
        <v>32</v>
      </c>
      <c r="I42" s="6">
        <v>89</v>
      </c>
      <c r="J42" s="6">
        <v>88</v>
      </c>
      <c r="K42" s="6">
        <v>40</v>
      </c>
      <c r="L42" s="6">
        <v>28</v>
      </c>
      <c r="M42" s="6">
        <v>52</v>
      </c>
      <c r="N42" s="6">
        <v>60</v>
      </c>
      <c r="O42" s="6">
        <v>36</v>
      </c>
      <c r="P42" s="1">
        <f t="shared" si="3"/>
        <v>425</v>
      </c>
      <c r="Q42" s="14">
        <f t="shared" si="4"/>
        <v>53.125</v>
      </c>
      <c r="R42" s="20">
        <f t="shared" si="5"/>
        <v>36</v>
      </c>
    </row>
    <row r="43" spans="1:18" ht="18" customHeight="1">
      <c r="A43" s="19">
        <v>37</v>
      </c>
      <c r="B43" s="2" t="s">
        <v>3756</v>
      </c>
      <c r="C43" s="1" t="s">
        <v>3757</v>
      </c>
      <c r="D43" s="3" t="s">
        <v>3758</v>
      </c>
      <c r="E43" s="1" t="s">
        <v>59</v>
      </c>
      <c r="F43" s="10" t="s">
        <v>3690</v>
      </c>
      <c r="G43" s="2">
        <v>14</v>
      </c>
      <c r="H43" s="6">
        <v>64</v>
      </c>
      <c r="I43" s="6">
        <v>100</v>
      </c>
      <c r="J43" s="6">
        <v>32</v>
      </c>
      <c r="K43" s="6">
        <v>60</v>
      </c>
      <c r="L43" s="6">
        <v>28</v>
      </c>
      <c r="M43" s="6">
        <v>84</v>
      </c>
      <c r="N43" s="6">
        <v>32</v>
      </c>
      <c r="O43" s="6">
        <v>20</v>
      </c>
      <c r="P43" s="1">
        <f t="shared" si="3"/>
        <v>420</v>
      </c>
      <c r="Q43" s="14">
        <f t="shared" si="4"/>
        <v>52.5</v>
      </c>
      <c r="R43" s="20">
        <f t="shared" si="5"/>
        <v>37</v>
      </c>
    </row>
    <row r="44" spans="1:18" ht="18" customHeight="1">
      <c r="A44" s="19">
        <v>38</v>
      </c>
      <c r="B44" s="2" t="s">
        <v>3747</v>
      </c>
      <c r="C44" s="1">
        <v>4233046</v>
      </c>
      <c r="D44" s="3" t="s">
        <v>3748</v>
      </c>
      <c r="E44" s="1" t="s">
        <v>58</v>
      </c>
      <c r="F44" s="10" t="s">
        <v>3690</v>
      </c>
      <c r="G44" s="2">
        <v>14</v>
      </c>
      <c r="H44" s="6">
        <v>48</v>
      </c>
      <c r="I44" s="6">
        <v>84</v>
      </c>
      <c r="J44" s="6">
        <v>80</v>
      </c>
      <c r="K44" s="6">
        <v>40</v>
      </c>
      <c r="L44" s="6">
        <v>32</v>
      </c>
      <c r="M44" s="6">
        <v>44</v>
      </c>
      <c r="N44" s="6">
        <v>60</v>
      </c>
      <c r="O44" s="6">
        <v>28</v>
      </c>
      <c r="P44" s="1">
        <f t="shared" si="3"/>
        <v>416</v>
      </c>
      <c r="Q44" s="14">
        <f t="shared" si="4"/>
        <v>52</v>
      </c>
      <c r="R44" s="20">
        <f t="shared" si="5"/>
        <v>38</v>
      </c>
    </row>
    <row r="45" spans="1:18" ht="18" customHeight="1">
      <c r="A45" s="19">
        <v>39</v>
      </c>
      <c r="B45" s="2" t="s">
        <v>3796</v>
      </c>
      <c r="C45" s="1" t="s">
        <v>3797</v>
      </c>
      <c r="D45" s="3" t="s">
        <v>3798</v>
      </c>
      <c r="E45" s="1" t="s">
        <v>78</v>
      </c>
      <c r="F45" s="10" t="s">
        <v>3690</v>
      </c>
      <c r="G45" s="2">
        <v>15</v>
      </c>
      <c r="H45" s="6">
        <v>28</v>
      </c>
      <c r="I45" s="6">
        <v>100</v>
      </c>
      <c r="J45" s="6">
        <v>72</v>
      </c>
      <c r="K45" s="6">
        <v>68</v>
      </c>
      <c r="L45" s="6">
        <v>36</v>
      </c>
      <c r="M45" s="6">
        <v>32</v>
      </c>
      <c r="N45" s="6">
        <v>52</v>
      </c>
      <c r="O45" s="6">
        <v>28</v>
      </c>
      <c r="P45" s="1">
        <f t="shared" si="3"/>
        <v>416</v>
      </c>
      <c r="Q45" s="14">
        <f t="shared" si="4"/>
        <v>52</v>
      </c>
      <c r="R45" s="20">
        <f t="shared" si="5"/>
        <v>38</v>
      </c>
    </row>
    <row r="46" spans="1:18" ht="18" customHeight="1">
      <c r="A46" s="19">
        <v>40</v>
      </c>
      <c r="B46" s="2" t="s">
        <v>3728</v>
      </c>
      <c r="C46" s="1">
        <v>311220711</v>
      </c>
      <c r="D46" s="3" t="s">
        <v>3729</v>
      </c>
      <c r="E46" s="1" t="s">
        <v>58</v>
      </c>
      <c r="F46" s="10" t="s">
        <v>3690</v>
      </c>
      <c r="G46" s="2">
        <v>13</v>
      </c>
      <c r="H46" s="6">
        <v>32</v>
      </c>
      <c r="I46" s="6">
        <v>100</v>
      </c>
      <c r="J46" s="6">
        <v>88</v>
      </c>
      <c r="K46" s="6">
        <v>20</v>
      </c>
      <c r="L46" s="6">
        <v>32</v>
      </c>
      <c r="M46" s="6">
        <v>44</v>
      </c>
      <c r="N46" s="6">
        <v>64</v>
      </c>
      <c r="O46" s="6">
        <v>32</v>
      </c>
      <c r="P46" s="1">
        <f t="shared" si="3"/>
        <v>412</v>
      </c>
      <c r="Q46" s="14">
        <f t="shared" si="4"/>
        <v>51.5</v>
      </c>
      <c r="R46" s="20">
        <f t="shared" si="5"/>
        <v>40</v>
      </c>
    </row>
    <row r="47" spans="1:18" ht="18" customHeight="1">
      <c r="A47" s="19">
        <v>41</v>
      </c>
      <c r="B47" s="2" t="s">
        <v>3706</v>
      </c>
      <c r="C47" s="1">
        <v>311220655</v>
      </c>
      <c r="D47" s="3" t="s">
        <v>3707</v>
      </c>
      <c r="E47" s="1" t="s">
        <v>55</v>
      </c>
      <c r="F47" s="10" t="s">
        <v>3690</v>
      </c>
      <c r="G47" s="2">
        <v>13</v>
      </c>
      <c r="H47" s="6">
        <v>36</v>
      </c>
      <c r="I47" s="6">
        <v>100</v>
      </c>
      <c r="J47" s="6">
        <v>52</v>
      </c>
      <c r="K47" s="6">
        <v>44</v>
      </c>
      <c r="L47" s="6">
        <v>32</v>
      </c>
      <c r="M47" s="6">
        <v>52</v>
      </c>
      <c r="N47" s="6">
        <v>48</v>
      </c>
      <c r="O47" s="6">
        <v>32</v>
      </c>
      <c r="P47" s="1">
        <f t="shared" si="3"/>
        <v>396</v>
      </c>
      <c r="Q47" s="14">
        <f t="shared" si="4"/>
        <v>49.5</v>
      </c>
      <c r="R47" s="20">
        <f t="shared" si="5"/>
        <v>41</v>
      </c>
    </row>
    <row r="48" spans="1:18" ht="18" customHeight="1">
      <c r="A48" s="19">
        <v>42</v>
      </c>
      <c r="B48" s="2" t="s">
        <v>3780</v>
      </c>
      <c r="C48" s="1" t="s">
        <v>3781</v>
      </c>
      <c r="D48" s="3" t="s">
        <v>3782</v>
      </c>
      <c r="E48" s="1" t="s">
        <v>74</v>
      </c>
      <c r="F48" s="10" t="s">
        <v>3690</v>
      </c>
      <c r="G48" s="2">
        <v>15</v>
      </c>
      <c r="H48" s="6">
        <v>48</v>
      </c>
      <c r="I48" s="6">
        <v>100</v>
      </c>
      <c r="J48" s="6">
        <v>76</v>
      </c>
      <c r="K48" s="6">
        <v>40</v>
      </c>
      <c r="L48" s="6">
        <v>28</v>
      </c>
      <c r="M48" s="6">
        <v>44</v>
      </c>
      <c r="N48" s="6">
        <v>40</v>
      </c>
      <c r="O48" s="6">
        <v>16</v>
      </c>
      <c r="P48" s="1">
        <f t="shared" si="3"/>
        <v>392</v>
      </c>
      <c r="Q48" s="14">
        <f t="shared" si="4"/>
        <v>49</v>
      </c>
      <c r="R48" s="20">
        <f t="shared" si="5"/>
        <v>42</v>
      </c>
    </row>
    <row r="49" spans="1:18" ht="18" customHeight="1">
      <c r="A49" s="19">
        <v>43</v>
      </c>
      <c r="B49" s="2" t="s">
        <v>3778</v>
      </c>
      <c r="C49" s="1">
        <v>311220609</v>
      </c>
      <c r="D49" s="3" t="s">
        <v>3779</v>
      </c>
      <c r="E49" s="1" t="s">
        <v>74</v>
      </c>
      <c r="F49" s="10" t="s">
        <v>3690</v>
      </c>
      <c r="G49" s="2">
        <v>15</v>
      </c>
      <c r="H49" s="6">
        <v>52</v>
      </c>
      <c r="I49" s="6">
        <v>100</v>
      </c>
      <c r="J49" s="6">
        <v>64</v>
      </c>
      <c r="K49" s="6">
        <v>56</v>
      </c>
      <c r="L49" s="6">
        <v>20</v>
      </c>
      <c r="M49" s="6">
        <v>16</v>
      </c>
      <c r="N49" s="6">
        <v>52</v>
      </c>
      <c r="O49" s="6">
        <v>20</v>
      </c>
      <c r="P49" s="1">
        <f t="shared" si="3"/>
        <v>380</v>
      </c>
      <c r="Q49" s="14">
        <f t="shared" si="4"/>
        <v>47.5</v>
      </c>
      <c r="R49" s="20">
        <f t="shared" si="5"/>
        <v>43</v>
      </c>
    </row>
    <row r="50" spans="1:18" ht="18" customHeight="1">
      <c r="A50" s="19">
        <v>44</v>
      </c>
      <c r="B50" s="2" t="s">
        <v>3818</v>
      </c>
      <c r="C50" s="1" t="s">
        <v>3819</v>
      </c>
      <c r="D50" s="3" t="s">
        <v>3820</v>
      </c>
      <c r="E50" s="1" t="s">
        <v>3821</v>
      </c>
      <c r="F50" s="10" t="s">
        <v>3690</v>
      </c>
      <c r="G50" s="2">
        <v>15</v>
      </c>
      <c r="H50" s="6">
        <v>28</v>
      </c>
      <c r="I50" s="6">
        <v>100</v>
      </c>
      <c r="J50" s="6">
        <v>92</v>
      </c>
      <c r="K50" s="6">
        <v>24</v>
      </c>
      <c r="L50" s="6">
        <v>20</v>
      </c>
      <c r="M50" s="6">
        <v>36</v>
      </c>
      <c r="N50" s="6">
        <v>64</v>
      </c>
      <c r="O50" s="6">
        <v>16</v>
      </c>
      <c r="P50" s="1">
        <f t="shared" si="3"/>
        <v>380</v>
      </c>
      <c r="Q50" s="14">
        <f t="shared" si="4"/>
        <v>47.5</v>
      </c>
      <c r="R50" s="20">
        <f t="shared" si="5"/>
        <v>43</v>
      </c>
    </row>
    <row r="51" spans="1:18" ht="18" customHeight="1">
      <c r="A51" s="19">
        <v>45</v>
      </c>
      <c r="B51" s="2" t="s">
        <v>3842</v>
      </c>
      <c r="C51" s="1">
        <v>4232825</v>
      </c>
      <c r="D51" s="3" t="s">
        <v>3843</v>
      </c>
      <c r="E51" s="1" t="s">
        <v>68</v>
      </c>
      <c r="F51" s="10" t="s">
        <v>3690</v>
      </c>
      <c r="G51" s="2">
        <v>16</v>
      </c>
      <c r="H51" s="6">
        <v>44</v>
      </c>
      <c r="I51" s="6">
        <v>84</v>
      </c>
      <c r="J51" s="6">
        <v>92</v>
      </c>
      <c r="K51" s="6">
        <v>28</v>
      </c>
      <c r="L51" s="6">
        <v>28</v>
      </c>
      <c r="M51" s="6">
        <v>12</v>
      </c>
      <c r="N51" s="6">
        <v>76</v>
      </c>
      <c r="O51" s="6">
        <v>16</v>
      </c>
      <c r="P51" s="1">
        <f t="shared" si="3"/>
        <v>380</v>
      </c>
      <c r="Q51" s="14">
        <f t="shared" si="4"/>
        <v>47.5</v>
      </c>
      <c r="R51" s="20">
        <f t="shared" si="5"/>
        <v>43</v>
      </c>
    </row>
    <row r="52" spans="1:18" ht="18" customHeight="1">
      <c r="A52" s="19">
        <v>46</v>
      </c>
      <c r="B52" s="2" t="s">
        <v>3715</v>
      </c>
      <c r="C52" s="1">
        <v>311220657</v>
      </c>
      <c r="D52" s="3" t="s">
        <v>3716</v>
      </c>
      <c r="E52" s="1" t="s">
        <v>70</v>
      </c>
      <c r="F52" s="10" t="s">
        <v>3690</v>
      </c>
      <c r="G52" s="2">
        <v>13</v>
      </c>
      <c r="H52" s="6">
        <v>55</v>
      </c>
      <c r="I52" s="6">
        <v>100</v>
      </c>
      <c r="J52" s="6">
        <v>76</v>
      </c>
      <c r="K52" s="6">
        <v>28</v>
      </c>
      <c r="L52" s="6">
        <v>20</v>
      </c>
      <c r="M52" s="6">
        <v>28</v>
      </c>
      <c r="N52" s="6">
        <v>32</v>
      </c>
      <c r="O52" s="6">
        <v>20</v>
      </c>
      <c r="P52" s="1">
        <f t="shared" si="3"/>
        <v>359</v>
      </c>
      <c r="Q52" s="14">
        <f t="shared" si="4"/>
        <v>44.875</v>
      </c>
      <c r="R52" s="20">
        <f t="shared" si="5"/>
        <v>46</v>
      </c>
    </row>
    <row r="53" spans="1:18" ht="18" customHeight="1">
      <c r="A53" s="19">
        <v>47</v>
      </c>
      <c r="B53" s="2" t="s">
        <v>3701</v>
      </c>
      <c r="C53" s="1" t="s">
        <v>3702</v>
      </c>
      <c r="D53" s="3" t="s">
        <v>3703</v>
      </c>
      <c r="E53" s="1" t="s">
        <v>69</v>
      </c>
      <c r="F53" s="10" t="s">
        <v>3690</v>
      </c>
      <c r="G53" s="2">
        <v>13</v>
      </c>
      <c r="H53" s="6">
        <v>52</v>
      </c>
      <c r="I53" s="6">
        <v>89</v>
      </c>
      <c r="J53" s="6">
        <v>36</v>
      </c>
      <c r="K53" s="6">
        <v>12</v>
      </c>
      <c r="L53" s="6">
        <v>24</v>
      </c>
      <c r="M53" s="6">
        <v>60</v>
      </c>
      <c r="N53" s="6">
        <v>60</v>
      </c>
      <c r="O53" s="6">
        <v>24</v>
      </c>
      <c r="P53" s="1">
        <f t="shared" si="3"/>
        <v>357</v>
      </c>
      <c r="Q53" s="14">
        <f t="shared" si="4"/>
        <v>44.625</v>
      </c>
      <c r="R53" s="20">
        <f t="shared" si="5"/>
        <v>47</v>
      </c>
    </row>
    <row r="54" spans="1:18" ht="18" customHeight="1">
      <c r="A54" s="19">
        <v>48</v>
      </c>
      <c r="B54" s="2" t="s">
        <v>3724</v>
      </c>
      <c r="C54" s="1">
        <v>311240433</v>
      </c>
      <c r="D54" s="3" t="s">
        <v>3725</v>
      </c>
      <c r="E54" s="1" t="s">
        <v>57</v>
      </c>
      <c r="F54" s="10" t="s">
        <v>3690</v>
      </c>
      <c r="G54" s="2">
        <v>13</v>
      </c>
      <c r="H54" s="6">
        <v>36</v>
      </c>
      <c r="I54" s="6">
        <v>95</v>
      </c>
      <c r="J54" s="6">
        <v>44</v>
      </c>
      <c r="K54" s="6">
        <v>36</v>
      </c>
      <c r="L54" s="6">
        <v>36</v>
      </c>
      <c r="M54" s="6">
        <v>40</v>
      </c>
      <c r="N54" s="6">
        <v>36</v>
      </c>
      <c r="O54" s="6">
        <v>28</v>
      </c>
      <c r="P54" s="1">
        <f t="shared" si="3"/>
        <v>351</v>
      </c>
      <c r="Q54" s="14">
        <f t="shared" si="4"/>
        <v>43.875</v>
      </c>
      <c r="R54" s="20">
        <f t="shared" si="5"/>
        <v>48</v>
      </c>
    </row>
    <row r="55" spans="1:18" ht="18" customHeight="1">
      <c r="A55" s="19">
        <v>49</v>
      </c>
      <c r="B55" s="2" t="s">
        <v>3749</v>
      </c>
      <c r="C55" s="1" t="s">
        <v>3750</v>
      </c>
      <c r="D55" s="3" t="s">
        <v>3751</v>
      </c>
      <c r="E55" s="1" t="s">
        <v>58</v>
      </c>
      <c r="F55" s="10" t="s">
        <v>3690</v>
      </c>
      <c r="G55" s="2">
        <v>14</v>
      </c>
      <c r="H55" s="6">
        <v>52</v>
      </c>
      <c r="I55" s="6">
        <v>95</v>
      </c>
      <c r="J55" s="6">
        <v>40</v>
      </c>
      <c r="K55" s="6">
        <v>12</v>
      </c>
      <c r="L55" s="6">
        <v>20</v>
      </c>
      <c r="M55" s="6">
        <v>64</v>
      </c>
      <c r="N55" s="6">
        <v>44</v>
      </c>
      <c r="O55" s="6">
        <v>24</v>
      </c>
      <c r="P55" s="1">
        <f t="shared" si="3"/>
        <v>351</v>
      </c>
      <c r="Q55" s="14">
        <f t="shared" si="4"/>
        <v>43.875</v>
      </c>
      <c r="R55" s="20">
        <f t="shared" si="5"/>
        <v>48</v>
      </c>
    </row>
    <row r="56" spans="1:18" ht="18" customHeight="1">
      <c r="A56" s="19">
        <v>50</v>
      </c>
      <c r="B56" s="2" t="s">
        <v>3761</v>
      </c>
      <c r="C56" s="1" t="s">
        <v>3762</v>
      </c>
      <c r="D56" s="3" t="s">
        <v>3763</v>
      </c>
      <c r="E56" s="1" t="s">
        <v>59</v>
      </c>
      <c r="F56" s="10" t="s">
        <v>3690</v>
      </c>
      <c r="G56" s="2">
        <v>14</v>
      </c>
      <c r="H56" s="6">
        <v>32</v>
      </c>
      <c r="I56" s="6">
        <v>95</v>
      </c>
      <c r="J56" s="6">
        <v>48</v>
      </c>
      <c r="K56" s="6">
        <v>16</v>
      </c>
      <c r="L56" s="6">
        <v>32</v>
      </c>
      <c r="M56" s="6">
        <v>40</v>
      </c>
      <c r="N56" s="6">
        <v>48</v>
      </c>
      <c r="O56" s="6">
        <v>32</v>
      </c>
      <c r="P56" s="1">
        <f t="shared" si="3"/>
        <v>343</v>
      </c>
      <c r="Q56" s="14">
        <f t="shared" si="4"/>
        <v>42.875</v>
      </c>
      <c r="R56" s="20">
        <f t="shared" si="5"/>
        <v>50</v>
      </c>
    </row>
    <row r="57" spans="1:18" ht="18" customHeight="1">
      <c r="A57" s="19">
        <v>51</v>
      </c>
      <c r="B57" s="2" t="s">
        <v>3836</v>
      </c>
      <c r="C57" s="1">
        <v>311220594</v>
      </c>
      <c r="D57" s="3" t="s">
        <v>3837</v>
      </c>
      <c r="E57" s="1" t="s">
        <v>75</v>
      </c>
      <c r="F57" s="10" t="s">
        <v>3690</v>
      </c>
      <c r="G57" s="2">
        <v>16</v>
      </c>
      <c r="H57" s="6">
        <v>40</v>
      </c>
      <c r="I57" s="6">
        <v>79</v>
      </c>
      <c r="J57" s="6">
        <v>64</v>
      </c>
      <c r="K57" s="6">
        <v>56</v>
      </c>
      <c r="L57" s="6">
        <v>12</v>
      </c>
      <c r="M57" s="6">
        <v>24</v>
      </c>
      <c r="N57" s="6">
        <v>36</v>
      </c>
      <c r="O57" s="6">
        <v>28</v>
      </c>
      <c r="P57" s="1">
        <f t="shared" si="3"/>
        <v>339</v>
      </c>
      <c r="Q57" s="14">
        <f t="shared" si="4"/>
        <v>42.375</v>
      </c>
      <c r="R57" s="20">
        <f t="shared" si="5"/>
        <v>51</v>
      </c>
    </row>
    <row r="58" spans="1:18" ht="18" customHeight="1">
      <c r="A58" s="19">
        <v>52</v>
      </c>
      <c r="B58" s="2" t="s">
        <v>3838</v>
      </c>
      <c r="C58" s="1">
        <v>311220706</v>
      </c>
      <c r="D58" s="3" t="s">
        <v>3839</v>
      </c>
      <c r="E58" s="1" t="s">
        <v>75</v>
      </c>
      <c r="F58" s="10" t="s">
        <v>3690</v>
      </c>
      <c r="G58" s="2">
        <v>16</v>
      </c>
      <c r="H58" s="6">
        <v>32</v>
      </c>
      <c r="I58" s="6">
        <v>95</v>
      </c>
      <c r="J58" s="6">
        <v>68</v>
      </c>
      <c r="K58" s="6">
        <v>15</v>
      </c>
      <c r="L58" s="6">
        <v>16</v>
      </c>
      <c r="M58" s="6">
        <v>36</v>
      </c>
      <c r="N58" s="6">
        <v>44</v>
      </c>
      <c r="O58" s="6">
        <v>29</v>
      </c>
      <c r="P58" s="1">
        <f t="shared" si="3"/>
        <v>335</v>
      </c>
      <c r="Q58" s="14">
        <f t="shared" si="4"/>
        <v>41.875</v>
      </c>
      <c r="R58" s="20">
        <f t="shared" si="5"/>
        <v>52</v>
      </c>
    </row>
    <row r="59" spans="1:18" ht="18" customHeight="1">
      <c r="A59" s="19">
        <v>53</v>
      </c>
      <c r="B59" s="2" t="s">
        <v>3708</v>
      </c>
      <c r="C59" s="1" t="s">
        <v>3709</v>
      </c>
      <c r="D59" s="3" t="s">
        <v>3710</v>
      </c>
      <c r="E59" s="1" t="s">
        <v>55</v>
      </c>
      <c r="F59" s="10" t="s">
        <v>3690</v>
      </c>
      <c r="G59" s="2">
        <v>13</v>
      </c>
      <c r="H59" s="6">
        <v>40</v>
      </c>
      <c r="I59" s="6">
        <v>89</v>
      </c>
      <c r="J59" s="6">
        <v>60</v>
      </c>
      <c r="K59" s="6">
        <v>20</v>
      </c>
      <c r="L59" s="6">
        <v>20</v>
      </c>
      <c r="M59" s="6">
        <v>32</v>
      </c>
      <c r="N59" s="6">
        <v>36</v>
      </c>
      <c r="O59" s="6">
        <v>36</v>
      </c>
      <c r="P59" s="1">
        <f t="shared" si="3"/>
        <v>333</v>
      </c>
      <c r="Q59" s="14">
        <f t="shared" si="4"/>
        <v>41.625</v>
      </c>
      <c r="R59" s="20">
        <f t="shared" si="5"/>
        <v>53</v>
      </c>
    </row>
    <row r="60" spans="1:18" ht="18" customHeight="1">
      <c r="A60" s="19">
        <v>54</v>
      </c>
      <c r="B60" s="2" t="s">
        <v>3805</v>
      </c>
      <c r="C60" s="1" t="s">
        <v>3806</v>
      </c>
      <c r="D60" s="3" t="s">
        <v>3807</v>
      </c>
      <c r="E60" s="1" t="s">
        <v>88</v>
      </c>
      <c r="F60" s="10" t="s">
        <v>3690</v>
      </c>
      <c r="G60" s="2">
        <v>15</v>
      </c>
      <c r="H60" s="6">
        <v>44</v>
      </c>
      <c r="I60" s="6">
        <v>95</v>
      </c>
      <c r="J60" s="6">
        <v>40</v>
      </c>
      <c r="K60" s="6">
        <v>16</v>
      </c>
      <c r="L60" s="6">
        <v>20</v>
      </c>
      <c r="M60" s="6">
        <v>56</v>
      </c>
      <c r="N60" s="6">
        <v>48</v>
      </c>
      <c r="O60" s="6">
        <v>8</v>
      </c>
      <c r="P60" s="1">
        <f t="shared" si="3"/>
        <v>327</v>
      </c>
      <c r="Q60" s="14">
        <f t="shared" si="4"/>
        <v>40.875</v>
      </c>
      <c r="R60" s="20">
        <f t="shared" si="5"/>
        <v>54</v>
      </c>
    </row>
    <row r="61" spans="1:18" ht="18" customHeight="1">
      <c r="A61" s="19">
        <v>55</v>
      </c>
      <c r="B61" s="2" t="s">
        <v>3768</v>
      </c>
      <c r="C61" s="1">
        <v>4232571</v>
      </c>
      <c r="D61" s="3" t="s">
        <v>3769</v>
      </c>
      <c r="E61" s="1" t="s">
        <v>62</v>
      </c>
      <c r="F61" s="10" t="s">
        <v>3690</v>
      </c>
      <c r="G61" s="2">
        <v>14</v>
      </c>
      <c r="H61" s="6">
        <v>32</v>
      </c>
      <c r="I61" s="6">
        <v>89</v>
      </c>
      <c r="J61" s="6">
        <v>60</v>
      </c>
      <c r="K61" s="6">
        <v>8</v>
      </c>
      <c r="L61" s="6">
        <v>8</v>
      </c>
      <c r="M61" s="6">
        <v>44</v>
      </c>
      <c r="N61" s="6">
        <v>40</v>
      </c>
      <c r="O61" s="6">
        <v>44</v>
      </c>
      <c r="P61" s="1">
        <f t="shared" si="3"/>
        <v>325</v>
      </c>
      <c r="Q61" s="14">
        <f t="shared" si="4"/>
        <v>40.625</v>
      </c>
      <c r="R61" s="20">
        <f t="shared" si="5"/>
        <v>55</v>
      </c>
    </row>
    <row r="62" spans="1:18" ht="18" customHeight="1">
      <c r="A62" s="19">
        <v>56</v>
      </c>
      <c r="B62" s="2" t="s">
        <v>3846</v>
      </c>
      <c r="C62" s="1">
        <v>311261007</v>
      </c>
      <c r="D62" s="3" t="s">
        <v>5312</v>
      </c>
      <c r="E62" s="1" t="s">
        <v>58</v>
      </c>
      <c r="F62" s="10" t="s">
        <v>3690</v>
      </c>
      <c r="G62" s="2">
        <v>16</v>
      </c>
      <c r="H62" s="6">
        <v>32</v>
      </c>
      <c r="I62" s="6">
        <v>68</v>
      </c>
      <c r="J62" s="6">
        <v>76</v>
      </c>
      <c r="K62" s="6">
        <v>28</v>
      </c>
      <c r="L62" s="6">
        <v>20</v>
      </c>
      <c r="M62" s="6">
        <v>48</v>
      </c>
      <c r="N62" s="6">
        <v>48</v>
      </c>
      <c r="O62" s="6">
        <v>4</v>
      </c>
      <c r="P62" s="1">
        <f t="shared" si="3"/>
        <v>324</v>
      </c>
      <c r="Q62" s="14">
        <f t="shared" si="4"/>
        <v>40.5</v>
      </c>
      <c r="R62" s="20">
        <f t="shared" si="5"/>
        <v>56</v>
      </c>
    </row>
    <row r="63" spans="1:18" ht="18" customHeight="1">
      <c r="A63" s="19">
        <v>57</v>
      </c>
      <c r="B63" s="2" t="s">
        <v>3720</v>
      </c>
      <c r="C63" s="1">
        <v>311220622</v>
      </c>
      <c r="D63" s="3" t="s">
        <v>3721</v>
      </c>
      <c r="E63" s="1" t="s">
        <v>56</v>
      </c>
      <c r="F63" s="10" t="s">
        <v>3690</v>
      </c>
      <c r="G63" s="2">
        <v>13</v>
      </c>
      <c r="H63" s="6">
        <v>36</v>
      </c>
      <c r="I63" s="6">
        <v>100</v>
      </c>
      <c r="J63" s="6">
        <v>44</v>
      </c>
      <c r="K63" s="6">
        <v>36</v>
      </c>
      <c r="L63" s="6">
        <v>8</v>
      </c>
      <c r="M63" s="6">
        <v>48</v>
      </c>
      <c r="N63" s="6">
        <v>31</v>
      </c>
      <c r="O63" s="6">
        <v>20</v>
      </c>
      <c r="P63" s="1">
        <f t="shared" si="3"/>
        <v>323</v>
      </c>
      <c r="Q63" s="14">
        <f t="shared" si="4"/>
        <v>40.375</v>
      </c>
      <c r="R63" s="20">
        <f t="shared" si="5"/>
        <v>57</v>
      </c>
    </row>
    <row r="64" spans="1:18" ht="18" customHeight="1">
      <c r="A64" s="19">
        <v>58</v>
      </c>
      <c r="B64" s="2" t="s">
        <v>3733</v>
      </c>
      <c r="C64" s="1">
        <v>311220627</v>
      </c>
      <c r="D64" s="3" t="s">
        <v>3734</v>
      </c>
      <c r="E64" s="1" t="s">
        <v>71</v>
      </c>
      <c r="F64" s="10" t="s">
        <v>3690</v>
      </c>
      <c r="G64" s="2">
        <v>13</v>
      </c>
      <c r="H64" s="6">
        <v>28</v>
      </c>
      <c r="I64" s="6">
        <v>95</v>
      </c>
      <c r="J64" s="6">
        <v>38</v>
      </c>
      <c r="K64" s="6">
        <v>28</v>
      </c>
      <c r="L64" s="6">
        <v>36</v>
      </c>
      <c r="M64" s="6">
        <v>52</v>
      </c>
      <c r="N64" s="6">
        <v>28</v>
      </c>
      <c r="O64" s="6">
        <v>8</v>
      </c>
      <c r="P64" s="1">
        <f t="shared" si="3"/>
        <v>313</v>
      </c>
      <c r="Q64" s="14">
        <f t="shared" si="4"/>
        <v>39.125</v>
      </c>
      <c r="R64" s="20">
        <f t="shared" si="5"/>
        <v>58</v>
      </c>
    </row>
    <row r="65" spans="1:18" ht="18" customHeight="1">
      <c r="A65" s="19">
        <v>59</v>
      </c>
      <c r="B65" s="2" t="s">
        <v>3766</v>
      </c>
      <c r="C65" s="1">
        <v>311220679</v>
      </c>
      <c r="D65" s="3" t="s">
        <v>3767</v>
      </c>
      <c r="E65" s="1" t="s">
        <v>62</v>
      </c>
      <c r="F65" s="10" t="s">
        <v>3690</v>
      </c>
      <c r="G65" s="2">
        <v>14</v>
      </c>
      <c r="H65" s="6">
        <v>40</v>
      </c>
      <c r="I65" s="6">
        <v>89</v>
      </c>
      <c r="J65" s="6">
        <v>80</v>
      </c>
      <c r="K65" s="6">
        <v>8</v>
      </c>
      <c r="L65" s="6">
        <v>8</v>
      </c>
      <c r="M65" s="6">
        <v>12</v>
      </c>
      <c r="N65" s="6">
        <v>56</v>
      </c>
      <c r="O65" s="6">
        <v>12</v>
      </c>
      <c r="P65" s="1">
        <f t="shared" si="3"/>
        <v>305</v>
      </c>
      <c r="Q65" s="14">
        <f t="shared" si="4"/>
        <v>38.125</v>
      </c>
      <c r="R65" s="20">
        <f t="shared" si="5"/>
        <v>59</v>
      </c>
    </row>
    <row r="66" spans="1:18" ht="18" customHeight="1">
      <c r="A66" s="19">
        <v>60</v>
      </c>
      <c r="B66" s="2" t="s">
        <v>3713</v>
      </c>
      <c r="C66" s="1">
        <v>311220710</v>
      </c>
      <c r="D66" s="3" t="s">
        <v>3714</v>
      </c>
      <c r="E66" s="1" t="s">
        <v>64</v>
      </c>
      <c r="F66" s="10" t="s">
        <v>3690</v>
      </c>
      <c r="G66" s="2">
        <v>13</v>
      </c>
      <c r="H66" s="6">
        <v>44</v>
      </c>
      <c r="I66" s="6">
        <v>0</v>
      </c>
      <c r="J66" s="6">
        <v>48</v>
      </c>
      <c r="K66" s="6">
        <v>36</v>
      </c>
      <c r="L66" s="6">
        <v>36</v>
      </c>
      <c r="M66" s="6">
        <v>32</v>
      </c>
      <c r="N66" s="6">
        <v>82</v>
      </c>
      <c r="O66" s="6">
        <v>12</v>
      </c>
      <c r="P66" s="1">
        <f t="shared" si="3"/>
        <v>290</v>
      </c>
      <c r="Q66" s="14">
        <f t="shared" si="4"/>
        <v>36.25</v>
      </c>
      <c r="R66" s="20">
        <f t="shared" si="5"/>
        <v>60</v>
      </c>
    </row>
    <row r="67" spans="1:18" ht="18" customHeight="1">
      <c r="A67" s="19">
        <v>61</v>
      </c>
      <c r="B67" s="2" t="s">
        <v>3691</v>
      </c>
      <c r="C67" s="1">
        <v>4232690</v>
      </c>
      <c r="D67" s="3" t="s">
        <v>3692</v>
      </c>
      <c r="E67" s="1" t="s">
        <v>56</v>
      </c>
      <c r="F67" s="10" t="s">
        <v>3690</v>
      </c>
      <c r="G67" s="2">
        <v>12</v>
      </c>
      <c r="H67" s="6">
        <v>28</v>
      </c>
      <c r="I67" s="6">
        <v>100</v>
      </c>
      <c r="J67" s="6">
        <v>32</v>
      </c>
      <c r="K67" s="6">
        <v>20</v>
      </c>
      <c r="L67" s="6">
        <v>24</v>
      </c>
      <c r="M67" s="6">
        <v>36</v>
      </c>
      <c r="N67" s="6">
        <v>32</v>
      </c>
      <c r="O67" s="6">
        <v>12</v>
      </c>
      <c r="P67" s="1">
        <f t="shared" si="3"/>
        <v>284</v>
      </c>
      <c r="Q67" s="14">
        <f t="shared" si="4"/>
        <v>35.5</v>
      </c>
      <c r="R67" s="20">
        <f t="shared" si="5"/>
        <v>61</v>
      </c>
    </row>
    <row r="68" spans="1:18" ht="18" customHeight="1">
      <c r="A68" s="19">
        <v>62</v>
      </c>
      <c r="B68" s="2" t="s">
        <v>3829</v>
      </c>
      <c r="C68" s="1">
        <v>311220589</v>
      </c>
      <c r="D68" s="3" t="s">
        <v>3830</v>
      </c>
      <c r="E68" s="1" t="s">
        <v>353</v>
      </c>
      <c r="F68" s="10" t="s">
        <v>3690</v>
      </c>
      <c r="G68" s="2">
        <v>16</v>
      </c>
      <c r="H68" s="6">
        <v>32</v>
      </c>
      <c r="I68" s="6">
        <v>100</v>
      </c>
      <c r="J68" s="6">
        <v>28</v>
      </c>
      <c r="K68" s="6">
        <v>28</v>
      </c>
      <c r="L68" s="6">
        <v>16</v>
      </c>
      <c r="M68" s="6">
        <v>12</v>
      </c>
      <c r="N68" s="6">
        <v>44</v>
      </c>
      <c r="O68" s="6">
        <v>24</v>
      </c>
      <c r="P68" s="1">
        <f t="shared" si="3"/>
        <v>284</v>
      </c>
      <c r="Q68" s="14">
        <f t="shared" si="4"/>
        <v>35.5</v>
      </c>
      <c r="R68" s="20">
        <f t="shared" si="5"/>
        <v>61</v>
      </c>
    </row>
    <row r="69" spans="1:18" ht="18" customHeight="1">
      <c r="A69" s="19">
        <v>63</v>
      </c>
      <c r="B69" s="2" t="s">
        <v>3735</v>
      </c>
      <c r="C69" s="1" t="s">
        <v>3736</v>
      </c>
      <c r="D69" s="3" t="s">
        <v>3737</v>
      </c>
      <c r="E69" s="1" t="s">
        <v>71</v>
      </c>
      <c r="F69" s="10" t="s">
        <v>3690</v>
      </c>
      <c r="G69" s="2">
        <v>14</v>
      </c>
      <c r="H69" s="6">
        <v>20</v>
      </c>
      <c r="I69" s="6">
        <v>93</v>
      </c>
      <c r="J69" s="6">
        <v>56</v>
      </c>
      <c r="K69" s="6">
        <v>24</v>
      </c>
      <c r="L69" s="6">
        <v>16</v>
      </c>
      <c r="M69" s="6">
        <v>36</v>
      </c>
      <c r="N69" s="6">
        <v>20</v>
      </c>
      <c r="O69" s="6">
        <v>8</v>
      </c>
      <c r="P69" s="1">
        <f t="shared" si="3"/>
        <v>273</v>
      </c>
      <c r="Q69" s="14">
        <f t="shared" si="4"/>
        <v>34.125</v>
      </c>
      <c r="R69" s="20">
        <f t="shared" si="5"/>
        <v>63</v>
      </c>
    </row>
    <row r="70" spans="1:18" ht="18" customHeight="1">
      <c r="A70" s="19">
        <v>64</v>
      </c>
      <c r="B70" s="2" t="s">
        <v>3722</v>
      </c>
      <c r="C70" s="1">
        <v>311220669</v>
      </c>
      <c r="D70" s="3" t="s">
        <v>3723</v>
      </c>
      <c r="E70" s="1" t="s">
        <v>72</v>
      </c>
      <c r="F70" s="10" t="s">
        <v>3690</v>
      </c>
      <c r="G70" s="2">
        <v>13</v>
      </c>
      <c r="H70" s="6">
        <v>36</v>
      </c>
      <c r="I70" s="6">
        <v>79</v>
      </c>
      <c r="J70" s="6">
        <v>40</v>
      </c>
      <c r="K70" s="6">
        <v>12</v>
      </c>
      <c r="L70" s="6">
        <v>28</v>
      </c>
      <c r="M70" s="6">
        <v>32</v>
      </c>
      <c r="N70" s="6">
        <v>20</v>
      </c>
      <c r="O70" s="6">
        <v>24</v>
      </c>
      <c r="P70" s="1">
        <f t="shared" si="3"/>
        <v>271</v>
      </c>
      <c r="Q70" s="14">
        <f t="shared" si="4"/>
        <v>33.875</v>
      </c>
      <c r="R70" s="20">
        <f t="shared" si="5"/>
        <v>64</v>
      </c>
    </row>
    <row r="71" spans="1:18" ht="18" customHeight="1">
      <c r="A71" s="19">
        <v>65</v>
      </c>
      <c r="B71" s="2" t="s">
        <v>3783</v>
      </c>
      <c r="C71" s="1">
        <v>331220006</v>
      </c>
      <c r="D71" s="3" t="s">
        <v>3784</v>
      </c>
      <c r="E71" s="1" t="s">
        <v>74</v>
      </c>
      <c r="F71" s="10" t="s">
        <v>3690</v>
      </c>
      <c r="G71" s="2">
        <v>15</v>
      </c>
      <c r="H71" s="6">
        <v>44</v>
      </c>
      <c r="I71" s="6">
        <v>84</v>
      </c>
      <c r="J71" s="6">
        <v>28</v>
      </c>
      <c r="K71" s="6">
        <v>20</v>
      </c>
      <c r="L71" s="6">
        <v>16</v>
      </c>
      <c r="M71" s="6">
        <v>12</v>
      </c>
      <c r="N71" s="6">
        <v>28</v>
      </c>
      <c r="O71" s="6">
        <v>28</v>
      </c>
      <c r="P71" s="1">
        <f t="shared" ref="P71:P74" si="6">SUBTOTAL(9,H71:O71)</f>
        <v>260</v>
      </c>
      <c r="Q71" s="14">
        <f t="shared" ref="Q71:Q74" si="7">P71/8</f>
        <v>32.5</v>
      </c>
      <c r="R71" s="20">
        <f t="shared" ref="R71:R74" si="8">RANK(Q71,Q$7:Q$274,0)</f>
        <v>65</v>
      </c>
    </row>
    <row r="72" spans="1:18" ht="18" customHeight="1">
      <c r="A72" s="19">
        <v>66</v>
      </c>
      <c r="B72" s="2" t="s">
        <v>3816</v>
      </c>
      <c r="C72" s="1">
        <v>311220735</v>
      </c>
      <c r="D72" s="3" t="s">
        <v>3817</v>
      </c>
      <c r="E72" s="1" t="s">
        <v>66</v>
      </c>
      <c r="F72" s="10" t="s">
        <v>3690</v>
      </c>
      <c r="G72" s="2">
        <v>15</v>
      </c>
      <c r="H72" s="6">
        <v>28</v>
      </c>
      <c r="I72" s="6">
        <v>15</v>
      </c>
      <c r="J72" s="6">
        <v>68</v>
      </c>
      <c r="K72" s="6">
        <v>4</v>
      </c>
      <c r="L72" s="6">
        <v>32</v>
      </c>
      <c r="M72" s="6">
        <v>44</v>
      </c>
      <c r="N72" s="6">
        <v>44</v>
      </c>
      <c r="O72" s="6">
        <v>8</v>
      </c>
      <c r="P72" s="1">
        <f t="shared" si="6"/>
        <v>243</v>
      </c>
      <c r="Q72" s="14">
        <f t="shared" si="7"/>
        <v>30.375</v>
      </c>
      <c r="R72" s="20">
        <f t="shared" si="8"/>
        <v>66</v>
      </c>
    </row>
    <row r="73" spans="1:18" ht="18" customHeight="1">
      <c r="A73" s="19">
        <v>67</v>
      </c>
      <c r="B73" s="2" t="s">
        <v>3764</v>
      </c>
      <c r="C73" s="1">
        <v>311220555</v>
      </c>
      <c r="D73" s="3" t="s">
        <v>3765</v>
      </c>
      <c r="E73" s="1" t="s">
        <v>62</v>
      </c>
      <c r="F73" s="10" t="s">
        <v>3690</v>
      </c>
      <c r="G73" s="2">
        <v>14</v>
      </c>
      <c r="H73" s="6">
        <v>40</v>
      </c>
      <c r="I73" s="6">
        <v>0</v>
      </c>
      <c r="J73" s="6">
        <v>84</v>
      </c>
      <c r="K73" s="6">
        <v>8</v>
      </c>
      <c r="L73" s="6">
        <v>12</v>
      </c>
      <c r="M73" s="6">
        <v>0</v>
      </c>
      <c r="N73" s="6">
        <v>60</v>
      </c>
      <c r="O73" s="6">
        <v>14</v>
      </c>
      <c r="P73" s="1">
        <f t="shared" si="6"/>
        <v>218</v>
      </c>
      <c r="Q73" s="14">
        <f t="shared" si="7"/>
        <v>27.25</v>
      </c>
      <c r="R73" s="20">
        <f t="shared" si="8"/>
        <v>67</v>
      </c>
    </row>
    <row r="74" spans="1:18" ht="18" customHeight="1">
      <c r="A74" s="19">
        <v>68</v>
      </c>
      <c r="B74" s="28" t="s">
        <v>3789</v>
      </c>
      <c r="C74" s="29">
        <v>4032548</v>
      </c>
      <c r="D74" s="30" t="s">
        <v>3790</v>
      </c>
      <c r="E74" s="29" t="s">
        <v>74</v>
      </c>
      <c r="F74" s="31" t="s">
        <v>3690</v>
      </c>
      <c r="G74" s="28">
        <v>15</v>
      </c>
      <c r="H74" s="46"/>
      <c r="I74" s="46"/>
      <c r="J74" s="46"/>
      <c r="K74" s="46"/>
      <c r="L74" s="46"/>
      <c r="M74" s="46"/>
      <c r="N74" s="46"/>
      <c r="O74" s="46"/>
      <c r="P74" s="29">
        <f t="shared" si="6"/>
        <v>0</v>
      </c>
      <c r="Q74" s="41">
        <f t="shared" si="7"/>
        <v>0</v>
      </c>
      <c r="R74" s="33">
        <f t="shared" si="8"/>
        <v>68</v>
      </c>
    </row>
  </sheetData>
  <mergeCells count="4">
    <mergeCell ref="A1:P1"/>
    <mergeCell ref="A2:P2"/>
    <mergeCell ref="A3:P3"/>
    <mergeCell ref="A5:B5"/>
  </mergeCells>
  <conditionalFormatting sqref="H7:O7">
    <cfRule type="cellIs" dxfId="3830" priority="337" operator="lessThan">
      <formula>50</formula>
    </cfRule>
    <cfRule type="cellIs" dxfId="3829" priority="338" operator="lessThan">
      <formula>5</formula>
    </cfRule>
    <cfRule type="cellIs" dxfId="3828" priority="339" operator="lessThan">
      <formula>5</formula>
    </cfRule>
    <cfRule type="cellIs" dxfId="3827" priority="340" operator="lessThan">
      <formula>5</formula>
    </cfRule>
  </conditionalFormatting>
  <conditionalFormatting sqref="Q7">
    <cfRule type="cellIs" dxfId="3826" priority="336" operator="lessThan">
      <formula>50</formula>
    </cfRule>
  </conditionalFormatting>
  <conditionalFormatting sqref="H8:O8">
    <cfRule type="cellIs" dxfId="3825" priority="332" operator="lessThan">
      <formula>50</formula>
    </cfRule>
    <cfRule type="cellIs" dxfId="3824" priority="333" operator="lessThan">
      <formula>5</formula>
    </cfRule>
    <cfRule type="cellIs" dxfId="3823" priority="334" operator="lessThan">
      <formula>5</formula>
    </cfRule>
    <cfRule type="cellIs" dxfId="3822" priority="335" operator="lessThan">
      <formula>5</formula>
    </cfRule>
  </conditionalFormatting>
  <conditionalFormatting sqref="Q8">
    <cfRule type="cellIs" dxfId="3821" priority="331" operator="lessThan">
      <formula>50</formula>
    </cfRule>
  </conditionalFormatting>
  <conditionalFormatting sqref="H9:O9">
    <cfRule type="cellIs" dxfId="3820" priority="327" operator="lessThan">
      <formula>50</formula>
    </cfRule>
    <cfRule type="cellIs" dxfId="3819" priority="328" operator="lessThan">
      <formula>5</formula>
    </cfRule>
    <cfRule type="cellIs" dxfId="3818" priority="329" operator="lessThan">
      <formula>5</formula>
    </cfRule>
    <cfRule type="cellIs" dxfId="3817" priority="330" operator="lessThan">
      <formula>5</formula>
    </cfRule>
  </conditionalFormatting>
  <conditionalFormatting sqref="Q9">
    <cfRule type="cellIs" dxfId="3816" priority="326" operator="lessThan">
      <formula>50</formula>
    </cfRule>
  </conditionalFormatting>
  <conditionalFormatting sqref="H10:O10">
    <cfRule type="cellIs" dxfId="3815" priority="322" operator="lessThan">
      <formula>50</formula>
    </cfRule>
    <cfRule type="cellIs" dxfId="3814" priority="323" operator="lessThan">
      <formula>5</formula>
    </cfRule>
    <cfRule type="cellIs" dxfId="3813" priority="324" operator="lessThan">
      <formula>5</formula>
    </cfRule>
    <cfRule type="cellIs" dxfId="3812" priority="325" operator="lessThan">
      <formula>5</formula>
    </cfRule>
  </conditionalFormatting>
  <conditionalFormatting sqref="Q10">
    <cfRule type="cellIs" dxfId="3811" priority="321" operator="lessThan">
      <formula>50</formula>
    </cfRule>
  </conditionalFormatting>
  <conditionalFormatting sqref="H11:O11">
    <cfRule type="cellIs" dxfId="3810" priority="317" operator="lessThan">
      <formula>50</formula>
    </cfRule>
    <cfRule type="cellIs" dxfId="3809" priority="318" operator="lessThan">
      <formula>5</formula>
    </cfRule>
    <cfRule type="cellIs" dxfId="3808" priority="319" operator="lessThan">
      <formula>5</formula>
    </cfRule>
    <cfRule type="cellIs" dxfId="3807" priority="320" operator="lessThan">
      <formula>5</formula>
    </cfRule>
  </conditionalFormatting>
  <conditionalFormatting sqref="Q11">
    <cfRule type="cellIs" dxfId="3806" priority="316" operator="lessThan">
      <formula>50</formula>
    </cfRule>
  </conditionalFormatting>
  <conditionalFormatting sqref="H12:O12">
    <cfRule type="cellIs" dxfId="3805" priority="312" operator="lessThan">
      <formula>50</formula>
    </cfRule>
    <cfRule type="cellIs" dxfId="3804" priority="313" operator="lessThan">
      <formula>5</formula>
    </cfRule>
    <cfRule type="cellIs" dxfId="3803" priority="314" operator="lessThan">
      <formula>5</formula>
    </cfRule>
    <cfRule type="cellIs" dxfId="3802" priority="315" operator="lessThan">
      <formula>5</formula>
    </cfRule>
  </conditionalFormatting>
  <conditionalFormatting sqref="Q12">
    <cfRule type="cellIs" dxfId="3801" priority="311" operator="lessThan">
      <formula>50</formula>
    </cfRule>
  </conditionalFormatting>
  <conditionalFormatting sqref="H13:O13">
    <cfRule type="cellIs" dxfId="3800" priority="307" operator="lessThan">
      <formula>50</formula>
    </cfRule>
    <cfRule type="cellIs" dxfId="3799" priority="308" operator="lessThan">
      <formula>5</formula>
    </cfRule>
    <cfRule type="cellIs" dxfId="3798" priority="309" operator="lessThan">
      <formula>5</formula>
    </cfRule>
    <cfRule type="cellIs" dxfId="3797" priority="310" operator="lessThan">
      <formula>5</formula>
    </cfRule>
  </conditionalFormatting>
  <conditionalFormatting sqref="Q13">
    <cfRule type="cellIs" dxfId="3796" priority="306" operator="lessThan">
      <formula>50</formula>
    </cfRule>
  </conditionalFormatting>
  <conditionalFormatting sqref="H14:O14">
    <cfRule type="cellIs" dxfId="3795" priority="302" operator="lessThan">
      <formula>50</formula>
    </cfRule>
    <cfRule type="cellIs" dxfId="3794" priority="303" operator="lessThan">
      <formula>5</formula>
    </cfRule>
    <cfRule type="cellIs" dxfId="3793" priority="304" operator="lessThan">
      <formula>5</formula>
    </cfRule>
    <cfRule type="cellIs" dxfId="3792" priority="305" operator="lessThan">
      <formula>5</formula>
    </cfRule>
  </conditionalFormatting>
  <conditionalFormatting sqref="Q14">
    <cfRule type="cellIs" dxfId="3791" priority="301" operator="lessThan">
      <formula>50</formula>
    </cfRule>
  </conditionalFormatting>
  <conditionalFormatting sqref="H15:O15">
    <cfRule type="cellIs" dxfId="3790" priority="297" operator="lessThan">
      <formula>50</formula>
    </cfRule>
    <cfRule type="cellIs" dxfId="3789" priority="298" operator="lessThan">
      <formula>5</formula>
    </cfRule>
    <cfRule type="cellIs" dxfId="3788" priority="299" operator="lessThan">
      <formula>5</formula>
    </cfRule>
    <cfRule type="cellIs" dxfId="3787" priority="300" operator="lessThan">
      <formula>5</formula>
    </cfRule>
  </conditionalFormatting>
  <conditionalFormatting sqref="Q15">
    <cfRule type="cellIs" dxfId="3786" priority="296" operator="lessThan">
      <formula>50</formula>
    </cfRule>
  </conditionalFormatting>
  <conditionalFormatting sqref="H16:O16">
    <cfRule type="cellIs" dxfId="3785" priority="292" operator="lessThan">
      <formula>50</formula>
    </cfRule>
    <cfRule type="cellIs" dxfId="3784" priority="293" operator="lessThan">
      <formula>5</formula>
    </cfRule>
    <cfRule type="cellIs" dxfId="3783" priority="294" operator="lessThan">
      <formula>5</formula>
    </cfRule>
    <cfRule type="cellIs" dxfId="3782" priority="295" operator="lessThan">
      <formula>5</formula>
    </cfRule>
  </conditionalFormatting>
  <conditionalFormatting sqref="Q16">
    <cfRule type="cellIs" dxfId="3781" priority="291" operator="lessThan">
      <formula>50</formula>
    </cfRule>
  </conditionalFormatting>
  <conditionalFormatting sqref="H17:O17">
    <cfRule type="cellIs" dxfId="3780" priority="287" operator="lessThan">
      <formula>50</formula>
    </cfRule>
    <cfRule type="cellIs" dxfId="3779" priority="288" operator="lessThan">
      <formula>5</formula>
    </cfRule>
    <cfRule type="cellIs" dxfId="3778" priority="289" operator="lessThan">
      <formula>5</formula>
    </cfRule>
    <cfRule type="cellIs" dxfId="3777" priority="290" operator="lessThan">
      <formula>5</formula>
    </cfRule>
  </conditionalFormatting>
  <conditionalFormatting sqref="Q17">
    <cfRule type="cellIs" dxfId="3776" priority="286" operator="lessThan">
      <formula>50</formula>
    </cfRule>
  </conditionalFormatting>
  <conditionalFormatting sqref="H18:O18">
    <cfRule type="cellIs" dxfId="3775" priority="282" operator="lessThan">
      <formula>50</formula>
    </cfRule>
    <cfRule type="cellIs" dxfId="3774" priority="283" operator="lessThan">
      <formula>5</formula>
    </cfRule>
    <cfRule type="cellIs" dxfId="3773" priority="284" operator="lessThan">
      <formula>5</formula>
    </cfRule>
    <cfRule type="cellIs" dxfId="3772" priority="285" operator="lessThan">
      <formula>5</formula>
    </cfRule>
  </conditionalFormatting>
  <conditionalFormatting sqref="Q18">
    <cfRule type="cellIs" dxfId="3771" priority="281" operator="lessThan">
      <formula>50</formula>
    </cfRule>
  </conditionalFormatting>
  <conditionalFormatting sqref="H19:O19">
    <cfRule type="cellIs" dxfId="3770" priority="277" operator="lessThan">
      <formula>50</formula>
    </cfRule>
    <cfRule type="cellIs" dxfId="3769" priority="278" operator="lessThan">
      <formula>5</formula>
    </cfRule>
    <cfRule type="cellIs" dxfId="3768" priority="279" operator="lessThan">
      <formula>5</formula>
    </cfRule>
    <cfRule type="cellIs" dxfId="3767" priority="280" operator="lessThan">
      <formula>5</formula>
    </cfRule>
  </conditionalFormatting>
  <conditionalFormatting sqref="Q19">
    <cfRule type="cellIs" dxfId="3766" priority="276" operator="lessThan">
      <formula>50</formula>
    </cfRule>
  </conditionalFormatting>
  <conditionalFormatting sqref="H20:O20">
    <cfRule type="cellIs" dxfId="3765" priority="272" operator="lessThan">
      <formula>50</formula>
    </cfRule>
    <cfRule type="cellIs" dxfId="3764" priority="273" operator="lessThan">
      <formula>5</formula>
    </cfRule>
    <cfRule type="cellIs" dxfId="3763" priority="274" operator="lessThan">
      <formula>5</formula>
    </cfRule>
    <cfRule type="cellIs" dxfId="3762" priority="275" operator="lessThan">
      <formula>5</formula>
    </cfRule>
  </conditionalFormatting>
  <conditionalFormatting sqref="Q20">
    <cfRule type="cellIs" dxfId="3761" priority="271" operator="lessThan">
      <formula>50</formula>
    </cfRule>
  </conditionalFormatting>
  <conditionalFormatting sqref="H21:O21">
    <cfRule type="cellIs" dxfId="3760" priority="267" operator="lessThan">
      <formula>50</formula>
    </cfRule>
    <cfRule type="cellIs" dxfId="3759" priority="268" operator="lessThan">
      <formula>5</formula>
    </cfRule>
    <cfRule type="cellIs" dxfId="3758" priority="269" operator="lessThan">
      <formula>5</formula>
    </cfRule>
    <cfRule type="cellIs" dxfId="3757" priority="270" operator="lessThan">
      <formula>5</formula>
    </cfRule>
  </conditionalFormatting>
  <conditionalFormatting sqref="Q21">
    <cfRule type="cellIs" dxfId="3756" priority="266" operator="lessThan">
      <formula>50</formula>
    </cfRule>
  </conditionalFormatting>
  <conditionalFormatting sqref="H22:O22">
    <cfRule type="cellIs" dxfId="3755" priority="262" operator="lessThan">
      <formula>50</formula>
    </cfRule>
    <cfRule type="cellIs" dxfId="3754" priority="263" operator="lessThan">
      <formula>5</formula>
    </cfRule>
    <cfRule type="cellIs" dxfId="3753" priority="264" operator="lessThan">
      <formula>5</formula>
    </cfRule>
    <cfRule type="cellIs" dxfId="3752" priority="265" operator="lessThan">
      <formula>5</formula>
    </cfRule>
  </conditionalFormatting>
  <conditionalFormatting sqref="Q22">
    <cfRule type="cellIs" dxfId="3751" priority="261" operator="lessThan">
      <formula>50</formula>
    </cfRule>
  </conditionalFormatting>
  <conditionalFormatting sqref="H23:O23">
    <cfRule type="cellIs" dxfId="3750" priority="257" operator="lessThan">
      <formula>50</formula>
    </cfRule>
    <cfRule type="cellIs" dxfId="3749" priority="258" operator="lessThan">
      <formula>5</formula>
    </cfRule>
    <cfRule type="cellIs" dxfId="3748" priority="259" operator="lessThan">
      <formula>5</formula>
    </cfRule>
    <cfRule type="cellIs" dxfId="3747" priority="260" operator="lessThan">
      <formula>5</formula>
    </cfRule>
  </conditionalFormatting>
  <conditionalFormatting sqref="Q23">
    <cfRule type="cellIs" dxfId="3746" priority="256" operator="lessThan">
      <formula>50</formula>
    </cfRule>
  </conditionalFormatting>
  <conditionalFormatting sqref="H24:O24">
    <cfRule type="cellIs" dxfId="3745" priority="252" operator="lessThan">
      <formula>50</formula>
    </cfRule>
    <cfRule type="cellIs" dxfId="3744" priority="253" operator="lessThan">
      <formula>5</formula>
    </cfRule>
    <cfRule type="cellIs" dxfId="3743" priority="254" operator="lessThan">
      <formula>5</formula>
    </cfRule>
    <cfRule type="cellIs" dxfId="3742" priority="255" operator="lessThan">
      <formula>5</formula>
    </cfRule>
  </conditionalFormatting>
  <conditionalFormatting sqref="Q24">
    <cfRule type="cellIs" dxfId="3741" priority="251" operator="lessThan">
      <formula>50</formula>
    </cfRule>
  </conditionalFormatting>
  <conditionalFormatting sqref="H25:O25">
    <cfRule type="cellIs" dxfId="3740" priority="247" operator="lessThan">
      <formula>50</formula>
    </cfRule>
    <cfRule type="cellIs" dxfId="3739" priority="248" operator="lessThan">
      <formula>5</formula>
    </cfRule>
    <cfRule type="cellIs" dxfId="3738" priority="249" operator="lessThan">
      <formula>5</formula>
    </cfRule>
    <cfRule type="cellIs" dxfId="3737" priority="250" operator="lessThan">
      <formula>5</formula>
    </cfRule>
  </conditionalFormatting>
  <conditionalFormatting sqref="Q25">
    <cfRule type="cellIs" dxfId="3736" priority="246" operator="lessThan">
      <formula>50</formula>
    </cfRule>
  </conditionalFormatting>
  <conditionalFormatting sqref="H26:O26">
    <cfRule type="cellIs" dxfId="3735" priority="242" operator="lessThan">
      <formula>50</formula>
    </cfRule>
    <cfRule type="cellIs" dxfId="3734" priority="243" operator="lessThan">
      <formula>5</formula>
    </cfRule>
    <cfRule type="cellIs" dxfId="3733" priority="244" operator="lessThan">
      <formula>5</formula>
    </cfRule>
    <cfRule type="cellIs" dxfId="3732" priority="245" operator="lessThan">
      <formula>5</formula>
    </cfRule>
  </conditionalFormatting>
  <conditionalFormatting sqref="Q26">
    <cfRule type="cellIs" dxfId="3731" priority="241" operator="lessThan">
      <formula>50</formula>
    </cfRule>
  </conditionalFormatting>
  <conditionalFormatting sqref="H27:O27">
    <cfRule type="cellIs" dxfId="3730" priority="237" operator="lessThan">
      <formula>50</formula>
    </cfRule>
    <cfRule type="cellIs" dxfId="3729" priority="238" operator="lessThan">
      <formula>5</formula>
    </cfRule>
    <cfRule type="cellIs" dxfId="3728" priority="239" operator="lessThan">
      <formula>5</formula>
    </cfRule>
    <cfRule type="cellIs" dxfId="3727" priority="240" operator="lessThan">
      <formula>5</formula>
    </cfRule>
  </conditionalFormatting>
  <conditionalFormatting sqref="Q27">
    <cfRule type="cellIs" dxfId="3726" priority="236" operator="lessThan">
      <formula>50</formula>
    </cfRule>
  </conditionalFormatting>
  <conditionalFormatting sqref="H28:O28">
    <cfRule type="cellIs" dxfId="3725" priority="232" operator="lessThan">
      <formula>50</formula>
    </cfRule>
    <cfRule type="cellIs" dxfId="3724" priority="233" operator="lessThan">
      <formula>5</formula>
    </cfRule>
    <cfRule type="cellIs" dxfId="3723" priority="234" operator="lessThan">
      <formula>5</formula>
    </cfRule>
    <cfRule type="cellIs" dxfId="3722" priority="235" operator="lessThan">
      <formula>5</formula>
    </cfRule>
  </conditionalFormatting>
  <conditionalFormatting sqref="Q28">
    <cfRule type="cellIs" dxfId="3721" priority="231" operator="lessThan">
      <formula>50</formula>
    </cfRule>
  </conditionalFormatting>
  <conditionalFormatting sqref="H29:O29">
    <cfRule type="cellIs" dxfId="3720" priority="227" operator="lessThan">
      <formula>50</formula>
    </cfRule>
    <cfRule type="cellIs" dxfId="3719" priority="228" operator="lessThan">
      <formula>5</formula>
    </cfRule>
    <cfRule type="cellIs" dxfId="3718" priority="229" operator="lessThan">
      <formula>5</formula>
    </cfRule>
    <cfRule type="cellIs" dxfId="3717" priority="230" operator="lessThan">
      <formula>5</formula>
    </cfRule>
  </conditionalFormatting>
  <conditionalFormatting sqref="Q29">
    <cfRule type="cellIs" dxfId="3716" priority="226" operator="lessThan">
      <formula>50</formula>
    </cfRule>
  </conditionalFormatting>
  <conditionalFormatting sqref="H30:O30">
    <cfRule type="cellIs" dxfId="3715" priority="222" operator="lessThan">
      <formula>50</formula>
    </cfRule>
    <cfRule type="cellIs" dxfId="3714" priority="223" operator="lessThan">
      <formula>5</formula>
    </cfRule>
    <cfRule type="cellIs" dxfId="3713" priority="224" operator="lessThan">
      <formula>5</formula>
    </cfRule>
    <cfRule type="cellIs" dxfId="3712" priority="225" operator="lessThan">
      <formula>5</formula>
    </cfRule>
  </conditionalFormatting>
  <conditionalFormatting sqref="Q30">
    <cfRule type="cellIs" dxfId="3711" priority="221" operator="lessThan">
      <formula>50</formula>
    </cfRule>
  </conditionalFormatting>
  <conditionalFormatting sqref="H31:O31">
    <cfRule type="cellIs" dxfId="3710" priority="217" operator="lessThan">
      <formula>50</formula>
    </cfRule>
    <cfRule type="cellIs" dxfId="3709" priority="218" operator="lessThan">
      <formula>5</formula>
    </cfRule>
    <cfRule type="cellIs" dxfId="3708" priority="219" operator="lessThan">
      <formula>5</formula>
    </cfRule>
    <cfRule type="cellIs" dxfId="3707" priority="220" operator="lessThan">
      <formula>5</formula>
    </cfRule>
  </conditionalFormatting>
  <conditionalFormatting sqref="Q31">
    <cfRule type="cellIs" dxfId="3706" priority="216" operator="lessThan">
      <formula>50</formula>
    </cfRule>
  </conditionalFormatting>
  <conditionalFormatting sqref="H32:O32">
    <cfRule type="cellIs" dxfId="3705" priority="212" operator="lessThan">
      <formula>50</formula>
    </cfRule>
    <cfRule type="cellIs" dxfId="3704" priority="213" operator="lessThan">
      <formula>5</formula>
    </cfRule>
    <cfRule type="cellIs" dxfId="3703" priority="214" operator="lessThan">
      <formula>5</formula>
    </cfRule>
    <cfRule type="cellIs" dxfId="3702" priority="215" operator="lessThan">
      <formula>5</formula>
    </cfRule>
  </conditionalFormatting>
  <conditionalFormatting sqref="Q32">
    <cfRule type="cellIs" dxfId="3701" priority="211" operator="lessThan">
      <formula>50</formula>
    </cfRule>
  </conditionalFormatting>
  <conditionalFormatting sqref="H33:O33">
    <cfRule type="cellIs" dxfId="3700" priority="207" operator="lessThan">
      <formula>50</formula>
    </cfRule>
    <cfRule type="cellIs" dxfId="3699" priority="208" operator="lessThan">
      <formula>5</formula>
    </cfRule>
    <cfRule type="cellIs" dxfId="3698" priority="209" operator="lessThan">
      <formula>5</formula>
    </cfRule>
    <cfRule type="cellIs" dxfId="3697" priority="210" operator="lessThan">
      <formula>5</formula>
    </cfRule>
  </conditionalFormatting>
  <conditionalFormatting sqref="Q33">
    <cfRule type="cellIs" dxfId="3696" priority="206" operator="lessThan">
      <formula>50</formula>
    </cfRule>
  </conditionalFormatting>
  <conditionalFormatting sqref="H34:O34">
    <cfRule type="cellIs" dxfId="3695" priority="202" operator="lessThan">
      <formula>50</formula>
    </cfRule>
    <cfRule type="cellIs" dxfId="3694" priority="203" operator="lessThan">
      <formula>5</formula>
    </cfRule>
    <cfRule type="cellIs" dxfId="3693" priority="204" operator="lessThan">
      <formula>5</formula>
    </cfRule>
    <cfRule type="cellIs" dxfId="3692" priority="205" operator="lessThan">
      <formula>5</formula>
    </cfRule>
  </conditionalFormatting>
  <conditionalFormatting sqref="Q34">
    <cfRule type="cellIs" dxfId="3691" priority="201" operator="lessThan">
      <formula>50</formula>
    </cfRule>
  </conditionalFormatting>
  <conditionalFormatting sqref="H35:O35">
    <cfRule type="cellIs" dxfId="3690" priority="197" operator="lessThan">
      <formula>50</formula>
    </cfRule>
    <cfRule type="cellIs" dxfId="3689" priority="198" operator="lessThan">
      <formula>5</formula>
    </cfRule>
    <cfRule type="cellIs" dxfId="3688" priority="199" operator="lessThan">
      <formula>5</formula>
    </cfRule>
    <cfRule type="cellIs" dxfId="3687" priority="200" operator="lessThan">
      <formula>5</formula>
    </cfRule>
  </conditionalFormatting>
  <conditionalFormatting sqref="Q35">
    <cfRule type="cellIs" dxfId="3686" priority="196" operator="lessThan">
      <formula>50</formula>
    </cfRule>
  </conditionalFormatting>
  <conditionalFormatting sqref="H36:O36">
    <cfRule type="cellIs" dxfId="3685" priority="192" operator="lessThan">
      <formula>50</formula>
    </cfRule>
    <cfRule type="cellIs" dxfId="3684" priority="193" operator="lessThan">
      <formula>5</formula>
    </cfRule>
    <cfRule type="cellIs" dxfId="3683" priority="194" operator="lessThan">
      <formula>5</formula>
    </cfRule>
    <cfRule type="cellIs" dxfId="3682" priority="195" operator="lessThan">
      <formula>5</formula>
    </cfRule>
  </conditionalFormatting>
  <conditionalFormatting sqref="Q36">
    <cfRule type="cellIs" dxfId="3681" priority="191" operator="lessThan">
      <formula>50</formula>
    </cfRule>
  </conditionalFormatting>
  <conditionalFormatting sqref="H37:O37">
    <cfRule type="cellIs" dxfId="3680" priority="187" operator="lessThan">
      <formula>50</formula>
    </cfRule>
    <cfRule type="cellIs" dxfId="3679" priority="188" operator="lessThan">
      <formula>5</formula>
    </cfRule>
    <cfRule type="cellIs" dxfId="3678" priority="189" operator="lessThan">
      <formula>5</formula>
    </cfRule>
    <cfRule type="cellIs" dxfId="3677" priority="190" operator="lessThan">
      <formula>5</formula>
    </cfRule>
  </conditionalFormatting>
  <conditionalFormatting sqref="Q37">
    <cfRule type="cellIs" dxfId="3676" priority="186" operator="lessThan">
      <formula>50</formula>
    </cfRule>
  </conditionalFormatting>
  <conditionalFormatting sqref="H38:O38">
    <cfRule type="cellIs" dxfId="3675" priority="182" operator="lessThan">
      <formula>50</formula>
    </cfRule>
    <cfRule type="cellIs" dxfId="3674" priority="183" operator="lessThan">
      <formula>5</formula>
    </cfRule>
    <cfRule type="cellIs" dxfId="3673" priority="184" operator="lessThan">
      <formula>5</formula>
    </cfRule>
    <cfRule type="cellIs" dxfId="3672" priority="185" operator="lessThan">
      <formula>5</formula>
    </cfRule>
  </conditionalFormatting>
  <conditionalFormatting sqref="Q38">
    <cfRule type="cellIs" dxfId="3671" priority="181" operator="lessThan">
      <formula>50</formula>
    </cfRule>
  </conditionalFormatting>
  <conditionalFormatting sqref="H39:O39">
    <cfRule type="cellIs" dxfId="3670" priority="177" operator="lessThan">
      <formula>50</formula>
    </cfRule>
    <cfRule type="cellIs" dxfId="3669" priority="178" operator="lessThan">
      <formula>5</formula>
    </cfRule>
    <cfRule type="cellIs" dxfId="3668" priority="179" operator="lessThan">
      <formula>5</formula>
    </cfRule>
    <cfRule type="cellIs" dxfId="3667" priority="180" operator="lessThan">
      <formula>5</formula>
    </cfRule>
  </conditionalFormatting>
  <conditionalFormatting sqref="Q39">
    <cfRule type="cellIs" dxfId="3666" priority="176" operator="lessThan">
      <formula>50</formula>
    </cfRule>
  </conditionalFormatting>
  <conditionalFormatting sqref="H40:O40">
    <cfRule type="cellIs" dxfId="3665" priority="172" operator="lessThan">
      <formula>50</formula>
    </cfRule>
    <cfRule type="cellIs" dxfId="3664" priority="173" operator="lessThan">
      <formula>5</formula>
    </cfRule>
    <cfRule type="cellIs" dxfId="3663" priority="174" operator="lessThan">
      <formula>5</formula>
    </cfRule>
    <cfRule type="cellIs" dxfId="3662" priority="175" operator="lessThan">
      <formula>5</formula>
    </cfRule>
  </conditionalFormatting>
  <conditionalFormatting sqref="Q40">
    <cfRule type="cellIs" dxfId="3661" priority="171" operator="lessThan">
      <formula>50</formula>
    </cfRule>
  </conditionalFormatting>
  <conditionalFormatting sqref="H41:O41">
    <cfRule type="cellIs" dxfId="3660" priority="167" operator="lessThan">
      <formula>50</formula>
    </cfRule>
    <cfRule type="cellIs" dxfId="3659" priority="168" operator="lessThan">
      <formula>5</formula>
    </cfRule>
    <cfRule type="cellIs" dxfId="3658" priority="169" operator="lessThan">
      <formula>5</formula>
    </cfRule>
    <cfRule type="cellIs" dxfId="3657" priority="170" operator="lessThan">
      <formula>5</formula>
    </cfRule>
  </conditionalFormatting>
  <conditionalFormatting sqref="Q41">
    <cfRule type="cellIs" dxfId="3656" priority="166" operator="lessThan">
      <formula>50</formula>
    </cfRule>
  </conditionalFormatting>
  <conditionalFormatting sqref="H42:O42">
    <cfRule type="cellIs" dxfId="3655" priority="162" operator="lessThan">
      <formula>50</formula>
    </cfRule>
    <cfRule type="cellIs" dxfId="3654" priority="163" operator="lessThan">
      <formula>5</formula>
    </cfRule>
    <cfRule type="cellIs" dxfId="3653" priority="164" operator="lessThan">
      <formula>5</formula>
    </cfRule>
    <cfRule type="cellIs" dxfId="3652" priority="165" operator="lessThan">
      <formula>5</formula>
    </cfRule>
  </conditionalFormatting>
  <conditionalFormatting sqref="Q42">
    <cfRule type="cellIs" dxfId="3651" priority="161" operator="lessThan">
      <formula>50</formula>
    </cfRule>
  </conditionalFormatting>
  <conditionalFormatting sqref="H43:O43">
    <cfRule type="cellIs" dxfId="3650" priority="157" operator="lessThan">
      <formula>50</formula>
    </cfRule>
    <cfRule type="cellIs" dxfId="3649" priority="158" operator="lessThan">
      <formula>5</formula>
    </cfRule>
    <cfRule type="cellIs" dxfId="3648" priority="159" operator="lessThan">
      <formula>5</formula>
    </cfRule>
    <cfRule type="cellIs" dxfId="3647" priority="160" operator="lessThan">
      <formula>5</formula>
    </cfRule>
  </conditionalFormatting>
  <conditionalFormatting sqref="Q43">
    <cfRule type="cellIs" dxfId="3646" priority="156" operator="lessThan">
      <formula>50</formula>
    </cfRule>
  </conditionalFormatting>
  <conditionalFormatting sqref="H44:O44">
    <cfRule type="cellIs" dxfId="3645" priority="152" operator="lessThan">
      <formula>50</formula>
    </cfRule>
    <cfRule type="cellIs" dxfId="3644" priority="153" operator="lessThan">
      <formula>5</formula>
    </cfRule>
    <cfRule type="cellIs" dxfId="3643" priority="154" operator="lessThan">
      <formula>5</formula>
    </cfRule>
    <cfRule type="cellIs" dxfId="3642" priority="155" operator="lessThan">
      <formula>5</formula>
    </cfRule>
  </conditionalFormatting>
  <conditionalFormatting sqref="Q44">
    <cfRule type="cellIs" dxfId="3641" priority="151" operator="lessThan">
      <formula>50</formula>
    </cfRule>
  </conditionalFormatting>
  <conditionalFormatting sqref="H45:O45">
    <cfRule type="cellIs" dxfId="3640" priority="147" operator="lessThan">
      <formula>50</formula>
    </cfRule>
    <cfRule type="cellIs" dxfId="3639" priority="148" operator="lessThan">
      <formula>5</formula>
    </cfRule>
    <cfRule type="cellIs" dxfId="3638" priority="149" operator="lessThan">
      <formula>5</formula>
    </cfRule>
    <cfRule type="cellIs" dxfId="3637" priority="150" operator="lessThan">
      <formula>5</formula>
    </cfRule>
  </conditionalFormatting>
  <conditionalFormatting sqref="Q45">
    <cfRule type="cellIs" dxfId="3636" priority="146" operator="lessThan">
      <formula>50</formula>
    </cfRule>
  </conditionalFormatting>
  <conditionalFormatting sqref="H46:O46">
    <cfRule type="cellIs" dxfId="3635" priority="142" operator="lessThan">
      <formula>50</formula>
    </cfRule>
    <cfRule type="cellIs" dxfId="3634" priority="143" operator="lessThan">
      <formula>5</formula>
    </cfRule>
    <cfRule type="cellIs" dxfId="3633" priority="144" operator="lessThan">
      <formula>5</formula>
    </cfRule>
    <cfRule type="cellIs" dxfId="3632" priority="145" operator="lessThan">
      <formula>5</formula>
    </cfRule>
  </conditionalFormatting>
  <conditionalFormatting sqref="Q46">
    <cfRule type="cellIs" dxfId="3631" priority="141" operator="lessThan">
      <formula>50</formula>
    </cfRule>
  </conditionalFormatting>
  <conditionalFormatting sqref="H47:O47">
    <cfRule type="cellIs" dxfId="3630" priority="137" operator="lessThan">
      <formula>50</formula>
    </cfRule>
    <cfRule type="cellIs" dxfId="3629" priority="138" operator="lessThan">
      <formula>5</formula>
    </cfRule>
    <cfRule type="cellIs" dxfId="3628" priority="139" operator="lessThan">
      <formula>5</formula>
    </cfRule>
    <cfRule type="cellIs" dxfId="3627" priority="140" operator="lessThan">
      <formula>5</formula>
    </cfRule>
  </conditionalFormatting>
  <conditionalFormatting sqref="Q47">
    <cfRule type="cellIs" dxfId="3626" priority="136" operator="lessThan">
      <formula>50</formula>
    </cfRule>
  </conditionalFormatting>
  <conditionalFormatting sqref="H48:O48">
    <cfRule type="cellIs" dxfId="3625" priority="132" operator="lessThan">
      <formula>50</formula>
    </cfRule>
    <cfRule type="cellIs" dxfId="3624" priority="133" operator="lessThan">
      <formula>5</formula>
    </cfRule>
    <cfRule type="cellIs" dxfId="3623" priority="134" operator="lessThan">
      <formula>5</formula>
    </cfRule>
    <cfRule type="cellIs" dxfId="3622" priority="135" operator="lessThan">
      <formula>5</formula>
    </cfRule>
  </conditionalFormatting>
  <conditionalFormatting sqref="Q48">
    <cfRule type="cellIs" dxfId="3621" priority="131" operator="lessThan">
      <formula>50</formula>
    </cfRule>
  </conditionalFormatting>
  <conditionalFormatting sqref="H49:O49">
    <cfRule type="cellIs" dxfId="3620" priority="127" operator="lessThan">
      <formula>50</formula>
    </cfRule>
    <cfRule type="cellIs" dxfId="3619" priority="128" operator="lessThan">
      <formula>5</formula>
    </cfRule>
    <cfRule type="cellIs" dxfId="3618" priority="129" operator="lessThan">
      <formula>5</formula>
    </cfRule>
    <cfRule type="cellIs" dxfId="3617" priority="130" operator="lessThan">
      <formula>5</formula>
    </cfRule>
  </conditionalFormatting>
  <conditionalFormatting sqref="Q49">
    <cfRule type="cellIs" dxfId="3616" priority="126" operator="lessThan">
      <formula>50</formula>
    </cfRule>
  </conditionalFormatting>
  <conditionalFormatting sqref="H50:O50">
    <cfRule type="cellIs" dxfId="3615" priority="122" operator="lessThan">
      <formula>50</formula>
    </cfRule>
    <cfRule type="cellIs" dxfId="3614" priority="123" operator="lessThan">
      <formula>5</formula>
    </cfRule>
    <cfRule type="cellIs" dxfId="3613" priority="124" operator="lessThan">
      <formula>5</formula>
    </cfRule>
    <cfRule type="cellIs" dxfId="3612" priority="125" operator="lessThan">
      <formula>5</formula>
    </cfRule>
  </conditionalFormatting>
  <conditionalFormatting sqref="Q50">
    <cfRule type="cellIs" dxfId="3611" priority="121" operator="lessThan">
      <formula>50</formula>
    </cfRule>
  </conditionalFormatting>
  <conditionalFormatting sqref="H51:O51">
    <cfRule type="cellIs" dxfId="3610" priority="117" operator="lessThan">
      <formula>50</formula>
    </cfRule>
    <cfRule type="cellIs" dxfId="3609" priority="118" operator="lessThan">
      <formula>5</formula>
    </cfRule>
    <cfRule type="cellIs" dxfId="3608" priority="119" operator="lessThan">
      <formula>5</formula>
    </cfRule>
    <cfRule type="cellIs" dxfId="3607" priority="120" operator="lessThan">
      <formula>5</formula>
    </cfRule>
  </conditionalFormatting>
  <conditionalFormatting sqref="Q51">
    <cfRule type="cellIs" dxfId="3606" priority="116" operator="lessThan">
      <formula>50</formula>
    </cfRule>
  </conditionalFormatting>
  <conditionalFormatting sqref="H52:O52">
    <cfRule type="cellIs" dxfId="3605" priority="112" operator="lessThan">
      <formula>50</formula>
    </cfRule>
    <cfRule type="cellIs" dxfId="3604" priority="113" operator="lessThan">
      <formula>5</formula>
    </cfRule>
    <cfRule type="cellIs" dxfId="3603" priority="114" operator="lessThan">
      <formula>5</formula>
    </cfRule>
    <cfRule type="cellIs" dxfId="3602" priority="115" operator="lessThan">
      <formula>5</formula>
    </cfRule>
  </conditionalFormatting>
  <conditionalFormatting sqref="Q52">
    <cfRule type="cellIs" dxfId="3601" priority="111" operator="lessThan">
      <formula>50</formula>
    </cfRule>
  </conditionalFormatting>
  <conditionalFormatting sqref="H53:O53">
    <cfRule type="cellIs" dxfId="3600" priority="107" operator="lessThan">
      <formula>50</formula>
    </cfRule>
    <cfRule type="cellIs" dxfId="3599" priority="108" operator="lessThan">
      <formula>5</formula>
    </cfRule>
    <cfRule type="cellIs" dxfId="3598" priority="109" operator="lessThan">
      <formula>5</formula>
    </cfRule>
    <cfRule type="cellIs" dxfId="3597" priority="110" operator="lessThan">
      <formula>5</formula>
    </cfRule>
  </conditionalFormatting>
  <conditionalFormatting sqref="Q53">
    <cfRule type="cellIs" dxfId="3596" priority="106" operator="lessThan">
      <formula>50</formula>
    </cfRule>
  </conditionalFormatting>
  <conditionalFormatting sqref="H54:O54">
    <cfRule type="cellIs" dxfId="3595" priority="102" operator="lessThan">
      <formula>50</formula>
    </cfRule>
    <cfRule type="cellIs" dxfId="3594" priority="103" operator="lessThan">
      <formula>5</formula>
    </cfRule>
    <cfRule type="cellIs" dxfId="3593" priority="104" operator="lessThan">
      <formula>5</formula>
    </cfRule>
    <cfRule type="cellIs" dxfId="3592" priority="105" operator="lessThan">
      <formula>5</formula>
    </cfRule>
  </conditionalFormatting>
  <conditionalFormatting sqref="Q54">
    <cfRule type="cellIs" dxfId="3591" priority="101" operator="lessThan">
      <formula>50</formula>
    </cfRule>
  </conditionalFormatting>
  <conditionalFormatting sqref="H55:O55">
    <cfRule type="cellIs" dxfId="3590" priority="97" operator="lessThan">
      <formula>50</formula>
    </cfRule>
    <cfRule type="cellIs" dxfId="3589" priority="98" operator="lessThan">
      <formula>5</formula>
    </cfRule>
    <cfRule type="cellIs" dxfId="3588" priority="99" operator="lessThan">
      <formula>5</formula>
    </cfRule>
    <cfRule type="cellIs" dxfId="3587" priority="100" operator="lessThan">
      <formula>5</formula>
    </cfRule>
  </conditionalFormatting>
  <conditionalFormatting sqref="Q55">
    <cfRule type="cellIs" dxfId="3586" priority="96" operator="lessThan">
      <formula>50</formula>
    </cfRule>
  </conditionalFormatting>
  <conditionalFormatting sqref="H56:O56">
    <cfRule type="cellIs" dxfId="3585" priority="92" operator="lessThan">
      <formula>50</formula>
    </cfRule>
    <cfRule type="cellIs" dxfId="3584" priority="93" operator="lessThan">
      <formula>5</formula>
    </cfRule>
    <cfRule type="cellIs" dxfId="3583" priority="94" operator="lessThan">
      <formula>5</formula>
    </cfRule>
    <cfRule type="cellIs" dxfId="3582" priority="95" operator="lessThan">
      <formula>5</formula>
    </cfRule>
  </conditionalFormatting>
  <conditionalFormatting sqref="Q56">
    <cfRule type="cellIs" dxfId="3581" priority="91" operator="lessThan">
      <formula>50</formula>
    </cfRule>
  </conditionalFormatting>
  <conditionalFormatting sqref="H57:O57">
    <cfRule type="cellIs" dxfId="3580" priority="87" operator="lessThan">
      <formula>50</formula>
    </cfRule>
    <cfRule type="cellIs" dxfId="3579" priority="88" operator="lessThan">
      <formula>5</formula>
    </cfRule>
    <cfRule type="cellIs" dxfId="3578" priority="89" operator="lessThan">
      <formula>5</formula>
    </cfRule>
    <cfRule type="cellIs" dxfId="3577" priority="90" operator="lessThan">
      <formula>5</formula>
    </cfRule>
  </conditionalFormatting>
  <conditionalFormatting sqref="Q57">
    <cfRule type="cellIs" dxfId="3576" priority="86" operator="lessThan">
      <formula>50</formula>
    </cfRule>
  </conditionalFormatting>
  <conditionalFormatting sqref="H58:O58">
    <cfRule type="cellIs" dxfId="3575" priority="82" operator="lessThan">
      <formula>50</formula>
    </cfRule>
    <cfRule type="cellIs" dxfId="3574" priority="83" operator="lessThan">
      <formula>5</formula>
    </cfRule>
    <cfRule type="cellIs" dxfId="3573" priority="84" operator="lessThan">
      <formula>5</formula>
    </cfRule>
    <cfRule type="cellIs" dxfId="3572" priority="85" operator="lessThan">
      <formula>5</formula>
    </cfRule>
  </conditionalFormatting>
  <conditionalFormatting sqref="Q58">
    <cfRule type="cellIs" dxfId="3571" priority="81" operator="lessThan">
      <formula>50</formula>
    </cfRule>
  </conditionalFormatting>
  <conditionalFormatting sqref="H59:O59">
    <cfRule type="cellIs" dxfId="3570" priority="77" operator="lessThan">
      <formula>50</formula>
    </cfRule>
    <cfRule type="cellIs" dxfId="3569" priority="78" operator="lessThan">
      <formula>5</formula>
    </cfRule>
    <cfRule type="cellIs" dxfId="3568" priority="79" operator="lessThan">
      <formula>5</formula>
    </cfRule>
    <cfRule type="cellIs" dxfId="3567" priority="80" operator="lessThan">
      <formula>5</formula>
    </cfRule>
  </conditionalFormatting>
  <conditionalFormatting sqref="Q59">
    <cfRule type="cellIs" dxfId="3566" priority="76" operator="lessThan">
      <formula>50</formula>
    </cfRule>
  </conditionalFormatting>
  <conditionalFormatting sqref="H60:O60">
    <cfRule type="cellIs" dxfId="3565" priority="72" operator="lessThan">
      <formula>50</formula>
    </cfRule>
    <cfRule type="cellIs" dxfId="3564" priority="73" operator="lessThan">
      <formula>5</formula>
    </cfRule>
    <cfRule type="cellIs" dxfId="3563" priority="74" operator="lessThan">
      <formula>5</formula>
    </cfRule>
    <cfRule type="cellIs" dxfId="3562" priority="75" operator="lessThan">
      <formula>5</formula>
    </cfRule>
  </conditionalFormatting>
  <conditionalFormatting sqref="Q60">
    <cfRule type="cellIs" dxfId="3561" priority="71" operator="lessThan">
      <formula>50</formula>
    </cfRule>
  </conditionalFormatting>
  <conditionalFormatting sqref="H61:O61">
    <cfRule type="cellIs" dxfId="3560" priority="67" operator="lessThan">
      <formula>50</formula>
    </cfRule>
    <cfRule type="cellIs" dxfId="3559" priority="68" operator="lessThan">
      <formula>5</formula>
    </cfRule>
    <cfRule type="cellIs" dxfId="3558" priority="69" operator="lessThan">
      <formula>5</formula>
    </cfRule>
    <cfRule type="cellIs" dxfId="3557" priority="70" operator="lessThan">
      <formula>5</formula>
    </cfRule>
  </conditionalFormatting>
  <conditionalFormatting sqref="Q61">
    <cfRule type="cellIs" dxfId="3556" priority="66" operator="lessThan">
      <formula>50</formula>
    </cfRule>
  </conditionalFormatting>
  <conditionalFormatting sqref="H62:O62">
    <cfRule type="cellIs" dxfId="3555" priority="62" operator="lessThan">
      <formula>50</formula>
    </cfRule>
    <cfRule type="cellIs" dxfId="3554" priority="63" operator="lessThan">
      <formula>5</formula>
    </cfRule>
    <cfRule type="cellIs" dxfId="3553" priority="64" operator="lessThan">
      <formula>5</formula>
    </cfRule>
    <cfRule type="cellIs" dxfId="3552" priority="65" operator="lessThan">
      <formula>5</formula>
    </cfRule>
  </conditionalFormatting>
  <conditionalFormatting sqref="Q62">
    <cfRule type="cellIs" dxfId="3551" priority="61" operator="lessThan">
      <formula>50</formula>
    </cfRule>
  </conditionalFormatting>
  <conditionalFormatting sqref="H63:O63">
    <cfRule type="cellIs" dxfId="3550" priority="57" operator="lessThan">
      <formula>50</formula>
    </cfRule>
    <cfRule type="cellIs" dxfId="3549" priority="58" operator="lessThan">
      <formula>5</formula>
    </cfRule>
    <cfRule type="cellIs" dxfId="3548" priority="59" operator="lessThan">
      <formula>5</formula>
    </cfRule>
    <cfRule type="cellIs" dxfId="3547" priority="60" operator="lessThan">
      <formula>5</formula>
    </cfRule>
  </conditionalFormatting>
  <conditionalFormatting sqref="Q63">
    <cfRule type="cellIs" dxfId="3546" priority="56" operator="lessThan">
      <formula>50</formula>
    </cfRule>
  </conditionalFormatting>
  <conditionalFormatting sqref="H64:O64">
    <cfRule type="cellIs" dxfId="3545" priority="52" operator="lessThan">
      <formula>50</formula>
    </cfRule>
    <cfRule type="cellIs" dxfId="3544" priority="53" operator="lessThan">
      <formula>5</formula>
    </cfRule>
    <cfRule type="cellIs" dxfId="3543" priority="54" operator="lessThan">
      <formula>5</formula>
    </cfRule>
    <cfRule type="cellIs" dxfId="3542" priority="55" operator="lessThan">
      <formula>5</formula>
    </cfRule>
  </conditionalFormatting>
  <conditionalFormatting sqref="Q64">
    <cfRule type="cellIs" dxfId="3541" priority="51" operator="lessThan">
      <formula>50</formula>
    </cfRule>
  </conditionalFormatting>
  <conditionalFormatting sqref="H65:O65">
    <cfRule type="cellIs" dxfId="3540" priority="47" operator="lessThan">
      <formula>50</formula>
    </cfRule>
    <cfRule type="cellIs" dxfId="3539" priority="48" operator="lessThan">
      <formula>5</formula>
    </cfRule>
    <cfRule type="cellIs" dxfId="3538" priority="49" operator="lessThan">
      <formula>5</formula>
    </cfRule>
    <cfRule type="cellIs" dxfId="3537" priority="50" operator="lessThan">
      <formula>5</formula>
    </cfRule>
  </conditionalFormatting>
  <conditionalFormatting sqref="Q65">
    <cfRule type="cellIs" dxfId="3536" priority="46" operator="lessThan">
      <formula>50</formula>
    </cfRule>
  </conditionalFormatting>
  <conditionalFormatting sqref="H66:O66">
    <cfRule type="cellIs" dxfId="3535" priority="42" operator="lessThan">
      <formula>50</formula>
    </cfRule>
    <cfRule type="cellIs" dxfId="3534" priority="43" operator="lessThan">
      <formula>5</formula>
    </cfRule>
    <cfRule type="cellIs" dxfId="3533" priority="44" operator="lessThan">
      <formula>5</formula>
    </cfRule>
    <cfRule type="cellIs" dxfId="3532" priority="45" operator="lessThan">
      <formula>5</formula>
    </cfRule>
  </conditionalFormatting>
  <conditionalFormatting sqref="Q66">
    <cfRule type="cellIs" dxfId="3531" priority="41" operator="lessThan">
      <formula>50</formula>
    </cfRule>
  </conditionalFormatting>
  <conditionalFormatting sqref="H67:O67">
    <cfRule type="cellIs" dxfId="3530" priority="37" operator="lessThan">
      <formula>50</formula>
    </cfRule>
    <cfRule type="cellIs" dxfId="3529" priority="38" operator="lessThan">
      <formula>5</formula>
    </cfRule>
    <cfRule type="cellIs" dxfId="3528" priority="39" operator="lessThan">
      <formula>5</formula>
    </cfRule>
    <cfRule type="cellIs" dxfId="3527" priority="40" operator="lessThan">
      <formula>5</formula>
    </cfRule>
  </conditionalFormatting>
  <conditionalFormatting sqref="Q67">
    <cfRule type="cellIs" dxfId="3526" priority="36" operator="lessThan">
      <formula>50</formula>
    </cfRule>
  </conditionalFormatting>
  <conditionalFormatting sqref="H68:O68">
    <cfRule type="cellIs" dxfId="3525" priority="32" operator="lessThan">
      <formula>50</formula>
    </cfRule>
    <cfRule type="cellIs" dxfId="3524" priority="33" operator="lessThan">
      <formula>5</formula>
    </cfRule>
    <cfRule type="cellIs" dxfId="3523" priority="34" operator="lessThan">
      <formula>5</formula>
    </cfRule>
    <cfRule type="cellIs" dxfId="3522" priority="35" operator="lessThan">
      <formula>5</formula>
    </cfRule>
  </conditionalFormatting>
  <conditionalFormatting sqref="Q68">
    <cfRule type="cellIs" dxfId="3521" priority="31" operator="lessThan">
      <formula>50</formula>
    </cfRule>
  </conditionalFormatting>
  <conditionalFormatting sqref="H69:O69">
    <cfRule type="cellIs" dxfId="3520" priority="27" operator="lessThan">
      <formula>50</formula>
    </cfRule>
    <cfRule type="cellIs" dxfId="3519" priority="28" operator="lessThan">
      <formula>5</formula>
    </cfRule>
    <cfRule type="cellIs" dxfId="3518" priority="29" operator="lessThan">
      <formula>5</formula>
    </cfRule>
    <cfRule type="cellIs" dxfId="3517" priority="30" operator="lessThan">
      <formula>5</formula>
    </cfRule>
  </conditionalFormatting>
  <conditionalFormatting sqref="Q69">
    <cfRule type="cellIs" dxfId="3516" priority="26" operator="lessThan">
      <formula>50</formula>
    </cfRule>
  </conditionalFormatting>
  <conditionalFormatting sqref="H70:O70">
    <cfRule type="cellIs" dxfId="3515" priority="22" operator="lessThan">
      <formula>50</formula>
    </cfRule>
    <cfRule type="cellIs" dxfId="3514" priority="23" operator="lessThan">
      <formula>5</formula>
    </cfRule>
    <cfRule type="cellIs" dxfId="3513" priority="24" operator="lessThan">
      <formula>5</formula>
    </cfRule>
    <cfRule type="cellIs" dxfId="3512" priority="25" operator="lessThan">
      <formula>5</formula>
    </cfRule>
  </conditionalFormatting>
  <conditionalFormatting sqref="Q70">
    <cfRule type="cellIs" dxfId="3511" priority="21" operator="lessThan">
      <formula>50</formula>
    </cfRule>
  </conditionalFormatting>
  <conditionalFormatting sqref="H71:O71">
    <cfRule type="cellIs" dxfId="3510" priority="17" operator="lessThan">
      <formula>50</formula>
    </cfRule>
    <cfRule type="cellIs" dxfId="3509" priority="18" operator="lessThan">
      <formula>5</formula>
    </cfRule>
    <cfRule type="cellIs" dxfId="3508" priority="19" operator="lessThan">
      <formula>5</formula>
    </cfRule>
    <cfRule type="cellIs" dxfId="3507" priority="20" operator="lessThan">
      <formula>5</formula>
    </cfRule>
  </conditionalFormatting>
  <conditionalFormatting sqref="Q71">
    <cfRule type="cellIs" dxfId="3506" priority="16" operator="lessThan">
      <formula>50</formula>
    </cfRule>
  </conditionalFormatting>
  <conditionalFormatting sqref="H72:O72">
    <cfRule type="cellIs" dxfId="3505" priority="12" operator="lessThan">
      <formula>50</formula>
    </cfRule>
    <cfRule type="cellIs" dxfId="3504" priority="13" operator="lessThan">
      <formula>5</formula>
    </cfRule>
    <cfRule type="cellIs" dxfId="3503" priority="14" operator="lessThan">
      <formula>5</formula>
    </cfRule>
    <cfRule type="cellIs" dxfId="3502" priority="15" operator="lessThan">
      <formula>5</formula>
    </cfRule>
  </conditionalFormatting>
  <conditionalFormatting sqref="Q72">
    <cfRule type="cellIs" dxfId="3501" priority="11" operator="lessThan">
      <formula>50</formula>
    </cfRule>
  </conditionalFormatting>
  <conditionalFormatting sqref="H73:O73">
    <cfRule type="cellIs" dxfId="3500" priority="7" operator="lessThan">
      <formula>50</formula>
    </cfRule>
    <cfRule type="cellIs" dxfId="3499" priority="8" operator="lessThan">
      <formula>5</formula>
    </cfRule>
    <cfRule type="cellIs" dxfId="3498" priority="9" operator="lessThan">
      <formula>5</formula>
    </cfRule>
    <cfRule type="cellIs" dxfId="3497" priority="10" operator="lessThan">
      <formula>5</formula>
    </cfRule>
  </conditionalFormatting>
  <conditionalFormatting sqref="Q73">
    <cfRule type="cellIs" dxfId="3496" priority="6" operator="lessThan">
      <formula>50</formula>
    </cfRule>
  </conditionalFormatting>
  <conditionalFormatting sqref="H74:O74">
    <cfRule type="cellIs" dxfId="3495" priority="2" operator="lessThan">
      <formula>50</formula>
    </cfRule>
    <cfRule type="cellIs" dxfId="3494" priority="3" operator="lessThan">
      <formula>5</formula>
    </cfRule>
    <cfRule type="cellIs" dxfId="3493" priority="4" operator="lessThan">
      <formula>5</formula>
    </cfRule>
    <cfRule type="cellIs" dxfId="3492" priority="5" operator="lessThan">
      <formula>5</formula>
    </cfRule>
  </conditionalFormatting>
  <conditionalFormatting sqref="Q74">
    <cfRule type="cellIs" dxfId="3491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0:E11 D13:E18 D38:E38 D40:E40 D53:E53" xr:uid="{7FB05E32-99EA-4846-8662-337F8599C2B1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481F-FE63-4517-A1F5-367F7DD3F6C7}">
  <sheetPr codeName="Sheet107"/>
  <dimension ref="A1:R73"/>
  <sheetViews>
    <sheetView showGridLines="0" topLeftCell="A22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5" width="4.7109375" customWidth="1"/>
    <col min="16" max="16" width="6.7109375" customWidth="1"/>
    <col min="17" max="17" width="4.7109375" style="44" customWidth="1"/>
    <col min="18" max="18" width="4.7109375" customWidth="1"/>
  </cols>
  <sheetData>
    <row r="1" spans="1:18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49"/>
      <c r="R1" s="16"/>
    </row>
    <row r="2" spans="1:18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0"/>
      <c r="R2" s="11"/>
    </row>
    <row r="3" spans="1:18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0"/>
      <c r="R3" s="11"/>
    </row>
    <row r="4" spans="1:18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51"/>
      <c r="R4" s="11"/>
    </row>
    <row r="5" spans="1:18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52"/>
      <c r="R5" s="12"/>
    </row>
    <row r="6" spans="1:18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16</v>
      </c>
      <c r="I6" s="39" t="s">
        <v>3</v>
      </c>
      <c r="J6" s="39" t="s">
        <v>17</v>
      </c>
      <c r="K6" s="39" t="s">
        <v>15</v>
      </c>
      <c r="L6" s="39" t="s">
        <v>18</v>
      </c>
      <c r="M6" s="39" t="s">
        <v>19</v>
      </c>
      <c r="N6" s="39" t="s">
        <v>20</v>
      </c>
      <c r="O6" s="39" t="s">
        <v>21</v>
      </c>
      <c r="P6" s="39" t="s">
        <v>5320</v>
      </c>
      <c r="Q6" s="53" t="s">
        <v>5321</v>
      </c>
      <c r="R6" s="39" t="s">
        <v>5324</v>
      </c>
    </row>
    <row r="7" spans="1:18" ht="18" customHeight="1" thickTop="1">
      <c r="A7" s="19">
        <v>1</v>
      </c>
      <c r="B7" s="2" t="s">
        <v>3876</v>
      </c>
      <c r="C7" s="1">
        <v>4232868</v>
      </c>
      <c r="D7" s="3" t="s">
        <v>3877</v>
      </c>
      <c r="E7" s="1" t="s">
        <v>69</v>
      </c>
      <c r="F7" s="10" t="s">
        <v>3848</v>
      </c>
      <c r="G7" s="2">
        <v>17</v>
      </c>
      <c r="H7" s="6">
        <v>100</v>
      </c>
      <c r="I7" s="6">
        <v>100</v>
      </c>
      <c r="J7" s="6">
        <v>96</v>
      </c>
      <c r="K7" s="6">
        <v>84</v>
      </c>
      <c r="L7" s="6">
        <v>76</v>
      </c>
      <c r="M7" s="6">
        <v>88</v>
      </c>
      <c r="N7" s="6">
        <v>96</v>
      </c>
      <c r="O7" s="6">
        <v>92</v>
      </c>
      <c r="P7" s="1">
        <f t="shared" ref="P7:P38" si="0">SUBTOTAL(9,H7:O7)</f>
        <v>732</v>
      </c>
      <c r="Q7" s="14">
        <f t="shared" ref="Q7:Q38" si="1">P7/8</f>
        <v>91.5</v>
      </c>
      <c r="R7" s="20">
        <f t="shared" ref="R7:R38" si="2">RANK(Q7,Q$7:Q$274,0)</f>
        <v>1</v>
      </c>
    </row>
    <row r="8" spans="1:18" ht="18" customHeight="1">
      <c r="A8" s="19">
        <v>2</v>
      </c>
      <c r="B8" s="2" t="s">
        <v>4002</v>
      </c>
      <c r="C8" s="1">
        <v>311260951</v>
      </c>
      <c r="D8" s="3" t="s">
        <v>4003</v>
      </c>
      <c r="E8" s="1" t="s">
        <v>64</v>
      </c>
      <c r="F8" s="10" t="s">
        <v>3848</v>
      </c>
      <c r="G8" s="2">
        <v>20</v>
      </c>
      <c r="H8" s="6">
        <v>92</v>
      </c>
      <c r="I8" s="6">
        <v>100</v>
      </c>
      <c r="J8" s="6">
        <v>84</v>
      </c>
      <c r="K8" s="6">
        <v>84</v>
      </c>
      <c r="L8" s="6">
        <v>56</v>
      </c>
      <c r="M8" s="6">
        <v>88</v>
      </c>
      <c r="N8" s="6">
        <v>92</v>
      </c>
      <c r="O8" s="6">
        <v>80</v>
      </c>
      <c r="P8" s="1">
        <f t="shared" si="0"/>
        <v>676</v>
      </c>
      <c r="Q8" s="14">
        <f t="shared" si="1"/>
        <v>84.5</v>
      </c>
      <c r="R8" s="20">
        <f t="shared" si="2"/>
        <v>2</v>
      </c>
    </row>
    <row r="9" spans="1:18" ht="18" customHeight="1">
      <c r="A9" s="19">
        <v>3</v>
      </c>
      <c r="B9" s="2" t="s">
        <v>3885</v>
      </c>
      <c r="C9" s="1" t="s">
        <v>3886</v>
      </c>
      <c r="D9" s="3" t="s">
        <v>3887</v>
      </c>
      <c r="E9" s="1" t="s">
        <v>70</v>
      </c>
      <c r="F9" s="10" t="s">
        <v>3848</v>
      </c>
      <c r="G9" s="2">
        <v>17</v>
      </c>
      <c r="H9" s="6">
        <v>72</v>
      </c>
      <c r="I9" s="6">
        <v>100</v>
      </c>
      <c r="J9" s="6">
        <v>80</v>
      </c>
      <c r="K9" s="6">
        <v>92</v>
      </c>
      <c r="L9" s="6">
        <v>68</v>
      </c>
      <c r="M9" s="6">
        <v>84</v>
      </c>
      <c r="N9" s="6">
        <v>80</v>
      </c>
      <c r="O9" s="6">
        <v>92</v>
      </c>
      <c r="P9" s="1">
        <f t="shared" si="0"/>
        <v>668</v>
      </c>
      <c r="Q9" s="14">
        <f t="shared" si="1"/>
        <v>83.5</v>
      </c>
      <c r="R9" s="20">
        <f t="shared" si="2"/>
        <v>3</v>
      </c>
    </row>
    <row r="10" spans="1:18" ht="18" customHeight="1">
      <c r="A10" s="19">
        <v>4</v>
      </c>
      <c r="B10" s="2" t="s">
        <v>3855</v>
      </c>
      <c r="C10" s="1">
        <v>311220713</v>
      </c>
      <c r="D10" s="3" t="s">
        <v>3856</v>
      </c>
      <c r="E10" s="1" t="s">
        <v>74</v>
      </c>
      <c r="F10" s="10" t="s">
        <v>3848</v>
      </c>
      <c r="G10" s="2">
        <v>16</v>
      </c>
      <c r="H10" s="6">
        <v>64</v>
      </c>
      <c r="I10" s="6">
        <v>100</v>
      </c>
      <c r="J10" s="6">
        <v>88</v>
      </c>
      <c r="K10" s="6">
        <v>100</v>
      </c>
      <c r="L10" s="6">
        <v>92</v>
      </c>
      <c r="M10" s="6">
        <v>88</v>
      </c>
      <c r="N10" s="6">
        <v>68</v>
      </c>
      <c r="O10" s="6">
        <v>36</v>
      </c>
      <c r="P10" s="1">
        <f t="shared" si="0"/>
        <v>636</v>
      </c>
      <c r="Q10" s="14">
        <f t="shared" si="1"/>
        <v>79.5</v>
      </c>
      <c r="R10" s="20">
        <f t="shared" si="2"/>
        <v>4</v>
      </c>
    </row>
    <row r="11" spans="1:18" ht="18" customHeight="1">
      <c r="A11" s="19">
        <v>5</v>
      </c>
      <c r="B11" s="2" t="s">
        <v>3926</v>
      </c>
      <c r="C11" s="1" t="s">
        <v>3927</v>
      </c>
      <c r="D11" s="3" t="s">
        <v>3928</v>
      </c>
      <c r="E11" s="1" t="s">
        <v>61</v>
      </c>
      <c r="F11" s="10" t="s">
        <v>3848</v>
      </c>
      <c r="G11" s="2">
        <v>18</v>
      </c>
      <c r="H11" s="6">
        <v>48</v>
      </c>
      <c r="I11" s="6">
        <v>100</v>
      </c>
      <c r="J11" s="6">
        <v>72</v>
      </c>
      <c r="K11" s="6">
        <v>92</v>
      </c>
      <c r="L11" s="6">
        <v>76</v>
      </c>
      <c r="M11" s="6">
        <v>100</v>
      </c>
      <c r="N11" s="6">
        <v>92</v>
      </c>
      <c r="O11" s="6">
        <v>54</v>
      </c>
      <c r="P11" s="1">
        <f t="shared" si="0"/>
        <v>634</v>
      </c>
      <c r="Q11" s="14">
        <f t="shared" si="1"/>
        <v>79.25</v>
      </c>
      <c r="R11" s="20">
        <f t="shared" si="2"/>
        <v>5</v>
      </c>
    </row>
    <row r="12" spans="1:18" ht="18" customHeight="1">
      <c r="A12" s="19">
        <v>6</v>
      </c>
      <c r="B12" s="2" t="s">
        <v>3929</v>
      </c>
      <c r="C12" s="1">
        <v>311240438</v>
      </c>
      <c r="D12" s="3" t="s">
        <v>3930</v>
      </c>
      <c r="E12" s="1" t="s">
        <v>61</v>
      </c>
      <c r="F12" s="10" t="s">
        <v>3848</v>
      </c>
      <c r="G12" s="2">
        <v>18</v>
      </c>
      <c r="H12" s="6">
        <v>72</v>
      </c>
      <c r="I12" s="6">
        <v>100</v>
      </c>
      <c r="J12" s="6">
        <v>80</v>
      </c>
      <c r="K12" s="6">
        <v>80</v>
      </c>
      <c r="L12" s="6">
        <v>40</v>
      </c>
      <c r="M12" s="6">
        <v>72</v>
      </c>
      <c r="N12" s="6">
        <v>84</v>
      </c>
      <c r="O12" s="6">
        <v>76</v>
      </c>
      <c r="P12" s="1">
        <f t="shared" si="0"/>
        <v>604</v>
      </c>
      <c r="Q12" s="14">
        <f t="shared" si="1"/>
        <v>75.5</v>
      </c>
      <c r="R12" s="20">
        <f t="shared" si="2"/>
        <v>6</v>
      </c>
    </row>
    <row r="13" spans="1:18" ht="18" customHeight="1">
      <c r="A13" s="19">
        <v>7</v>
      </c>
      <c r="B13" s="2" t="s">
        <v>3983</v>
      </c>
      <c r="C13" s="1" t="s">
        <v>3984</v>
      </c>
      <c r="D13" s="3" t="s">
        <v>3985</v>
      </c>
      <c r="E13" s="1" t="s">
        <v>353</v>
      </c>
      <c r="F13" s="10" t="s">
        <v>3848</v>
      </c>
      <c r="G13" s="2">
        <v>19</v>
      </c>
      <c r="H13" s="6">
        <v>64</v>
      </c>
      <c r="I13" s="6">
        <v>100</v>
      </c>
      <c r="J13" s="6">
        <v>52</v>
      </c>
      <c r="K13" s="6">
        <v>92</v>
      </c>
      <c r="L13" s="6">
        <v>44</v>
      </c>
      <c r="M13" s="6">
        <v>100</v>
      </c>
      <c r="N13" s="6">
        <v>52</v>
      </c>
      <c r="O13" s="6">
        <v>76</v>
      </c>
      <c r="P13" s="1">
        <f t="shared" si="0"/>
        <v>580</v>
      </c>
      <c r="Q13" s="14">
        <f t="shared" si="1"/>
        <v>72.5</v>
      </c>
      <c r="R13" s="20">
        <f t="shared" si="2"/>
        <v>7</v>
      </c>
    </row>
    <row r="14" spans="1:18" ht="18" customHeight="1">
      <c r="A14" s="19">
        <v>8</v>
      </c>
      <c r="B14" s="2" t="s">
        <v>3923</v>
      </c>
      <c r="C14" s="1" t="s">
        <v>3924</v>
      </c>
      <c r="D14" s="3" t="s">
        <v>3925</v>
      </c>
      <c r="E14" s="1" t="s">
        <v>60</v>
      </c>
      <c r="F14" s="10" t="s">
        <v>3848</v>
      </c>
      <c r="G14" s="2">
        <v>18</v>
      </c>
      <c r="H14" s="6">
        <v>52</v>
      </c>
      <c r="I14" s="6">
        <v>100</v>
      </c>
      <c r="J14" s="6">
        <v>76</v>
      </c>
      <c r="K14" s="6">
        <v>76</v>
      </c>
      <c r="L14" s="6">
        <v>32</v>
      </c>
      <c r="M14" s="6">
        <v>72</v>
      </c>
      <c r="N14" s="6">
        <v>72</v>
      </c>
      <c r="O14" s="6">
        <v>92</v>
      </c>
      <c r="P14" s="1">
        <f t="shared" si="0"/>
        <v>572</v>
      </c>
      <c r="Q14" s="14">
        <f t="shared" si="1"/>
        <v>71.5</v>
      </c>
      <c r="R14" s="20">
        <f t="shared" si="2"/>
        <v>8</v>
      </c>
    </row>
    <row r="15" spans="1:18" ht="18" customHeight="1">
      <c r="A15" s="19">
        <v>9</v>
      </c>
      <c r="B15" s="2" t="s">
        <v>3901</v>
      </c>
      <c r="C15" s="1">
        <v>311220630</v>
      </c>
      <c r="D15" s="3" t="s">
        <v>3902</v>
      </c>
      <c r="E15" s="1" t="s">
        <v>58</v>
      </c>
      <c r="F15" s="10" t="s">
        <v>3848</v>
      </c>
      <c r="G15" s="2">
        <v>17</v>
      </c>
      <c r="H15" s="6">
        <v>56</v>
      </c>
      <c r="I15" s="6">
        <v>74</v>
      </c>
      <c r="J15" s="6">
        <v>68</v>
      </c>
      <c r="K15" s="6">
        <v>80</v>
      </c>
      <c r="L15" s="6">
        <v>60</v>
      </c>
      <c r="M15" s="6">
        <v>88</v>
      </c>
      <c r="N15" s="6">
        <v>64</v>
      </c>
      <c r="O15" s="6">
        <v>72</v>
      </c>
      <c r="P15" s="1">
        <f t="shared" si="0"/>
        <v>562</v>
      </c>
      <c r="Q15" s="14">
        <f t="shared" si="1"/>
        <v>70.25</v>
      </c>
      <c r="R15" s="20">
        <f t="shared" si="2"/>
        <v>9</v>
      </c>
    </row>
    <row r="16" spans="1:18" ht="18" customHeight="1">
      <c r="A16" s="19">
        <v>10</v>
      </c>
      <c r="B16" s="2" t="s">
        <v>3853</v>
      </c>
      <c r="C16" s="1">
        <v>311240450</v>
      </c>
      <c r="D16" s="3" t="s">
        <v>3854</v>
      </c>
      <c r="E16" s="1" t="s">
        <v>81</v>
      </c>
      <c r="F16" s="10" t="s">
        <v>3848</v>
      </c>
      <c r="G16" s="2">
        <v>16</v>
      </c>
      <c r="H16" s="6">
        <v>48</v>
      </c>
      <c r="I16" s="6">
        <v>100</v>
      </c>
      <c r="J16" s="6">
        <v>80</v>
      </c>
      <c r="K16" s="6">
        <v>93</v>
      </c>
      <c r="L16" s="6">
        <v>32</v>
      </c>
      <c r="M16" s="6">
        <v>88</v>
      </c>
      <c r="N16" s="6">
        <v>54</v>
      </c>
      <c r="O16" s="6">
        <v>48</v>
      </c>
      <c r="P16" s="1">
        <f t="shared" si="0"/>
        <v>543</v>
      </c>
      <c r="Q16" s="14">
        <f t="shared" si="1"/>
        <v>67.875</v>
      </c>
      <c r="R16" s="20">
        <f t="shared" si="2"/>
        <v>10</v>
      </c>
    </row>
    <row r="17" spans="1:18" ht="18" customHeight="1">
      <c r="A17" s="19">
        <v>11</v>
      </c>
      <c r="B17" s="2" t="s">
        <v>3916</v>
      </c>
      <c r="C17" s="7" t="s">
        <v>3917</v>
      </c>
      <c r="D17" s="7" t="s">
        <v>3918</v>
      </c>
      <c r="E17" s="7" t="s">
        <v>59</v>
      </c>
      <c r="F17" s="10" t="s">
        <v>3848</v>
      </c>
      <c r="G17" s="2">
        <v>18</v>
      </c>
      <c r="H17" s="6">
        <v>68</v>
      </c>
      <c r="I17" s="6">
        <v>100</v>
      </c>
      <c r="J17" s="6">
        <v>84</v>
      </c>
      <c r="K17" s="6">
        <v>80</v>
      </c>
      <c r="L17" s="6">
        <v>24</v>
      </c>
      <c r="M17" s="6">
        <v>60</v>
      </c>
      <c r="N17" s="6">
        <v>76</v>
      </c>
      <c r="O17" s="6">
        <v>28</v>
      </c>
      <c r="P17" s="1">
        <f t="shared" si="0"/>
        <v>520</v>
      </c>
      <c r="Q17" s="14">
        <f t="shared" si="1"/>
        <v>65</v>
      </c>
      <c r="R17" s="20">
        <f t="shared" si="2"/>
        <v>11</v>
      </c>
    </row>
    <row r="18" spans="1:18" ht="18" customHeight="1">
      <c r="A18" s="19">
        <v>12</v>
      </c>
      <c r="B18" s="2" t="s">
        <v>3878</v>
      </c>
      <c r="C18" s="1" t="s">
        <v>3879</v>
      </c>
      <c r="D18" s="3" t="s">
        <v>3880</v>
      </c>
      <c r="E18" s="1" t="s">
        <v>55</v>
      </c>
      <c r="F18" s="10" t="s">
        <v>3848</v>
      </c>
      <c r="G18" s="2">
        <v>17</v>
      </c>
      <c r="H18" s="6">
        <v>48</v>
      </c>
      <c r="I18" s="6">
        <v>89</v>
      </c>
      <c r="J18" s="6">
        <v>80</v>
      </c>
      <c r="K18" s="6">
        <v>64</v>
      </c>
      <c r="L18" s="6">
        <v>48</v>
      </c>
      <c r="M18" s="6">
        <v>52</v>
      </c>
      <c r="N18" s="6">
        <v>76</v>
      </c>
      <c r="O18" s="6">
        <v>56</v>
      </c>
      <c r="P18" s="1">
        <f t="shared" si="0"/>
        <v>513</v>
      </c>
      <c r="Q18" s="14">
        <f t="shared" si="1"/>
        <v>64.125</v>
      </c>
      <c r="R18" s="20">
        <f t="shared" si="2"/>
        <v>12</v>
      </c>
    </row>
    <row r="19" spans="1:18" ht="18" customHeight="1">
      <c r="A19" s="19">
        <v>13</v>
      </c>
      <c r="B19" s="2" t="s">
        <v>3934</v>
      </c>
      <c r="C19" s="1" t="s">
        <v>3935</v>
      </c>
      <c r="D19" s="3" t="s">
        <v>3936</v>
      </c>
      <c r="E19" s="1" t="s">
        <v>61</v>
      </c>
      <c r="F19" s="10" t="s">
        <v>3848</v>
      </c>
      <c r="G19" s="2">
        <v>18</v>
      </c>
      <c r="H19" s="6">
        <v>40</v>
      </c>
      <c r="I19" s="6">
        <v>95</v>
      </c>
      <c r="J19" s="6">
        <v>76</v>
      </c>
      <c r="K19" s="6">
        <v>60</v>
      </c>
      <c r="L19" s="6">
        <v>36</v>
      </c>
      <c r="M19" s="6">
        <v>72</v>
      </c>
      <c r="N19" s="6">
        <v>72</v>
      </c>
      <c r="O19" s="6">
        <v>60</v>
      </c>
      <c r="P19" s="1">
        <f t="shared" si="0"/>
        <v>511</v>
      </c>
      <c r="Q19" s="14">
        <f t="shared" si="1"/>
        <v>63.875</v>
      </c>
      <c r="R19" s="20">
        <f t="shared" si="2"/>
        <v>13</v>
      </c>
    </row>
    <row r="20" spans="1:18" ht="18" customHeight="1">
      <c r="A20" s="19">
        <v>14</v>
      </c>
      <c r="B20" s="2" t="s">
        <v>3871</v>
      </c>
      <c r="C20" s="1" t="s">
        <v>3872</v>
      </c>
      <c r="D20" s="3" t="s">
        <v>3873</v>
      </c>
      <c r="E20" s="1" t="s">
        <v>69</v>
      </c>
      <c r="F20" s="10" t="s">
        <v>3848</v>
      </c>
      <c r="G20" s="2">
        <v>17</v>
      </c>
      <c r="H20" s="6">
        <v>48</v>
      </c>
      <c r="I20" s="6">
        <v>84</v>
      </c>
      <c r="J20" s="6">
        <v>68</v>
      </c>
      <c r="K20" s="6">
        <v>76</v>
      </c>
      <c r="L20" s="6">
        <v>52</v>
      </c>
      <c r="M20" s="6">
        <v>64</v>
      </c>
      <c r="N20" s="6">
        <v>76</v>
      </c>
      <c r="O20" s="6">
        <v>36</v>
      </c>
      <c r="P20" s="1">
        <f t="shared" si="0"/>
        <v>504</v>
      </c>
      <c r="Q20" s="14">
        <f t="shared" si="1"/>
        <v>63</v>
      </c>
      <c r="R20" s="20">
        <f t="shared" si="2"/>
        <v>14</v>
      </c>
    </row>
    <row r="21" spans="1:18" ht="18" customHeight="1">
      <c r="A21" s="19">
        <v>15</v>
      </c>
      <c r="B21" s="2" t="s">
        <v>3897</v>
      </c>
      <c r="C21" s="1">
        <v>311240445</v>
      </c>
      <c r="D21" s="3" t="s">
        <v>3898</v>
      </c>
      <c r="E21" s="1" t="s">
        <v>57</v>
      </c>
      <c r="F21" s="10" t="s">
        <v>3848</v>
      </c>
      <c r="G21" s="2">
        <v>17</v>
      </c>
      <c r="H21" s="6">
        <v>60</v>
      </c>
      <c r="I21" s="6">
        <v>100</v>
      </c>
      <c r="J21" s="6">
        <v>80</v>
      </c>
      <c r="K21" s="6">
        <v>76</v>
      </c>
      <c r="L21" s="6">
        <v>36</v>
      </c>
      <c r="M21" s="6">
        <v>84</v>
      </c>
      <c r="N21" s="6">
        <v>52</v>
      </c>
      <c r="O21" s="6">
        <v>16</v>
      </c>
      <c r="P21" s="1">
        <f t="shared" si="0"/>
        <v>504</v>
      </c>
      <c r="Q21" s="14">
        <f t="shared" si="1"/>
        <v>63</v>
      </c>
      <c r="R21" s="20">
        <f t="shared" si="2"/>
        <v>14</v>
      </c>
    </row>
    <row r="22" spans="1:18" ht="18" customHeight="1">
      <c r="A22" s="19">
        <v>16</v>
      </c>
      <c r="B22" s="2" t="s">
        <v>3969</v>
      </c>
      <c r="C22" s="1" t="s">
        <v>3970</v>
      </c>
      <c r="D22" s="3" t="s">
        <v>3971</v>
      </c>
      <c r="E22" s="1" t="s">
        <v>90</v>
      </c>
      <c r="F22" s="10" t="s">
        <v>3848</v>
      </c>
      <c r="G22" s="2">
        <v>19</v>
      </c>
      <c r="H22" s="6">
        <v>52</v>
      </c>
      <c r="I22" s="6">
        <v>95</v>
      </c>
      <c r="J22" s="6">
        <v>76</v>
      </c>
      <c r="K22" s="6">
        <v>64</v>
      </c>
      <c r="L22" s="6">
        <v>32</v>
      </c>
      <c r="M22" s="6">
        <v>76</v>
      </c>
      <c r="N22" s="6">
        <v>56</v>
      </c>
      <c r="O22" s="6">
        <v>52</v>
      </c>
      <c r="P22" s="1">
        <f t="shared" si="0"/>
        <v>503</v>
      </c>
      <c r="Q22" s="14">
        <f t="shared" si="1"/>
        <v>62.875</v>
      </c>
      <c r="R22" s="20">
        <f t="shared" si="2"/>
        <v>16</v>
      </c>
    </row>
    <row r="23" spans="1:18" ht="18" customHeight="1">
      <c r="A23" s="19">
        <v>17</v>
      </c>
      <c r="B23" s="2" t="s">
        <v>3965</v>
      </c>
      <c r="C23" s="1">
        <v>311240451</v>
      </c>
      <c r="D23" s="3" t="s">
        <v>3966</v>
      </c>
      <c r="E23" s="1" t="s">
        <v>78</v>
      </c>
      <c r="F23" s="10" t="s">
        <v>3848</v>
      </c>
      <c r="G23" s="2">
        <v>19</v>
      </c>
      <c r="H23" s="6">
        <v>68</v>
      </c>
      <c r="I23" s="6">
        <v>100</v>
      </c>
      <c r="J23" s="6">
        <v>96</v>
      </c>
      <c r="K23" s="6">
        <v>32</v>
      </c>
      <c r="L23" s="6">
        <v>28</v>
      </c>
      <c r="M23" s="6">
        <v>72</v>
      </c>
      <c r="N23" s="6">
        <v>68</v>
      </c>
      <c r="O23" s="6">
        <v>20</v>
      </c>
      <c r="P23" s="1">
        <f t="shared" si="0"/>
        <v>484</v>
      </c>
      <c r="Q23" s="14">
        <f t="shared" si="1"/>
        <v>60.5</v>
      </c>
      <c r="R23" s="20">
        <f t="shared" si="2"/>
        <v>17</v>
      </c>
    </row>
    <row r="24" spans="1:18" ht="18" customHeight="1">
      <c r="A24" s="19">
        <v>18</v>
      </c>
      <c r="B24" s="2" t="s">
        <v>3942</v>
      </c>
      <c r="C24" s="1" t="s">
        <v>3943</v>
      </c>
      <c r="D24" s="3" t="s">
        <v>3944</v>
      </c>
      <c r="E24" s="1" t="s">
        <v>73</v>
      </c>
      <c r="F24" s="10" t="s">
        <v>3848</v>
      </c>
      <c r="G24" s="2">
        <v>18</v>
      </c>
      <c r="H24" s="6">
        <v>68</v>
      </c>
      <c r="I24" s="6">
        <v>79</v>
      </c>
      <c r="J24" s="6">
        <v>84</v>
      </c>
      <c r="K24" s="6">
        <v>76</v>
      </c>
      <c r="L24" s="6">
        <v>32</v>
      </c>
      <c r="M24" s="6">
        <v>64</v>
      </c>
      <c r="N24" s="6">
        <v>64</v>
      </c>
      <c r="O24" s="6">
        <v>16</v>
      </c>
      <c r="P24" s="1">
        <f t="shared" si="0"/>
        <v>483</v>
      </c>
      <c r="Q24" s="14">
        <f t="shared" si="1"/>
        <v>60.375</v>
      </c>
      <c r="R24" s="20">
        <f t="shared" si="2"/>
        <v>18</v>
      </c>
    </row>
    <row r="25" spans="1:18" ht="18" customHeight="1">
      <c r="A25" s="19">
        <v>19</v>
      </c>
      <c r="B25" s="2" t="s">
        <v>3945</v>
      </c>
      <c r="C25" s="1" t="s">
        <v>3946</v>
      </c>
      <c r="D25" s="3" t="s">
        <v>3947</v>
      </c>
      <c r="E25" s="1" t="s">
        <v>64</v>
      </c>
      <c r="F25" s="10" t="s">
        <v>3848</v>
      </c>
      <c r="G25" s="2">
        <v>18</v>
      </c>
      <c r="H25" s="6">
        <v>56</v>
      </c>
      <c r="I25" s="6">
        <v>100</v>
      </c>
      <c r="J25" s="6">
        <v>76</v>
      </c>
      <c r="K25" s="6">
        <v>56</v>
      </c>
      <c r="L25" s="6">
        <v>36</v>
      </c>
      <c r="M25" s="6">
        <v>64</v>
      </c>
      <c r="N25" s="6">
        <v>52</v>
      </c>
      <c r="O25" s="6">
        <v>40</v>
      </c>
      <c r="P25" s="1">
        <f t="shared" si="0"/>
        <v>480</v>
      </c>
      <c r="Q25" s="14">
        <f t="shared" si="1"/>
        <v>60</v>
      </c>
      <c r="R25" s="20">
        <f t="shared" si="2"/>
        <v>19</v>
      </c>
    </row>
    <row r="26" spans="1:18" ht="18" customHeight="1">
      <c r="A26" s="19">
        <v>20</v>
      </c>
      <c r="B26" s="2" t="s">
        <v>3903</v>
      </c>
      <c r="C26" s="1" t="s">
        <v>3904</v>
      </c>
      <c r="D26" s="3" t="s">
        <v>3905</v>
      </c>
      <c r="E26" s="1" t="s">
        <v>59</v>
      </c>
      <c r="F26" s="10" t="s">
        <v>3848</v>
      </c>
      <c r="G26" s="2">
        <v>18</v>
      </c>
      <c r="H26" s="6">
        <v>64</v>
      </c>
      <c r="I26" s="6">
        <v>79</v>
      </c>
      <c r="J26" s="6">
        <v>84</v>
      </c>
      <c r="K26" s="6">
        <v>72</v>
      </c>
      <c r="L26" s="6">
        <v>36</v>
      </c>
      <c r="M26" s="6">
        <v>48</v>
      </c>
      <c r="N26" s="6">
        <v>68</v>
      </c>
      <c r="O26" s="6">
        <v>28</v>
      </c>
      <c r="P26" s="1">
        <f t="shared" si="0"/>
        <v>479</v>
      </c>
      <c r="Q26" s="14">
        <f t="shared" si="1"/>
        <v>59.875</v>
      </c>
      <c r="R26" s="20">
        <f t="shared" si="2"/>
        <v>20</v>
      </c>
    </row>
    <row r="27" spans="1:18" ht="18" customHeight="1">
      <c r="A27" s="19">
        <v>21</v>
      </c>
      <c r="B27" s="2" t="s">
        <v>3980</v>
      </c>
      <c r="C27" s="1" t="s">
        <v>3981</v>
      </c>
      <c r="D27" s="3" t="s">
        <v>3982</v>
      </c>
      <c r="E27" s="1" t="s">
        <v>82</v>
      </c>
      <c r="F27" s="10" t="s">
        <v>3848</v>
      </c>
      <c r="G27" s="2">
        <v>19</v>
      </c>
      <c r="H27" s="6">
        <v>56</v>
      </c>
      <c r="I27" s="6">
        <v>100</v>
      </c>
      <c r="J27" s="6">
        <v>68</v>
      </c>
      <c r="K27" s="6">
        <v>48</v>
      </c>
      <c r="L27" s="6">
        <v>24</v>
      </c>
      <c r="M27" s="6">
        <v>60</v>
      </c>
      <c r="N27" s="6">
        <v>76</v>
      </c>
      <c r="O27" s="6">
        <v>44</v>
      </c>
      <c r="P27" s="1">
        <f t="shared" si="0"/>
        <v>476</v>
      </c>
      <c r="Q27" s="14">
        <f t="shared" si="1"/>
        <v>59.5</v>
      </c>
      <c r="R27" s="20">
        <f t="shared" si="2"/>
        <v>21</v>
      </c>
    </row>
    <row r="28" spans="1:18" ht="18" customHeight="1">
      <c r="A28" s="19">
        <v>22</v>
      </c>
      <c r="B28" s="2" t="s">
        <v>3912</v>
      </c>
      <c r="C28" s="1">
        <v>311220605</v>
      </c>
      <c r="D28" s="3" t="s">
        <v>3913</v>
      </c>
      <c r="E28" s="1" t="s">
        <v>59</v>
      </c>
      <c r="F28" s="10" t="s">
        <v>3848</v>
      </c>
      <c r="G28" s="2">
        <v>18</v>
      </c>
      <c r="H28" s="6">
        <v>68</v>
      </c>
      <c r="I28" s="6">
        <v>95</v>
      </c>
      <c r="J28" s="6">
        <v>84</v>
      </c>
      <c r="K28" s="6">
        <v>44</v>
      </c>
      <c r="L28" s="6">
        <v>32</v>
      </c>
      <c r="M28" s="6">
        <v>48</v>
      </c>
      <c r="N28" s="6">
        <v>72</v>
      </c>
      <c r="O28" s="6">
        <v>24</v>
      </c>
      <c r="P28" s="1">
        <f t="shared" si="0"/>
        <v>467</v>
      </c>
      <c r="Q28" s="14">
        <f t="shared" si="1"/>
        <v>58.375</v>
      </c>
      <c r="R28" s="20">
        <f t="shared" si="2"/>
        <v>22</v>
      </c>
    </row>
    <row r="29" spans="1:18" ht="18" customHeight="1">
      <c r="A29" s="19">
        <v>23</v>
      </c>
      <c r="B29" s="2" t="s">
        <v>3895</v>
      </c>
      <c r="C29" s="1">
        <v>311220692</v>
      </c>
      <c r="D29" s="3" t="s">
        <v>3896</v>
      </c>
      <c r="E29" s="1" t="s">
        <v>56</v>
      </c>
      <c r="F29" s="10" t="s">
        <v>3848</v>
      </c>
      <c r="G29" s="2">
        <v>17</v>
      </c>
      <c r="H29" s="6">
        <v>40</v>
      </c>
      <c r="I29" s="6">
        <v>100</v>
      </c>
      <c r="J29" s="6">
        <v>80</v>
      </c>
      <c r="K29" s="6">
        <v>68</v>
      </c>
      <c r="L29" s="6">
        <v>4</v>
      </c>
      <c r="M29" s="6">
        <v>40</v>
      </c>
      <c r="N29" s="6">
        <v>32</v>
      </c>
      <c r="O29" s="6">
        <v>60</v>
      </c>
      <c r="P29" s="1">
        <f t="shared" si="0"/>
        <v>424</v>
      </c>
      <c r="Q29" s="14">
        <f t="shared" si="1"/>
        <v>53</v>
      </c>
      <c r="R29" s="20">
        <f t="shared" si="2"/>
        <v>23</v>
      </c>
    </row>
    <row r="30" spans="1:18" ht="18" customHeight="1">
      <c r="A30" s="19">
        <v>24</v>
      </c>
      <c r="B30" s="2" t="s">
        <v>3951</v>
      </c>
      <c r="C30" s="1">
        <v>311230114</v>
      </c>
      <c r="D30" s="3" t="s">
        <v>3952</v>
      </c>
      <c r="E30" s="1" t="s">
        <v>78</v>
      </c>
      <c r="F30" s="10" t="s">
        <v>3848</v>
      </c>
      <c r="G30" s="2">
        <v>19</v>
      </c>
      <c r="H30" s="6">
        <v>20</v>
      </c>
      <c r="I30" s="6">
        <v>100</v>
      </c>
      <c r="J30" s="6">
        <v>76</v>
      </c>
      <c r="K30" s="6">
        <v>56</v>
      </c>
      <c r="L30" s="6">
        <v>36</v>
      </c>
      <c r="M30" s="6">
        <v>60</v>
      </c>
      <c r="N30" s="6">
        <v>60</v>
      </c>
      <c r="O30" s="6">
        <v>16</v>
      </c>
      <c r="P30" s="1">
        <f t="shared" si="0"/>
        <v>424</v>
      </c>
      <c r="Q30" s="14">
        <f t="shared" si="1"/>
        <v>53</v>
      </c>
      <c r="R30" s="20">
        <f t="shared" si="2"/>
        <v>23</v>
      </c>
    </row>
    <row r="31" spans="1:18" ht="18" customHeight="1">
      <c r="A31" s="19">
        <v>25</v>
      </c>
      <c r="B31" s="2" t="s">
        <v>3975</v>
      </c>
      <c r="C31" s="1" t="s">
        <v>3976</v>
      </c>
      <c r="D31" s="3" t="s">
        <v>3977</v>
      </c>
      <c r="E31" s="1" t="s">
        <v>65</v>
      </c>
      <c r="F31" s="10" t="s">
        <v>3848</v>
      </c>
      <c r="G31" s="2">
        <v>19</v>
      </c>
      <c r="H31" s="6">
        <v>64</v>
      </c>
      <c r="I31" s="6">
        <v>89</v>
      </c>
      <c r="J31" s="6">
        <v>64</v>
      </c>
      <c r="K31" s="6">
        <v>48</v>
      </c>
      <c r="L31" s="6">
        <v>28</v>
      </c>
      <c r="M31" s="6">
        <v>36</v>
      </c>
      <c r="N31" s="6">
        <v>56</v>
      </c>
      <c r="O31" s="6">
        <v>36</v>
      </c>
      <c r="P31" s="1">
        <f t="shared" si="0"/>
        <v>421</v>
      </c>
      <c r="Q31" s="14">
        <f t="shared" si="1"/>
        <v>52.625</v>
      </c>
      <c r="R31" s="20">
        <f t="shared" si="2"/>
        <v>25</v>
      </c>
    </row>
    <row r="32" spans="1:18" ht="18" customHeight="1">
      <c r="A32" s="19">
        <v>26</v>
      </c>
      <c r="B32" s="2" t="s">
        <v>4000</v>
      </c>
      <c r="C32" s="1">
        <v>311260950</v>
      </c>
      <c r="D32" s="3" t="s">
        <v>4001</v>
      </c>
      <c r="E32" s="1" t="s">
        <v>55</v>
      </c>
      <c r="F32" s="10" t="s">
        <v>3848</v>
      </c>
      <c r="G32" s="2">
        <v>20</v>
      </c>
      <c r="H32" s="6">
        <v>48</v>
      </c>
      <c r="I32" s="6">
        <v>100</v>
      </c>
      <c r="J32" s="6">
        <v>72</v>
      </c>
      <c r="K32" s="6">
        <v>40</v>
      </c>
      <c r="L32" s="6">
        <v>28</v>
      </c>
      <c r="M32" s="6">
        <v>64</v>
      </c>
      <c r="N32" s="6">
        <v>32</v>
      </c>
      <c r="O32" s="6">
        <v>36</v>
      </c>
      <c r="P32" s="1">
        <f t="shared" si="0"/>
        <v>420</v>
      </c>
      <c r="Q32" s="14">
        <f t="shared" si="1"/>
        <v>52.5</v>
      </c>
      <c r="R32" s="20">
        <f t="shared" si="2"/>
        <v>26</v>
      </c>
    </row>
    <row r="33" spans="1:18" ht="18" customHeight="1">
      <c r="A33" s="19">
        <v>27</v>
      </c>
      <c r="B33" s="2" t="s">
        <v>3867</v>
      </c>
      <c r="C33" s="1">
        <v>311220724</v>
      </c>
      <c r="D33" s="3" t="s">
        <v>3868</v>
      </c>
      <c r="E33" s="1" t="s">
        <v>75</v>
      </c>
      <c r="F33" s="10" t="s">
        <v>3848</v>
      </c>
      <c r="G33" s="2">
        <v>17</v>
      </c>
      <c r="H33" s="6">
        <v>36</v>
      </c>
      <c r="I33" s="6">
        <v>100</v>
      </c>
      <c r="J33" s="6">
        <v>60</v>
      </c>
      <c r="K33" s="6">
        <v>48</v>
      </c>
      <c r="L33" s="6">
        <v>28</v>
      </c>
      <c r="M33" s="6">
        <v>60</v>
      </c>
      <c r="N33" s="6">
        <v>60</v>
      </c>
      <c r="O33" s="6">
        <v>24</v>
      </c>
      <c r="P33" s="1">
        <f t="shared" si="0"/>
        <v>416</v>
      </c>
      <c r="Q33" s="14">
        <f t="shared" si="1"/>
        <v>52</v>
      </c>
      <c r="R33" s="20">
        <f t="shared" si="2"/>
        <v>27</v>
      </c>
    </row>
    <row r="34" spans="1:18" ht="18" customHeight="1">
      <c r="A34" s="19">
        <v>28</v>
      </c>
      <c r="B34" s="2" t="s">
        <v>3963</v>
      </c>
      <c r="C34" s="1">
        <v>311230110</v>
      </c>
      <c r="D34" s="3" t="s">
        <v>3964</v>
      </c>
      <c r="E34" s="1" t="s">
        <v>78</v>
      </c>
      <c r="F34" s="10" t="s">
        <v>3848</v>
      </c>
      <c r="G34" s="2">
        <v>19</v>
      </c>
      <c r="H34" s="6">
        <v>68</v>
      </c>
      <c r="I34" s="6">
        <v>84</v>
      </c>
      <c r="J34" s="6">
        <v>88</v>
      </c>
      <c r="K34" s="6">
        <v>24</v>
      </c>
      <c r="L34" s="6">
        <v>12</v>
      </c>
      <c r="M34" s="6">
        <v>52</v>
      </c>
      <c r="N34" s="6">
        <v>48</v>
      </c>
      <c r="O34" s="6">
        <v>32</v>
      </c>
      <c r="P34" s="1">
        <f t="shared" si="0"/>
        <v>408</v>
      </c>
      <c r="Q34" s="14">
        <f t="shared" si="1"/>
        <v>51</v>
      </c>
      <c r="R34" s="20">
        <f t="shared" si="2"/>
        <v>28</v>
      </c>
    </row>
    <row r="35" spans="1:18" ht="18" customHeight="1">
      <c r="A35" s="19">
        <v>29</v>
      </c>
      <c r="B35" s="2" t="s">
        <v>3860</v>
      </c>
      <c r="C35" s="1" t="s">
        <v>3861</v>
      </c>
      <c r="D35" s="3" t="s">
        <v>3862</v>
      </c>
      <c r="E35" s="1" t="s">
        <v>75</v>
      </c>
      <c r="F35" s="10" t="s">
        <v>3848</v>
      </c>
      <c r="G35" s="2">
        <v>16</v>
      </c>
      <c r="H35" s="6">
        <v>48</v>
      </c>
      <c r="I35" s="6">
        <v>100</v>
      </c>
      <c r="J35" s="6">
        <v>64</v>
      </c>
      <c r="K35" s="6">
        <v>32</v>
      </c>
      <c r="L35" s="6">
        <v>36</v>
      </c>
      <c r="M35" s="6">
        <v>52</v>
      </c>
      <c r="N35" s="6">
        <v>36</v>
      </c>
      <c r="O35" s="6">
        <v>40</v>
      </c>
      <c r="P35" s="1">
        <f t="shared" si="0"/>
        <v>408</v>
      </c>
      <c r="Q35" s="14">
        <f t="shared" si="1"/>
        <v>51</v>
      </c>
      <c r="R35" s="20">
        <f t="shared" si="2"/>
        <v>28</v>
      </c>
    </row>
    <row r="36" spans="1:18" ht="18" customHeight="1">
      <c r="A36" s="19">
        <v>30</v>
      </c>
      <c r="B36" s="2" t="s">
        <v>3994</v>
      </c>
      <c r="C36" s="1">
        <v>311220653</v>
      </c>
      <c r="D36" s="3" t="s">
        <v>3995</v>
      </c>
      <c r="E36" s="1" t="s">
        <v>68</v>
      </c>
      <c r="F36" s="10" t="s">
        <v>3848</v>
      </c>
      <c r="G36" s="2">
        <v>20</v>
      </c>
      <c r="H36" s="6">
        <v>56</v>
      </c>
      <c r="I36" s="6">
        <v>100</v>
      </c>
      <c r="J36" s="6">
        <v>68</v>
      </c>
      <c r="K36" s="6">
        <v>44</v>
      </c>
      <c r="L36" s="6">
        <v>16</v>
      </c>
      <c r="M36" s="6">
        <v>52</v>
      </c>
      <c r="N36" s="6">
        <v>36</v>
      </c>
      <c r="O36" s="6">
        <v>28</v>
      </c>
      <c r="P36" s="1">
        <f t="shared" si="0"/>
        <v>400</v>
      </c>
      <c r="Q36" s="14">
        <f t="shared" si="1"/>
        <v>50</v>
      </c>
      <c r="R36" s="20">
        <f t="shared" si="2"/>
        <v>30</v>
      </c>
    </row>
    <row r="37" spans="1:18" ht="18" customHeight="1">
      <c r="A37" s="19">
        <v>31</v>
      </c>
      <c r="B37" s="2" t="s">
        <v>3950</v>
      </c>
      <c r="C37" s="1">
        <v>4233062</v>
      </c>
      <c r="D37" s="3" t="s">
        <v>1464</v>
      </c>
      <c r="E37" s="1" t="s">
        <v>78</v>
      </c>
      <c r="F37" s="10" t="s">
        <v>3848</v>
      </c>
      <c r="G37" s="2">
        <v>19</v>
      </c>
      <c r="H37" s="6">
        <v>48</v>
      </c>
      <c r="I37" s="6">
        <v>100</v>
      </c>
      <c r="J37" s="6">
        <v>92</v>
      </c>
      <c r="K37" s="6">
        <v>40</v>
      </c>
      <c r="L37" s="6">
        <v>8</v>
      </c>
      <c r="M37" s="6">
        <v>48</v>
      </c>
      <c r="N37" s="6">
        <v>36</v>
      </c>
      <c r="O37" s="6">
        <v>20</v>
      </c>
      <c r="P37" s="1">
        <f t="shared" si="0"/>
        <v>392</v>
      </c>
      <c r="Q37" s="14">
        <f t="shared" si="1"/>
        <v>49</v>
      </c>
      <c r="R37" s="20">
        <f t="shared" si="2"/>
        <v>31</v>
      </c>
    </row>
    <row r="38" spans="1:18" ht="18" customHeight="1">
      <c r="A38" s="19">
        <v>32</v>
      </c>
      <c r="B38" s="2" t="s">
        <v>3955</v>
      </c>
      <c r="C38" s="1">
        <v>311220703</v>
      </c>
      <c r="D38" s="3" t="s">
        <v>3956</v>
      </c>
      <c r="E38" s="1" t="s">
        <v>78</v>
      </c>
      <c r="F38" s="10" t="s">
        <v>3848</v>
      </c>
      <c r="G38" s="2">
        <v>19</v>
      </c>
      <c r="H38" s="6">
        <v>36</v>
      </c>
      <c r="I38" s="6">
        <v>95</v>
      </c>
      <c r="J38" s="6">
        <v>72</v>
      </c>
      <c r="K38" s="6">
        <v>0</v>
      </c>
      <c r="L38" s="6">
        <v>16</v>
      </c>
      <c r="M38" s="6">
        <v>44</v>
      </c>
      <c r="N38" s="6">
        <v>72</v>
      </c>
      <c r="O38" s="6">
        <v>44</v>
      </c>
      <c r="P38" s="1">
        <f t="shared" si="0"/>
        <v>379</v>
      </c>
      <c r="Q38" s="14">
        <f t="shared" si="1"/>
        <v>47.375</v>
      </c>
      <c r="R38" s="20">
        <f t="shared" si="2"/>
        <v>32</v>
      </c>
    </row>
    <row r="39" spans="1:18" ht="18" customHeight="1">
      <c r="A39" s="19">
        <v>33</v>
      </c>
      <c r="B39" s="2" t="s">
        <v>3988</v>
      </c>
      <c r="C39" s="1">
        <v>311220597</v>
      </c>
      <c r="D39" s="3" t="s">
        <v>3989</v>
      </c>
      <c r="E39" s="1" t="s">
        <v>75</v>
      </c>
      <c r="F39" s="10" t="s">
        <v>3848</v>
      </c>
      <c r="G39" s="2">
        <v>19</v>
      </c>
      <c r="H39" s="6">
        <v>48</v>
      </c>
      <c r="I39" s="6">
        <v>84</v>
      </c>
      <c r="J39" s="6">
        <v>52</v>
      </c>
      <c r="K39" s="6">
        <v>56</v>
      </c>
      <c r="L39" s="6">
        <v>12</v>
      </c>
      <c r="M39" s="6">
        <v>40</v>
      </c>
      <c r="N39" s="6">
        <v>72</v>
      </c>
      <c r="O39" s="6">
        <v>8</v>
      </c>
      <c r="P39" s="1">
        <f t="shared" ref="P39:P70" si="3">SUBTOTAL(9,H39:O39)</f>
        <v>372</v>
      </c>
      <c r="Q39" s="14">
        <f t="shared" ref="Q39:Q70" si="4">P39/8</f>
        <v>46.5</v>
      </c>
      <c r="R39" s="20">
        <f t="shared" ref="R39:R70" si="5">RANK(Q39,Q$7:Q$274,0)</f>
        <v>33</v>
      </c>
    </row>
    <row r="40" spans="1:18" ht="18" customHeight="1">
      <c r="A40" s="19">
        <v>34</v>
      </c>
      <c r="B40" s="2" t="s">
        <v>3865</v>
      </c>
      <c r="C40" s="1">
        <v>311220596</v>
      </c>
      <c r="D40" s="3" t="s">
        <v>3866</v>
      </c>
      <c r="E40" s="1" t="s">
        <v>75</v>
      </c>
      <c r="F40" s="10" t="s">
        <v>3848</v>
      </c>
      <c r="G40" s="2">
        <v>17</v>
      </c>
      <c r="H40" s="6">
        <v>32</v>
      </c>
      <c r="I40" s="6">
        <v>100</v>
      </c>
      <c r="J40" s="6">
        <v>48</v>
      </c>
      <c r="K40" s="6">
        <v>52</v>
      </c>
      <c r="L40" s="6">
        <v>16</v>
      </c>
      <c r="M40" s="6">
        <v>24</v>
      </c>
      <c r="N40" s="6">
        <v>40</v>
      </c>
      <c r="O40" s="6">
        <v>60</v>
      </c>
      <c r="P40" s="1">
        <f t="shared" si="3"/>
        <v>372</v>
      </c>
      <c r="Q40" s="14">
        <f t="shared" si="4"/>
        <v>46.5</v>
      </c>
      <c r="R40" s="20">
        <f t="shared" si="5"/>
        <v>33</v>
      </c>
    </row>
    <row r="41" spans="1:18" ht="18" customHeight="1">
      <c r="A41" s="19">
        <v>35</v>
      </c>
      <c r="B41" s="2" t="s">
        <v>3921</v>
      </c>
      <c r="C41" s="1">
        <v>311220633</v>
      </c>
      <c r="D41" s="3" t="s">
        <v>3922</v>
      </c>
      <c r="E41" s="1" t="s">
        <v>60</v>
      </c>
      <c r="F41" s="10" t="s">
        <v>3848</v>
      </c>
      <c r="G41" s="2">
        <v>18</v>
      </c>
      <c r="H41" s="6">
        <v>36</v>
      </c>
      <c r="I41" s="6">
        <v>79</v>
      </c>
      <c r="J41" s="6">
        <v>72</v>
      </c>
      <c r="K41" s="6">
        <v>36</v>
      </c>
      <c r="L41" s="6">
        <v>12</v>
      </c>
      <c r="M41" s="6">
        <v>52</v>
      </c>
      <c r="N41" s="6">
        <v>72</v>
      </c>
      <c r="O41" s="6">
        <v>12</v>
      </c>
      <c r="P41" s="1">
        <f t="shared" si="3"/>
        <v>371</v>
      </c>
      <c r="Q41" s="14">
        <f t="shared" si="4"/>
        <v>46.375</v>
      </c>
      <c r="R41" s="20">
        <f t="shared" si="5"/>
        <v>35</v>
      </c>
    </row>
    <row r="42" spans="1:18" ht="18" customHeight="1">
      <c r="A42" s="19">
        <v>36</v>
      </c>
      <c r="B42" s="2" t="s">
        <v>3948</v>
      </c>
      <c r="C42" s="1">
        <v>311220698</v>
      </c>
      <c r="D42" s="3" t="s">
        <v>3949</v>
      </c>
      <c r="E42" s="1" t="s">
        <v>64</v>
      </c>
      <c r="F42" s="10" t="s">
        <v>3848</v>
      </c>
      <c r="G42" s="2">
        <v>18</v>
      </c>
      <c r="H42" s="6">
        <v>44</v>
      </c>
      <c r="I42" s="6">
        <v>100</v>
      </c>
      <c r="J42" s="6">
        <v>76</v>
      </c>
      <c r="K42" s="6">
        <v>20</v>
      </c>
      <c r="L42" s="6">
        <v>8</v>
      </c>
      <c r="M42" s="6">
        <v>44</v>
      </c>
      <c r="N42" s="6">
        <v>60</v>
      </c>
      <c r="O42" s="6">
        <v>12</v>
      </c>
      <c r="P42" s="1">
        <f t="shared" si="3"/>
        <v>364</v>
      </c>
      <c r="Q42" s="14">
        <f t="shared" si="4"/>
        <v>45.5</v>
      </c>
      <c r="R42" s="20">
        <f t="shared" si="5"/>
        <v>36</v>
      </c>
    </row>
    <row r="43" spans="1:18" ht="18" customHeight="1">
      <c r="A43" s="19">
        <v>37</v>
      </c>
      <c r="B43" s="2" t="s">
        <v>3986</v>
      </c>
      <c r="C43" s="1">
        <v>311220938</v>
      </c>
      <c r="D43" s="3" t="s">
        <v>3987</v>
      </c>
      <c r="E43" s="1" t="s">
        <v>75</v>
      </c>
      <c r="F43" s="10" t="s">
        <v>3848</v>
      </c>
      <c r="G43" s="2">
        <v>19</v>
      </c>
      <c r="H43" s="6">
        <v>60</v>
      </c>
      <c r="I43" s="6">
        <v>68</v>
      </c>
      <c r="J43" s="6">
        <v>60</v>
      </c>
      <c r="K43" s="6">
        <v>48</v>
      </c>
      <c r="L43" s="6">
        <v>28</v>
      </c>
      <c r="M43" s="6">
        <v>36</v>
      </c>
      <c r="N43" s="6">
        <v>40</v>
      </c>
      <c r="O43" s="6">
        <v>24</v>
      </c>
      <c r="P43" s="1">
        <f t="shared" si="3"/>
        <v>364</v>
      </c>
      <c r="Q43" s="14">
        <f t="shared" si="4"/>
        <v>45.5</v>
      </c>
      <c r="R43" s="20">
        <f t="shared" si="5"/>
        <v>36</v>
      </c>
    </row>
    <row r="44" spans="1:18" ht="18" customHeight="1">
      <c r="A44" s="19">
        <v>38</v>
      </c>
      <c r="B44" s="2" t="s">
        <v>3849</v>
      </c>
      <c r="C44" s="1">
        <v>4232676</v>
      </c>
      <c r="D44" s="3" t="s">
        <v>3850</v>
      </c>
      <c r="E44" s="1" t="s">
        <v>59</v>
      </c>
      <c r="F44" s="10" t="s">
        <v>3848</v>
      </c>
      <c r="G44" s="2">
        <v>16</v>
      </c>
      <c r="H44" s="6">
        <v>24</v>
      </c>
      <c r="I44" s="6">
        <v>89</v>
      </c>
      <c r="J44" s="6">
        <v>64</v>
      </c>
      <c r="K44" s="6">
        <v>32</v>
      </c>
      <c r="L44" s="6">
        <v>20</v>
      </c>
      <c r="M44" s="6">
        <v>72</v>
      </c>
      <c r="N44" s="6">
        <v>48</v>
      </c>
      <c r="O44" s="6">
        <v>12</v>
      </c>
      <c r="P44" s="1">
        <f t="shared" si="3"/>
        <v>361</v>
      </c>
      <c r="Q44" s="14">
        <f t="shared" si="4"/>
        <v>45.125</v>
      </c>
      <c r="R44" s="20">
        <f t="shared" si="5"/>
        <v>38</v>
      </c>
    </row>
    <row r="45" spans="1:18" ht="18" customHeight="1">
      <c r="A45" s="19">
        <v>39</v>
      </c>
      <c r="B45" s="2" t="s">
        <v>3978</v>
      </c>
      <c r="C45" s="1">
        <v>311220661</v>
      </c>
      <c r="D45" s="3" t="s">
        <v>3979</v>
      </c>
      <c r="E45" s="1" t="s">
        <v>82</v>
      </c>
      <c r="F45" s="10" t="s">
        <v>3848</v>
      </c>
      <c r="G45" s="2">
        <v>19</v>
      </c>
      <c r="H45" s="6">
        <v>36</v>
      </c>
      <c r="I45" s="6">
        <v>100</v>
      </c>
      <c r="J45" s="6">
        <v>56</v>
      </c>
      <c r="K45" s="6">
        <v>40</v>
      </c>
      <c r="L45" s="6">
        <v>16</v>
      </c>
      <c r="M45" s="6">
        <v>48</v>
      </c>
      <c r="N45" s="6">
        <v>56</v>
      </c>
      <c r="O45" s="6">
        <v>8</v>
      </c>
      <c r="P45" s="1">
        <f t="shared" si="3"/>
        <v>360</v>
      </c>
      <c r="Q45" s="14">
        <f t="shared" si="4"/>
        <v>45</v>
      </c>
      <c r="R45" s="20">
        <f t="shared" si="5"/>
        <v>39</v>
      </c>
    </row>
    <row r="46" spans="1:18" ht="18" customHeight="1">
      <c r="A46" s="19">
        <v>40</v>
      </c>
      <c r="B46" s="2" t="s">
        <v>3931</v>
      </c>
      <c r="C46" s="1" t="s">
        <v>3932</v>
      </c>
      <c r="D46" s="3" t="s">
        <v>3933</v>
      </c>
      <c r="E46" s="1" t="s">
        <v>61</v>
      </c>
      <c r="F46" s="10" t="s">
        <v>3848</v>
      </c>
      <c r="G46" s="2">
        <v>18</v>
      </c>
      <c r="H46" s="6">
        <v>32</v>
      </c>
      <c r="I46" s="6">
        <v>74</v>
      </c>
      <c r="J46" s="6">
        <v>64</v>
      </c>
      <c r="K46" s="6">
        <v>36</v>
      </c>
      <c r="L46" s="6">
        <v>12</v>
      </c>
      <c r="M46" s="6">
        <v>44</v>
      </c>
      <c r="N46" s="6">
        <v>60</v>
      </c>
      <c r="O46" s="6">
        <v>36</v>
      </c>
      <c r="P46" s="1">
        <f t="shared" si="3"/>
        <v>358</v>
      </c>
      <c r="Q46" s="14">
        <f t="shared" si="4"/>
        <v>44.75</v>
      </c>
      <c r="R46" s="20">
        <f t="shared" si="5"/>
        <v>40</v>
      </c>
    </row>
    <row r="47" spans="1:18" ht="18" customHeight="1">
      <c r="A47" s="19">
        <v>41</v>
      </c>
      <c r="B47" s="2" t="s">
        <v>3906</v>
      </c>
      <c r="C47" s="1" t="s">
        <v>3907</v>
      </c>
      <c r="D47" s="3" t="s">
        <v>3908</v>
      </c>
      <c r="E47" s="1" t="s">
        <v>59</v>
      </c>
      <c r="F47" s="10" t="s">
        <v>3848</v>
      </c>
      <c r="G47" s="2">
        <v>18</v>
      </c>
      <c r="H47" s="6">
        <v>32</v>
      </c>
      <c r="I47" s="6">
        <v>100</v>
      </c>
      <c r="J47" s="6">
        <v>72</v>
      </c>
      <c r="K47" s="6">
        <v>48</v>
      </c>
      <c r="L47" s="6">
        <v>32</v>
      </c>
      <c r="M47" s="6">
        <v>36</v>
      </c>
      <c r="N47" s="6">
        <v>20</v>
      </c>
      <c r="O47" s="6">
        <v>12</v>
      </c>
      <c r="P47" s="1">
        <f t="shared" si="3"/>
        <v>352</v>
      </c>
      <c r="Q47" s="14">
        <f t="shared" si="4"/>
        <v>44</v>
      </c>
      <c r="R47" s="20">
        <f t="shared" si="5"/>
        <v>41</v>
      </c>
    </row>
    <row r="48" spans="1:18" ht="18" customHeight="1">
      <c r="A48" s="19">
        <v>42</v>
      </c>
      <c r="B48" s="2" t="s">
        <v>3847</v>
      </c>
      <c r="C48" s="1">
        <v>4232811</v>
      </c>
      <c r="D48" s="3" t="s">
        <v>3663</v>
      </c>
      <c r="E48" s="1" t="s">
        <v>59</v>
      </c>
      <c r="F48" s="10" t="s">
        <v>3848</v>
      </c>
      <c r="G48" s="2">
        <v>16</v>
      </c>
      <c r="H48" s="6">
        <v>44</v>
      </c>
      <c r="I48" s="6">
        <v>75</v>
      </c>
      <c r="J48" s="6">
        <v>64</v>
      </c>
      <c r="K48" s="6">
        <v>24</v>
      </c>
      <c r="L48" s="6">
        <v>38</v>
      </c>
      <c r="M48" s="6">
        <v>48</v>
      </c>
      <c r="N48" s="6">
        <v>40</v>
      </c>
      <c r="O48" s="6">
        <v>16</v>
      </c>
      <c r="P48" s="1">
        <f t="shared" si="3"/>
        <v>349</v>
      </c>
      <c r="Q48" s="14">
        <f t="shared" si="4"/>
        <v>43.625</v>
      </c>
      <c r="R48" s="20">
        <f t="shared" si="5"/>
        <v>42</v>
      </c>
    </row>
    <row r="49" spans="1:18" ht="18" customHeight="1">
      <c r="A49" s="19">
        <v>43</v>
      </c>
      <c r="B49" s="2" t="s">
        <v>3869</v>
      </c>
      <c r="C49" s="1">
        <v>311220943</v>
      </c>
      <c r="D49" s="3" t="s">
        <v>3870</v>
      </c>
      <c r="E49" s="1" t="s">
        <v>69</v>
      </c>
      <c r="F49" s="10" t="s">
        <v>3848</v>
      </c>
      <c r="G49" s="2">
        <v>17</v>
      </c>
      <c r="H49" s="6">
        <v>40</v>
      </c>
      <c r="I49" s="6">
        <v>100</v>
      </c>
      <c r="J49" s="6">
        <v>64</v>
      </c>
      <c r="K49" s="6">
        <v>20</v>
      </c>
      <c r="L49" s="6">
        <v>8</v>
      </c>
      <c r="M49" s="6">
        <v>40</v>
      </c>
      <c r="N49" s="6">
        <v>64</v>
      </c>
      <c r="O49" s="6">
        <v>8</v>
      </c>
      <c r="P49" s="1">
        <f t="shared" si="3"/>
        <v>344</v>
      </c>
      <c r="Q49" s="14">
        <f t="shared" si="4"/>
        <v>43</v>
      </c>
      <c r="R49" s="20">
        <f t="shared" si="5"/>
        <v>43</v>
      </c>
    </row>
    <row r="50" spans="1:18" ht="18" customHeight="1">
      <c r="A50" s="19">
        <v>44</v>
      </c>
      <c r="B50" s="2" t="s">
        <v>3909</v>
      </c>
      <c r="C50" s="1" t="s">
        <v>3910</v>
      </c>
      <c r="D50" s="3" t="s">
        <v>3911</v>
      </c>
      <c r="E50" s="1" t="s">
        <v>59</v>
      </c>
      <c r="F50" s="10" t="s">
        <v>3848</v>
      </c>
      <c r="G50" s="2">
        <v>18</v>
      </c>
      <c r="H50" s="6">
        <v>60</v>
      </c>
      <c r="I50" s="6">
        <v>79</v>
      </c>
      <c r="J50" s="6">
        <v>48</v>
      </c>
      <c r="K50" s="6">
        <v>24</v>
      </c>
      <c r="L50" s="6">
        <v>24</v>
      </c>
      <c r="M50" s="6">
        <v>32</v>
      </c>
      <c r="N50" s="6">
        <v>40</v>
      </c>
      <c r="O50" s="6">
        <v>36</v>
      </c>
      <c r="P50" s="1">
        <f t="shared" si="3"/>
        <v>343</v>
      </c>
      <c r="Q50" s="14">
        <f t="shared" si="4"/>
        <v>42.875</v>
      </c>
      <c r="R50" s="20">
        <f t="shared" si="5"/>
        <v>44</v>
      </c>
    </row>
    <row r="51" spans="1:18" ht="18" customHeight="1">
      <c r="A51" s="19">
        <v>45</v>
      </c>
      <c r="B51" s="2" t="s">
        <v>3883</v>
      </c>
      <c r="C51" s="1">
        <v>4232946</v>
      </c>
      <c r="D51" s="3" t="s">
        <v>3884</v>
      </c>
      <c r="E51" s="1" t="s">
        <v>70</v>
      </c>
      <c r="F51" s="10" t="s">
        <v>3848</v>
      </c>
      <c r="G51" s="2">
        <v>17</v>
      </c>
      <c r="H51" s="6">
        <v>40</v>
      </c>
      <c r="I51" s="6">
        <v>58</v>
      </c>
      <c r="J51" s="6">
        <v>72</v>
      </c>
      <c r="K51" s="6">
        <v>28</v>
      </c>
      <c r="L51" s="6">
        <v>28</v>
      </c>
      <c r="M51" s="6">
        <v>32</v>
      </c>
      <c r="N51" s="6">
        <v>64</v>
      </c>
      <c r="O51" s="6">
        <v>20</v>
      </c>
      <c r="P51" s="1">
        <f t="shared" si="3"/>
        <v>342</v>
      </c>
      <c r="Q51" s="14">
        <f t="shared" si="4"/>
        <v>42.75</v>
      </c>
      <c r="R51" s="20">
        <f t="shared" si="5"/>
        <v>45</v>
      </c>
    </row>
    <row r="52" spans="1:18" ht="18" customHeight="1">
      <c r="A52" s="19">
        <v>46</v>
      </c>
      <c r="B52" s="2" t="s">
        <v>3919</v>
      </c>
      <c r="C52" s="1">
        <v>4233061</v>
      </c>
      <c r="D52" s="3" t="s">
        <v>3920</v>
      </c>
      <c r="E52" s="1" t="s">
        <v>60</v>
      </c>
      <c r="F52" s="10" t="s">
        <v>3848</v>
      </c>
      <c r="G52" s="2">
        <v>18</v>
      </c>
      <c r="H52" s="6">
        <v>44</v>
      </c>
      <c r="I52" s="6">
        <v>100</v>
      </c>
      <c r="J52" s="6">
        <v>52</v>
      </c>
      <c r="K52" s="6">
        <v>32</v>
      </c>
      <c r="L52" s="6">
        <v>20</v>
      </c>
      <c r="M52" s="6">
        <v>24</v>
      </c>
      <c r="N52" s="6">
        <v>56</v>
      </c>
      <c r="O52" s="6">
        <v>12</v>
      </c>
      <c r="P52" s="1">
        <f t="shared" si="3"/>
        <v>340</v>
      </c>
      <c r="Q52" s="14">
        <f t="shared" si="4"/>
        <v>42.5</v>
      </c>
      <c r="R52" s="20">
        <f t="shared" si="5"/>
        <v>46</v>
      </c>
    </row>
    <row r="53" spans="1:18" ht="18" customHeight="1">
      <c r="A53" s="19">
        <v>47</v>
      </c>
      <c r="B53" s="2" t="s">
        <v>3893</v>
      </c>
      <c r="C53" s="1">
        <v>311220546</v>
      </c>
      <c r="D53" s="3" t="s">
        <v>3894</v>
      </c>
      <c r="E53" s="1" t="s">
        <v>56</v>
      </c>
      <c r="F53" s="10" t="s">
        <v>3848</v>
      </c>
      <c r="G53" s="2">
        <v>17</v>
      </c>
      <c r="H53" s="6">
        <v>44</v>
      </c>
      <c r="I53" s="6">
        <v>100</v>
      </c>
      <c r="J53" s="6">
        <v>48</v>
      </c>
      <c r="K53" s="6">
        <v>16</v>
      </c>
      <c r="L53" s="6">
        <v>16</v>
      </c>
      <c r="M53" s="6">
        <v>40</v>
      </c>
      <c r="N53" s="6">
        <v>28</v>
      </c>
      <c r="O53" s="6">
        <v>40</v>
      </c>
      <c r="P53" s="1">
        <f t="shared" si="3"/>
        <v>332</v>
      </c>
      <c r="Q53" s="14">
        <f t="shared" si="4"/>
        <v>41.5</v>
      </c>
      <c r="R53" s="20">
        <f t="shared" si="5"/>
        <v>47</v>
      </c>
    </row>
    <row r="54" spans="1:18" ht="18" customHeight="1">
      <c r="A54" s="19">
        <v>48</v>
      </c>
      <c r="B54" s="2" t="s">
        <v>3957</v>
      </c>
      <c r="C54" s="1" t="s">
        <v>3958</v>
      </c>
      <c r="D54" s="3" t="s">
        <v>3959</v>
      </c>
      <c r="E54" s="1" t="s">
        <v>78</v>
      </c>
      <c r="F54" s="10" t="s">
        <v>3848</v>
      </c>
      <c r="G54" s="2">
        <v>19</v>
      </c>
      <c r="H54" s="6">
        <v>72</v>
      </c>
      <c r="I54" s="6">
        <v>100</v>
      </c>
      <c r="J54" s="6">
        <v>32</v>
      </c>
      <c r="K54" s="6">
        <v>16</v>
      </c>
      <c r="L54" s="6">
        <v>24</v>
      </c>
      <c r="M54" s="6">
        <v>52</v>
      </c>
      <c r="N54" s="6">
        <v>20</v>
      </c>
      <c r="O54" s="6">
        <v>16</v>
      </c>
      <c r="P54" s="1">
        <f t="shared" si="3"/>
        <v>332</v>
      </c>
      <c r="Q54" s="14">
        <f t="shared" si="4"/>
        <v>41.5</v>
      </c>
      <c r="R54" s="20">
        <f t="shared" si="5"/>
        <v>47</v>
      </c>
    </row>
    <row r="55" spans="1:18" ht="18" customHeight="1">
      <c r="A55" s="19">
        <v>49</v>
      </c>
      <c r="B55" s="2" t="s">
        <v>3881</v>
      </c>
      <c r="C55" s="1">
        <v>331220010</v>
      </c>
      <c r="D55" s="3" t="s">
        <v>3882</v>
      </c>
      <c r="E55" s="1" t="s">
        <v>79</v>
      </c>
      <c r="F55" s="10" t="s">
        <v>3848</v>
      </c>
      <c r="G55" s="2">
        <v>17</v>
      </c>
      <c r="H55" s="6">
        <v>48</v>
      </c>
      <c r="I55" s="6">
        <v>100</v>
      </c>
      <c r="J55" s="6">
        <v>76</v>
      </c>
      <c r="K55" s="6">
        <v>24</v>
      </c>
      <c r="L55" s="6">
        <v>8</v>
      </c>
      <c r="M55" s="6">
        <v>20</v>
      </c>
      <c r="N55" s="6">
        <v>40</v>
      </c>
      <c r="O55" s="6">
        <v>12</v>
      </c>
      <c r="P55" s="1">
        <f t="shared" si="3"/>
        <v>328</v>
      </c>
      <c r="Q55" s="14">
        <f t="shared" si="4"/>
        <v>41</v>
      </c>
      <c r="R55" s="20">
        <f t="shared" si="5"/>
        <v>49</v>
      </c>
    </row>
    <row r="56" spans="1:18" ht="18" customHeight="1">
      <c r="A56" s="19">
        <v>50</v>
      </c>
      <c r="B56" s="2" t="s">
        <v>3992</v>
      </c>
      <c r="C56" s="1">
        <v>311230121</v>
      </c>
      <c r="D56" s="3" t="s">
        <v>3993</v>
      </c>
      <c r="E56" s="1" t="s">
        <v>76</v>
      </c>
      <c r="F56" s="10" t="s">
        <v>3848</v>
      </c>
      <c r="G56" s="2">
        <v>20</v>
      </c>
      <c r="H56" s="6">
        <v>36</v>
      </c>
      <c r="I56" s="6">
        <v>79</v>
      </c>
      <c r="J56" s="6">
        <v>72</v>
      </c>
      <c r="K56" s="6">
        <v>28</v>
      </c>
      <c r="L56" s="6">
        <v>12</v>
      </c>
      <c r="M56" s="6">
        <v>36</v>
      </c>
      <c r="N56" s="6">
        <v>44</v>
      </c>
      <c r="O56" s="6">
        <v>16</v>
      </c>
      <c r="P56" s="1">
        <f t="shared" si="3"/>
        <v>323</v>
      </c>
      <c r="Q56" s="14">
        <f t="shared" si="4"/>
        <v>40.375</v>
      </c>
      <c r="R56" s="20">
        <f t="shared" si="5"/>
        <v>50</v>
      </c>
    </row>
    <row r="57" spans="1:18" ht="18" customHeight="1">
      <c r="A57" s="19">
        <v>51</v>
      </c>
      <c r="B57" s="2" t="s">
        <v>3914</v>
      </c>
      <c r="C57" s="1">
        <v>311220677</v>
      </c>
      <c r="D57" s="3" t="s">
        <v>3915</v>
      </c>
      <c r="E57" s="1" t="s">
        <v>59</v>
      </c>
      <c r="F57" s="10" t="s">
        <v>3848</v>
      </c>
      <c r="G57" s="2">
        <v>18</v>
      </c>
      <c r="H57" s="6">
        <v>36</v>
      </c>
      <c r="I57" s="6">
        <v>74</v>
      </c>
      <c r="J57" s="6">
        <v>60</v>
      </c>
      <c r="K57" s="6">
        <v>16</v>
      </c>
      <c r="L57" s="6">
        <v>12</v>
      </c>
      <c r="M57" s="6">
        <v>48</v>
      </c>
      <c r="N57" s="6">
        <v>64</v>
      </c>
      <c r="O57" s="6">
        <v>12</v>
      </c>
      <c r="P57" s="1">
        <f t="shared" si="3"/>
        <v>322</v>
      </c>
      <c r="Q57" s="14">
        <f t="shared" si="4"/>
        <v>40.25</v>
      </c>
      <c r="R57" s="20">
        <f t="shared" si="5"/>
        <v>51</v>
      </c>
    </row>
    <row r="58" spans="1:18" ht="18" customHeight="1">
      <c r="A58" s="19">
        <v>52</v>
      </c>
      <c r="B58" s="2" t="s">
        <v>3972</v>
      </c>
      <c r="C58" s="1">
        <v>4233028</v>
      </c>
      <c r="D58" s="3" t="s">
        <v>3973</v>
      </c>
      <c r="E58" s="1" t="s">
        <v>3974</v>
      </c>
      <c r="F58" s="10" t="s">
        <v>3848</v>
      </c>
      <c r="G58" s="2">
        <v>19</v>
      </c>
      <c r="H58" s="6">
        <v>52</v>
      </c>
      <c r="I58" s="6">
        <v>84</v>
      </c>
      <c r="J58" s="6">
        <v>50</v>
      </c>
      <c r="K58" s="6">
        <v>32</v>
      </c>
      <c r="L58" s="6">
        <v>16</v>
      </c>
      <c r="M58" s="6">
        <v>32</v>
      </c>
      <c r="N58" s="6">
        <v>32</v>
      </c>
      <c r="O58" s="6">
        <v>24</v>
      </c>
      <c r="P58" s="1">
        <f t="shared" si="3"/>
        <v>322</v>
      </c>
      <c r="Q58" s="14">
        <f t="shared" si="4"/>
        <v>40.25</v>
      </c>
      <c r="R58" s="20">
        <f t="shared" si="5"/>
        <v>51</v>
      </c>
    </row>
    <row r="59" spans="1:18" ht="18" customHeight="1">
      <c r="A59" s="19">
        <v>53</v>
      </c>
      <c r="B59" s="2" t="s">
        <v>3960</v>
      </c>
      <c r="C59" s="1" t="s">
        <v>3961</v>
      </c>
      <c r="D59" s="3" t="s">
        <v>3962</v>
      </c>
      <c r="E59" s="1" t="s">
        <v>78</v>
      </c>
      <c r="F59" s="10" t="s">
        <v>3848</v>
      </c>
      <c r="G59" s="2">
        <v>19</v>
      </c>
      <c r="H59" s="6">
        <v>48</v>
      </c>
      <c r="I59" s="6">
        <v>84</v>
      </c>
      <c r="J59" s="6">
        <v>56</v>
      </c>
      <c r="K59" s="6">
        <v>8</v>
      </c>
      <c r="L59" s="6">
        <v>32</v>
      </c>
      <c r="M59" s="6">
        <v>40</v>
      </c>
      <c r="N59" s="6">
        <v>28</v>
      </c>
      <c r="O59" s="6">
        <v>20</v>
      </c>
      <c r="P59" s="1">
        <f t="shared" si="3"/>
        <v>316</v>
      </c>
      <c r="Q59" s="14">
        <f t="shared" si="4"/>
        <v>39.5</v>
      </c>
      <c r="R59" s="20">
        <f t="shared" si="5"/>
        <v>53</v>
      </c>
    </row>
    <row r="60" spans="1:18" ht="18" customHeight="1">
      <c r="A60" s="19">
        <v>54</v>
      </c>
      <c r="B60" s="2" t="s">
        <v>3874</v>
      </c>
      <c r="C60" s="1">
        <v>311220715</v>
      </c>
      <c r="D60" s="3" t="s">
        <v>3875</v>
      </c>
      <c r="E60" s="1" t="s">
        <v>69</v>
      </c>
      <c r="F60" s="10" t="s">
        <v>3848</v>
      </c>
      <c r="G60" s="2">
        <v>17</v>
      </c>
      <c r="H60" s="6">
        <v>32</v>
      </c>
      <c r="I60" s="6">
        <v>100</v>
      </c>
      <c r="J60" s="6">
        <v>58</v>
      </c>
      <c r="K60" s="6">
        <v>36</v>
      </c>
      <c r="L60" s="6">
        <v>24</v>
      </c>
      <c r="M60" s="6">
        <v>28</v>
      </c>
      <c r="N60" s="6">
        <v>16</v>
      </c>
      <c r="O60" s="6">
        <v>8</v>
      </c>
      <c r="P60" s="1">
        <f t="shared" si="3"/>
        <v>302</v>
      </c>
      <c r="Q60" s="14">
        <f t="shared" si="4"/>
        <v>37.75</v>
      </c>
      <c r="R60" s="20">
        <f t="shared" si="5"/>
        <v>54</v>
      </c>
    </row>
    <row r="61" spans="1:18" ht="18" customHeight="1">
      <c r="A61" s="19">
        <v>55</v>
      </c>
      <c r="B61" s="2" t="s">
        <v>3967</v>
      </c>
      <c r="C61" s="1">
        <v>311220722</v>
      </c>
      <c r="D61" s="3" t="s">
        <v>3968</v>
      </c>
      <c r="E61" s="1" t="s">
        <v>78</v>
      </c>
      <c r="F61" s="10" t="s">
        <v>3848</v>
      </c>
      <c r="G61" s="2">
        <v>19</v>
      </c>
      <c r="H61" s="6">
        <v>40</v>
      </c>
      <c r="I61" s="6">
        <v>95</v>
      </c>
      <c r="J61" s="6">
        <v>46</v>
      </c>
      <c r="K61" s="6">
        <v>16</v>
      </c>
      <c r="L61" s="6">
        <v>32</v>
      </c>
      <c r="M61" s="6">
        <v>24</v>
      </c>
      <c r="N61" s="6">
        <v>24</v>
      </c>
      <c r="O61" s="6">
        <v>18</v>
      </c>
      <c r="P61" s="1">
        <f t="shared" si="3"/>
        <v>295</v>
      </c>
      <c r="Q61" s="14">
        <f t="shared" si="4"/>
        <v>36.875</v>
      </c>
      <c r="R61" s="20">
        <f t="shared" si="5"/>
        <v>55</v>
      </c>
    </row>
    <row r="62" spans="1:18" ht="18" customHeight="1">
      <c r="A62" s="19">
        <v>56</v>
      </c>
      <c r="B62" s="2" t="s">
        <v>3998</v>
      </c>
      <c r="C62" s="1">
        <v>311220740</v>
      </c>
      <c r="D62" s="3" t="s">
        <v>3999</v>
      </c>
      <c r="E62" s="1" t="s">
        <v>85</v>
      </c>
      <c r="F62" s="10" t="s">
        <v>3848</v>
      </c>
      <c r="G62" s="2">
        <v>20</v>
      </c>
      <c r="H62" s="6">
        <v>12</v>
      </c>
      <c r="I62" s="6">
        <v>95</v>
      </c>
      <c r="J62" s="6">
        <v>44</v>
      </c>
      <c r="K62" s="6">
        <v>24</v>
      </c>
      <c r="L62" s="6">
        <v>24</v>
      </c>
      <c r="M62" s="6">
        <v>44</v>
      </c>
      <c r="N62" s="6">
        <v>24</v>
      </c>
      <c r="O62" s="6">
        <v>20</v>
      </c>
      <c r="P62" s="1">
        <f t="shared" si="3"/>
        <v>287</v>
      </c>
      <c r="Q62" s="14">
        <f t="shared" si="4"/>
        <v>35.875</v>
      </c>
      <c r="R62" s="20">
        <f t="shared" si="5"/>
        <v>56</v>
      </c>
    </row>
    <row r="63" spans="1:18" ht="18" customHeight="1">
      <c r="A63" s="19">
        <v>57</v>
      </c>
      <c r="B63" s="2" t="s">
        <v>3891</v>
      </c>
      <c r="C63" s="1">
        <v>311220659</v>
      </c>
      <c r="D63" s="3" t="s">
        <v>3892</v>
      </c>
      <c r="E63" s="1" t="s">
        <v>70</v>
      </c>
      <c r="F63" s="10" t="s">
        <v>3848</v>
      </c>
      <c r="G63" s="2">
        <v>17</v>
      </c>
      <c r="H63" s="6">
        <v>32</v>
      </c>
      <c r="I63" s="6">
        <v>68</v>
      </c>
      <c r="J63" s="6">
        <v>24</v>
      </c>
      <c r="K63" s="6">
        <v>32</v>
      </c>
      <c r="L63" s="6">
        <v>16</v>
      </c>
      <c r="M63" s="6">
        <v>48</v>
      </c>
      <c r="N63" s="6">
        <v>48</v>
      </c>
      <c r="O63" s="6">
        <v>8</v>
      </c>
      <c r="P63" s="1">
        <f t="shared" si="3"/>
        <v>276</v>
      </c>
      <c r="Q63" s="14">
        <f t="shared" si="4"/>
        <v>34.5</v>
      </c>
      <c r="R63" s="20">
        <f t="shared" si="5"/>
        <v>57</v>
      </c>
    </row>
    <row r="64" spans="1:18" ht="18" customHeight="1">
      <c r="A64" s="19">
        <v>58</v>
      </c>
      <c r="B64" s="2" t="s">
        <v>3939</v>
      </c>
      <c r="C64" s="1" t="s">
        <v>3940</v>
      </c>
      <c r="D64" s="3" t="s">
        <v>3941</v>
      </c>
      <c r="E64" s="1" t="s">
        <v>73</v>
      </c>
      <c r="F64" s="10" t="s">
        <v>3848</v>
      </c>
      <c r="G64" s="2">
        <v>18</v>
      </c>
      <c r="H64" s="6">
        <v>68</v>
      </c>
      <c r="I64" s="6"/>
      <c r="J64" s="6">
        <v>68</v>
      </c>
      <c r="K64" s="6">
        <v>20</v>
      </c>
      <c r="L64" s="6">
        <v>24</v>
      </c>
      <c r="M64" s="6"/>
      <c r="N64" s="6">
        <v>52</v>
      </c>
      <c r="O64" s="6">
        <v>40</v>
      </c>
      <c r="P64" s="1">
        <f t="shared" si="3"/>
        <v>272</v>
      </c>
      <c r="Q64" s="14">
        <f t="shared" si="4"/>
        <v>34</v>
      </c>
      <c r="R64" s="20">
        <f t="shared" si="5"/>
        <v>58</v>
      </c>
    </row>
    <row r="65" spans="1:18" ht="18" customHeight="1">
      <c r="A65" s="19">
        <v>59</v>
      </c>
      <c r="B65" s="2" t="s">
        <v>3863</v>
      </c>
      <c r="C65" s="1">
        <v>311220840</v>
      </c>
      <c r="D65" s="3" t="s">
        <v>3864</v>
      </c>
      <c r="E65" s="1" t="s">
        <v>75</v>
      </c>
      <c r="F65" s="10" t="s">
        <v>3848</v>
      </c>
      <c r="G65" s="2">
        <v>17</v>
      </c>
      <c r="H65" s="6">
        <v>28</v>
      </c>
      <c r="I65" s="6">
        <v>84</v>
      </c>
      <c r="J65" s="6">
        <v>56</v>
      </c>
      <c r="K65" s="6">
        <v>4</v>
      </c>
      <c r="L65" s="6">
        <v>16</v>
      </c>
      <c r="M65" s="6">
        <v>36</v>
      </c>
      <c r="N65" s="6">
        <v>40</v>
      </c>
      <c r="O65" s="6">
        <v>8</v>
      </c>
      <c r="P65" s="1">
        <f t="shared" si="3"/>
        <v>272</v>
      </c>
      <c r="Q65" s="14">
        <f t="shared" si="4"/>
        <v>34</v>
      </c>
      <c r="R65" s="20">
        <f t="shared" si="5"/>
        <v>58</v>
      </c>
    </row>
    <row r="66" spans="1:18" ht="18" customHeight="1">
      <c r="A66" s="19">
        <v>60</v>
      </c>
      <c r="B66" s="2" t="s">
        <v>3899</v>
      </c>
      <c r="C66" s="1">
        <v>4232699</v>
      </c>
      <c r="D66" s="3" t="s">
        <v>3900</v>
      </c>
      <c r="E66" s="1" t="s">
        <v>71</v>
      </c>
      <c r="F66" s="10" t="s">
        <v>3848</v>
      </c>
      <c r="G66" s="2">
        <v>17</v>
      </c>
      <c r="H66" s="6">
        <v>48</v>
      </c>
      <c r="I66" s="6">
        <v>89</v>
      </c>
      <c r="J66" s="6">
        <v>32</v>
      </c>
      <c r="K66" s="6">
        <v>8</v>
      </c>
      <c r="L66" s="6">
        <v>8</v>
      </c>
      <c r="M66" s="6">
        <v>12</v>
      </c>
      <c r="N66" s="6">
        <v>44</v>
      </c>
      <c r="O66" s="6">
        <v>24</v>
      </c>
      <c r="P66" s="1">
        <f t="shared" si="3"/>
        <v>265</v>
      </c>
      <c r="Q66" s="14">
        <f t="shared" si="4"/>
        <v>33.125</v>
      </c>
      <c r="R66" s="20">
        <f t="shared" si="5"/>
        <v>60</v>
      </c>
    </row>
    <row r="67" spans="1:18" ht="18" customHeight="1">
      <c r="A67" s="19">
        <v>61</v>
      </c>
      <c r="B67" s="2" t="s">
        <v>3953</v>
      </c>
      <c r="C67" s="1">
        <v>4232602</v>
      </c>
      <c r="D67" s="3" t="s">
        <v>3954</v>
      </c>
      <c r="E67" s="1" t="s">
        <v>78</v>
      </c>
      <c r="F67" s="10" t="s">
        <v>3848</v>
      </c>
      <c r="G67" s="2">
        <v>19</v>
      </c>
      <c r="H67" s="6">
        <v>28</v>
      </c>
      <c r="I67" s="6">
        <v>79</v>
      </c>
      <c r="J67" s="6">
        <v>20</v>
      </c>
      <c r="K67" s="6">
        <v>40</v>
      </c>
      <c r="L67" s="6">
        <v>16</v>
      </c>
      <c r="M67" s="6">
        <v>28</v>
      </c>
      <c r="N67" s="6">
        <v>20</v>
      </c>
      <c r="O67" s="6">
        <v>16</v>
      </c>
      <c r="P67" s="1">
        <f t="shared" si="3"/>
        <v>247</v>
      </c>
      <c r="Q67" s="14">
        <f t="shared" si="4"/>
        <v>30.875</v>
      </c>
      <c r="R67" s="20">
        <f t="shared" si="5"/>
        <v>61</v>
      </c>
    </row>
    <row r="68" spans="1:18" ht="18" customHeight="1">
      <c r="A68" s="19">
        <v>62</v>
      </c>
      <c r="B68" s="2" t="s">
        <v>3990</v>
      </c>
      <c r="C68" s="1">
        <v>4232723</v>
      </c>
      <c r="D68" s="3" t="s">
        <v>3991</v>
      </c>
      <c r="E68" s="1" t="s">
        <v>75</v>
      </c>
      <c r="F68" s="10" t="s">
        <v>3848</v>
      </c>
      <c r="G68" s="2">
        <v>19</v>
      </c>
      <c r="H68" s="6">
        <v>16</v>
      </c>
      <c r="I68" s="6">
        <v>63</v>
      </c>
      <c r="J68" s="6">
        <v>35</v>
      </c>
      <c r="K68" s="6">
        <v>24</v>
      </c>
      <c r="L68" s="6">
        <v>24</v>
      </c>
      <c r="M68" s="6">
        <v>8</v>
      </c>
      <c r="N68" s="6">
        <v>20</v>
      </c>
      <c r="O68" s="6">
        <v>16</v>
      </c>
      <c r="P68" s="1">
        <f t="shared" si="3"/>
        <v>206</v>
      </c>
      <c r="Q68" s="14">
        <f t="shared" si="4"/>
        <v>25.75</v>
      </c>
      <c r="R68" s="20">
        <f t="shared" si="5"/>
        <v>62</v>
      </c>
    </row>
    <row r="69" spans="1:18" ht="18" customHeight="1">
      <c r="A69" s="19">
        <v>63</v>
      </c>
      <c r="B69" s="2" t="s">
        <v>3888</v>
      </c>
      <c r="C69" s="1" t="s">
        <v>3889</v>
      </c>
      <c r="D69" s="3" t="s">
        <v>3890</v>
      </c>
      <c r="E69" s="1" t="s">
        <v>70</v>
      </c>
      <c r="F69" s="10" t="s">
        <v>3848</v>
      </c>
      <c r="G69" s="2">
        <v>17</v>
      </c>
      <c r="H69" s="6"/>
      <c r="I69" s="6"/>
      <c r="J69" s="6"/>
      <c r="K69" s="6"/>
      <c r="L69" s="6"/>
      <c r="M69" s="6"/>
      <c r="N69" s="6"/>
      <c r="O69" s="6"/>
      <c r="P69" s="1">
        <f t="shared" si="3"/>
        <v>0</v>
      </c>
      <c r="Q69" s="14">
        <f t="shared" si="4"/>
        <v>0</v>
      </c>
      <c r="R69" s="20">
        <f t="shared" si="5"/>
        <v>63</v>
      </c>
    </row>
    <row r="70" spans="1:18" ht="18" customHeight="1">
      <c r="A70" s="19">
        <v>64</v>
      </c>
      <c r="B70" s="2" t="s">
        <v>3851</v>
      </c>
      <c r="C70" s="1">
        <v>311220794</v>
      </c>
      <c r="D70" s="3" t="s">
        <v>3852</v>
      </c>
      <c r="E70" s="1" t="s">
        <v>59</v>
      </c>
      <c r="F70" s="10" t="s">
        <v>3848</v>
      </c>
      <c r="G70" s="2">
        <v>16</v>
      </c>
      <c r="H70" s="6"/>
      <c r="I70" s="6"/>
      <c r="J70" s="6"/>
      <c r="K70" s="6"/>
      <c r="L70" s="6"/>
      <c r="M70" s="6"/>
      <c r="N70" s="6"/>
      <c r="O70" s="6"/>
      <c r="P70" s="1">
        <f t="shared" si="3"/>
        <v>0</v>
      </c>
      <c r="Q70" s="14">
        <f t="shared" si="4"/>
        <v>0</v>
      </c>
      <c r="R70" s="20">
        <f t="shared" si="5"/>
        <v>63</v>
      </c>
    </row>
    <row r="71" spans="1:18" ht="18" customHeight="1">
      <c r="A71" s="19">
        <v>65</v>
      </c>
      <c r="B71" s="2" t="s">
        <v>3937</v>
      </c>
      <c r="C71" s="1">
        <v>311220718</v>
      </c>
      <c r="D71" s="3" t="s">
        <v>3938</v>
      </c>
      <c r="E71" s="1" t="s">
        <v>62</v>
      </c>
      <c r="F71" s="10" t="s">
        <v>3848</v>
      </c>
      <c r="G71" s="2">
        <v>18</v>
      </c>
      <c r="H71" s="6"/>
      <c r="I71" s="6"/>
      <c r="J71" s="6"/>
      <c r="K71" s="6"/>
      <c r="L71" s="6"/>
      <c r="M71" s="6"/>
      <c r="N71" s="6"/>
      <c r="O71" s="6"/>
      <c r="P71" s="1">
        <f t="shared" ref="P71:P73" si="6">SUBTOTAL(9,H71:O71)</f>
        <v>0</v>
      </c>
      <c r="Q71" s="14">
        <f t="shared" ref="Q71:Q73" si="7">P71/8</f>
        <v>0</v>
      </c>
      <c r="R71" s="20">
        <f t="shared" ref="R71:R73" si="8">RANK(Q71,Q$7:Q$274,0)</f>
        <v>63</v>
      </c>
    </row>
    <row r="72" spans="1:18" ht="18" customHeight="1">
      <c r="A72" s="19">
        <v>66</v>
      </c>
      <c r="B72" s="2" t="s">
        <v>3857</v>
      </c>
      <c r="C72" s="1" t="s">
        <v>3858</v>
      </c>
      <c r="D72" s="3" t="s">
        <v>3859</v>
      </c>
      <c r="E72" s="1" t="s">
        <v>75</v>
      </c>
      <c r="F72" s="10" t="s">
        <v>3848</v>
      </c>
      <c r="G72" s="2">
        <v>16</v>
      </c>
      <c r="H72" s="6"/>
      <c r="I72" s="6"/>
      <c r="J72" s="6"/>
      <c r="K72" s="6"/>
      <c r="L72" s="6"/>
      <c r="M72" s="6"/>
      <c r="N72" s="6"/>
      <c r="O72" s="6"/>
      <c r="P72" s="1">
        <f t="shared" si="6"/>
        <v>0</v>
      </c>
      <c r="Q72" s="14">
        <f t="shared" si="7"/>
        <v>0</v>
      </c>
      <c r="R72" s="20">
        <f t="shared" si="8"/>
        <v>63</v>
      </c>
    </row>
    <row r="73" spans="1:18" ht="18" customHeight="1">
      <c r="A73" s="19">
        <v>67</v>
      </c>
      <c r="B73" s="28" t="s">
        <v>3996</v>
      </c>
      <c r="C73" s="29">
        <v>311220652</v>
      </c>
      <c r="D73" s="30" t="s">
        <v>3997</v>
      </c>
      <c r="E73" s="29" t="s">
        <v>68</v>
      </c>
      <c r="F73" s="31" t="s">
        <v>3848</v>
      </c>
      <c r="G73" s="28">
        <v>20</v>
      </c>
      <c r="H73" s="46"/>
      <c r="I73" s="46"/>
      <c r="J73" s="46"/>
      <c r="K73" s="46"/>
      <c r="L73" s="46"/>
      <c r="M73" s="46"/>
      <c r="N73" s="46"/>
      <c r="O73" s="46"/>
      <c r="P73" s="29">
        <f t="shared" si="6"/>
        <v>0</v>
      </c>
      <c r="Q73" s="41">
        <f t="shared" si="7"/>
        <v>0</v>
      </c>
      <c r="R73" s="33">
        <f t="shared" si="8"/>
        <v>63</v>
      </c>
    </row>
  </sheetData>
  <mergeCells count="4">
    <mergeCell ref="A1:P1"/>
    <mergeCell ref="A2:P2"/>
    <mergeCell ref="A3:P3"/>
    <mergeCell ref="A5:B5"/>
  </mergeCells>
  <conditionalFormatting sqref="H7:O7">
    <cfRule type="cellIs" dxfId="3469" priority="332" operator="lessThan">
      <formula>50</formula>
    </cfRule>
    <cfRule type="cellIs" dxfId="3468" priority="333" operator="lessThan">
      <formula>5</formula>
    </cfRule>
    <cfRule type="cellIs" dxfId="3467" priority="334" operator="lessThan">
      <formula>5</formula>
    </cfRule>
    <cfRule type="cellIs" dxfId="3466" priority="335" operator="lessThan">
      <formula>5</formula>
    </cfRule>
  </conditionalFormatting>
  <conditionalFormatting sqref="Q7">
    <cfRule type="cellIs" dxfId="3465" priority="331" operator="lessThan">
      <formula>50</formula>
    </cfRule>
  </conditionalFormatting>
  <conditionalFormatting sqref="H8:O8">
    <cfRule type="cellIs" dxfId="3464" priority="327" operator="lessThan">
      <formula>50</formula>
    </cfRule>
    <cfRule type="cellIs" dxfId="3463" priority="328" operator="lessThan">
      <formula>5</formula>
    </cfRule>
    <cfRule type="cellIs" dxfId="3462" priority="329" operator="lessThan">
      <formula>5</formula>
    </cfRule>
    <cfRule type="cellIs" dxfId="3461" priority="330" operator="lessThan">
      <formula>5</formula>
    </cfRule>
  </conditionalFormatting>
  <conditionalFormatting sqref="Q8">
    <cfRule type="cellIs" dxfId="3460" priority="326" operator="lessThan">
      <formula>50</formula>
    </cfRule>
  </conditionalFormatting>
  <conditionalFormatting sqref="H9:O9">
    <cfRule type="cellIs" dxfId="3459" priority="322" operator="lessThan">
      <formula>50</formula>
    </cfRule>
    <cfRule type="cellIs" dxfId="3458" priority="323" operator="lessThan">
      <formula>5</formula>
    </cfRule>
    <cfRule type="cellIs" dxfId="3457" priority="324" operator="lessThan">
      <formula>5</formula>
    </cfRule>
    <cfRule type="cellIs" dxfId="3456" priority="325" operator="lessThan">
      <formula>5</formula>
    </cfRule>
  </conditionalFormatting>
  <conditionalFormatting sqref="Q9">
    <cfRule type="cellIs" dxfId="3455" priority="321" operator="lessThan">
      <formula>50</formula>
    </cfRule>
  </conditionalFormatting>
  <conditionalFormatting sqref="H10:O10">
    <cfRule type="cellIs" dxfId="3454" priority="317" operator="lessThan">
      <formula>50</formula>
    </cfRule>
    <cfRule type="cellIs" dxfId="3453" priority="318" operator="lessThan">
      <formula>5</formula>
    </cfRule>
    <cfRule type="cellIs" dxfId="3452" priority="319" operator="lessThan">
      <formula>5</formula>
    </cfRule>
    <cfRule type="cellIs" dxfId="3451" priority="320" operator="lessThan">
      <formula>5</formula>
    </cfRule>
  </conditionalFormatting>
  <conditionalFormatting sqref="Q10">
    <cfRule type="cellIs" dxfId="3450" priority="316" operator="lessThan">
      <formula>50</formula>
    </cfRule>
  </conditionalFormatting>
  <conditionalFormatting sqref="H11:O11">
    <cfRule type="cellIs" dxfId="3449" priority="312" operator="lessThan">
      <formula>50</formula>
    </cfRule>
    <cfRule type="cellIs" dxfId="3448" priority="313" operator="lessThan">
      <formula>5</formula>
    </cfRule>
    <cfRule type="cellIs" dxfId="3447" priority="314" operator="lessThan">
      <formula>5</formula>
    </cfRule>
    <cfRule type="cellIs" dxfId="3446" priority="315" operator="lessThan">
      <formula>5</formula>
    </cfRule>
  </conditionalFormatting>
  <conditionalFormatting sqref="Q11">
    <cfRule type="cellIs" dxfId="3445" priority="311" operator="lessThan">
      <formula>50</formula>
    </cfRule>
  </conditionalFormatting>
  <conditionalFormatting sqref="H12:O12">
    <cfRule type="cellIs" dxfId="3444" priority="307" operator="lessThan">
      <formula>50</formula>
    </cfRule>
    <cfRule type="cellIs" dxfId="3443" priority="308" operator="lessThan">
      <formula>5</formula>
    </cfRule>
    <cfRule type="cellIs" dxfId="3442" priority="309" operator="lessThan">
      <formula>5</formula>
    </cfRule>
    <cfRule type="cellIs" dxfId="3441" priority="310" operator="lessThan">
      <formula>5</formula>
    </cfRule>
  </conditionalFormatting>
  <conditionalFormatting sqref="Q12">
    <cfRule type="cellIs" dxfId="3440" priority="306" operator="lessThan">
      <formula>50</formula>
    </cfRule>
  </conditionalFormatting>
  <conditionalFormatting sqref="H13:O13">
    <cfRule type="cellIs" dxfId="3439" priority="302" operator="lessThan">
      <formula>50</formula>
    </cfRule>
    <cfRule type="cellIs" dxfId="3438" priority="303" operator="lessThan">
      <formula>5</formula>
    </cfRule>
    <cfRule type="cellIs" dxfId="3437" priority="304" operator="lessThan">
      <formula>5</formula>
    </cfRule>
    <cfRule type="cellIs" dxfId="3436" priority="305" operator="lessThan">
      <formula>5</formula>
    </cfRule>
  </conditionalFormatting>
  <conditionalFormatting sqref="Q13">
    <cfRule type="cellIs" dxfId="3435" priority="301" operator="lessThan">
      <formula>50</formula>
    </cfRule>
  </conditionalFormatting>
  <conditionalFormatting sqref="H14:O14">
    <cfRule type="cellIs" dxfId="3434" priority="297" operator="lessThan">
      <formula>50</formula>
    </cfRule>
    <cfRule type="cellIs" dxfId="3433" priority="298" operator="lessThan">
      <formula>5</formula>
    </cfRule>
    <cfRule type="cellIs" dxfId="3432" priority="299" operator="lessThan">
      <formula>5</formula>
    </cfRule>
    <cfRule type="cellIs" dxfId="3431" priority="300" operator="lessThan">
      <formula>5</formula>
    </cfRule>
  </conditionalFormatting>
  <conditionalFormatting sqref="Q14">
    <cfRule type="cellIs" dxfId="3430" priority="296" operator="lessThan">
      <formula>50</formula>
    </cfRule>
  </conditionalFormatting>
  <conditionalFormatting sqref="H15:O15">
    <cfRule type="cellIs" dxfId="3429" priority="292" operator="lessThan">
      <formula>50</formula>
    </cfRule>
    <cfRule type="cellIs" dxfId="3428" priority="293" operator="lessThan">
      <formula>5</formula>
    </cfRule>
    <cfRule type="cellIs" dxfId="3427" priority="294" operator="lessThan">
      <formula>5</formula>
    </cfRule>
    <cfRule type="cellIs" dxfId="3426" priority="295" operator="lessThan">
      <formula>5</formula>
    </cfRule>
  </conditionalFormatting>
  <conditionalFormatting sqref="Q15">
    <cfRule type="cellIs" dxfId="3425" priority="291" operator="lessThan">
      <formula>50</formula>
    </cfRule>
  </conditionalFormatting>
  <conditionalFormatting sqref="H16:O16">
    <cfRule type="cellIs" dxfId="3424" priority="287" operator="lessThan">
      <formula>50</formula>
    </cfRule>
    <cfRule type="cellIs" dxfId="3423" priority="288" operator="lessThan">
      <formula>5</formula>
    </cfRule>
    <cfRule type="cellIs" dxfId="3422" priority="289" operator="lessThan">
      <formula>5</formula>
    </cfRule>
    <cfRule type="cellIs" dxfId="3421" priority="290" operator="lessThan">
      <formula>5</formula>
    </cfRule>
  </conditionalFormatting>
  <conditionalFormatting sqref="Q16">
    <cfRule type="cellIs" dxfId="3420" priority="286" operator="lessThan">
      <formula>50</formula>
    </cfRule>
  </conditionalFormatting>
  <conditionalFormatting sqref="H17:O17">
    <cfRule type="cellIs" dxfId="3419" priority="282" operator="lessThan">
      <formula>50</formula>
    </cfRule>
    <cfRule type="cellIs" dxfId="3418" priority="283" operator="lessThan">
      <formula>5</formula>
    </cfRule>
    <cfRule type="cellIs" dxfId="3417" priority="284" operator="lessThan">
      <formula>5</formula>
    </cfRule>
    <cfRule type="cellIs" dxfId="3416" priority="285" operator="lessThan">
      <formula>5</formula>
    </cfRule>
  </conditionalFormatting>
  <conditionalFormatting sqref="Q17">
    <cfRule type="cellIs" dxfId="3415" priority="281" operator="lessThan">
      <formula>50</formula>
    </cfRule>
  </conditionalFormatting>
  <conditionalFormatting sqref="H18:O18">
    <cfRule type="cellIs" dxfId="3414" priority="277" operator="lessThan">
      <formula>50</formula>
    </cfRule>
    <cfRule type="cellIs" dxfId="3413" priority="278" operator="lessThan">
      <formula>5</formula>
    </cfRule>
    <cfRule type="cellIs" dxfId="3412" priority="279" operator="lessThan">
      <formula>5</formula>
    </cfRule>
    <cfRule type="cellIs" dxfId="3411" priority="280" operator="lessThan">
      <formula>5</formula>
    </cfRule>
  </conditionalFormatting>
  <conditionalFormatting sqref="Q18">
    <cfRule type="cellIs" dxfId="3410" priority="276" operator="lessThan">
      <formula>50</formula>
    </cfRule>
  </conditionalFormatting>
  <conditionalFormatting sqref="H19:O19">
    <cfRule type="cellIs" dxfId="3409" priority="272" operator="lessThan">
      <formula>50</formula>
    </cfRule>
    <cfRule type="cellIs" dxfId="3408" priority="273" operator="lessThan">
      <formula>5</formula>
    </cfRule>
    <cfRule type="cellIs" dxfId="3407" priority="274" operator="lessThan">
      <formula>5</formula>
    </cfRule>
    <cfRule type="cellIs" dxfId="3406" priority="275" operator="lessThan">
      <formula>5</formula>
    </cfRule>
  </conditionalFormatting>
  <conditionalFormatting sqref="Q19">
    <cfRule type="cellIs" dxfId="3405" priority="271" operator="lessThan">
      <formula>50</formula>
    </cfRule>
  </conditionalFormatting>
  <conditionalFormatting sqref="H20:O20">
    <cfRule type="cellIs" dxfId="3404" priority="267" operator="lessThan">
      <formula>50</formula>
    </cfRule>
    <cfRule type="cellIs" dxfId="3403" priority="268" operator="lessThan">
      <formula>5</formula>
    </cfRule>
    <cfRule type="cellIs" dxfId="3402" priority="269" operator="lessThan">
      <formula>5</formula>
    </cfRule>
    <cfRule type="cellIs" dxfId="3401" priority="270" operator="lessThan">
      <formula>5</formula>
    </cfRule>
  </conditionalFormatting>
  <conditionalFormatting sqref="Q20">
    <cfRule type="cellIs" dxfId="3400" priority="266" operator="lessThan">
      <formula>50</formula>
    </cfRule>
  </conditionalFormatting>
  <conditionalFormatting sqref="H21:O21">
    <cfRule type="cellIs" dxfId="3399" priority="262" operator="lessThan">
      <formula>50</formula>
    </cfRule>
    <cfRule type="cellIs" dxfId="3398" priority="263" operator="lessThan">
      <formula>5</formula>
    </cfRule>
    <cfRule type="cellIs" dxfId="3397" priority="264" operator="lessThan">
      <formula>5</formula>
    </cfRule>
    <cfRule type="cellIs" dxfId="3396" priority="265" operator="lessThan">
      <formula>5</formula>
    </cfRule>
  </conditionalFormatting>
  <conditionalFormatting sqref="Q21">
    <cfRule type="cellIs" dxfId="3395" priority="261" operator="lessThan">
      <formula>50</formula>
    </cfRule>
  </conditionalFormatting>
  <conditionalFormatting sqref="H22:O22">
    <cfRule type="cellIs" dxfId="3394" priority="257" operator="lessThan">
      <formula>50</formula>
    </cfRule>
    <cfRule type="cellIs" dxfId="3393" priority="258" operator="lessThan">
      <formula>5</formula>
    </cfRule>
    <cfRule type="cellIs" dxfId="3392" priority="259" operator="lessThan">
      <formula>5</formula>
    </cfRule>
    <cfRule type="cellIs" dxfId="3391" priority="260" operator="lessThan">
      <formula>5</formula>
    </cfRule>
  </conditionalFormatting>
  <conditionalFormatting sqref="Q22">
    <cfRule type="cellIs" dxfId="3390" priority="256" operator="lessThan">
      <formula>50</formula>
    </cfRule>
  </conditionalFormatting>
  <conditionalFormatting sqref="H23:O23">
    <cfRule type="cellIs" dxfId="3389" priority="252" operator="lessThan">
      <formula>50</formula>
    </cfRule>
    <cfRule type="cellIs" dxfId="3388" priority="253" operator="lessThan">
      <formula>5</formula>
    </cfRule>
    <cfRule type="cellIs" dxfId="3387" priority="254" operator="lessThan">
      <formula>5</formula>
    </cfRule>
    <cfRule type="cellIs" dxfId="3386" priority="255" operator="lessThan">
      <formula>5</formula>
    </cfRule>
  </conditionalFormatting>
  <conditionalFormatting sqref="Q23">
    <cfRule type="cellIs" dxfId="3385" priority="251" operator="lessThan">
      <formula>50</formula>
    </cfRule>
  </conditionalFormatting>
  <conditionalFormatting sqref="H24:O24">
    <cfRule type="cellIs" dxfId="3384" priority="247" operator="lessThan">
      <formula>50</formula>
    </cfRule>
    <cfRule type="cellIs" dxfId="3383" priority="248" operator="lessThan">
      <formula>5</formula>
    </cfRule>
    <cfRule type="cellIs" dxfId="3382" priority="249" operator="lessThan">
      <formula>5</formula>
    </cfRule>
    <cfRule type="cellIs" dxfId="3381" priority="250" operator="lessThan">
      <formula>5</formula>
    </cfRule>
  </conditionalFormatting>
  <conditionalFormatting sqref="Q24">
    <cfRule type="cellIs" dxfId="3380" priority="246" operator="lessThan">
      <formula>50</formula>
    </cfRule>
  </conditionalFormatting>
  <conditionalFormatting sqref="H25:O25">
    <cfRule type="cellIs" dxfId="3379" priority="242" operator="lessThan">
      <formula>50</formula>
    </cfRule>
    <cfRule type="cellIs" dxfId="3378" priority="243" operator="lessThan">
      <formula>5</formula>
    </cfRule>
    <cfRule type="cellIs" dxfId="3377" priority="244" operator="lessThan">
      <formula>5</formula>
    </cfRule>
    <cfRule type="cellIs" dxfId="3376" priority="245" operator="lessThan">
      <formula>5</formula>
    </cfRule>
  </conditionalFormatting>
  <conditionalFormatting sqref="Q25">
    <cfRule type="cellIs" dxfId="3375" priority="241" operator="lessThan">
      <formula>50</formula>
    </cfRule>
  </conditionalFormatting>
  <conditionalFormatting sqref="H26:O26">
    <cfRule type="cellIs" dxfId="3374" priority="237" operator="lessThan">
      <formula>50</formula>
    </cfRule>
    <cfRule type="cellIs" dxfId="3373" priority="238" operator="lessThan">
      <formula>5</formula>
    </cfRule>
    <cfRule type="cellIs" dxfId="3372" priority="239" operator="lessThan">
      <formula>5</formula>
    </cfRule>
    <cfRule type="cellIs" dxfId="3371" priority="240" operator="lessThan">
      <formula>5</formula>
    </cfRule>
  </conditionalFormatting>
  <conditionalFormatting sqref="Q26">
    <cfRule type="cellIs" dxfId="3370" priority="236" operator="lessThan">
      <formula>50</formula>
    </cfRule>
  </conditionalFormatting>
  <conditionalFormatting sqref="H27:O27">
    <cfRule type="cellIs" dxfId="3369" priority="232" operator="lessThan">
      <formula>50</formula>
    </cfRule>
    <cfRule type="cellIs" dxfId="3368" priority="233" operator="lessThan">
      <formula>5</formula>
    </cfRule>
    <cfRule type="cellIs" dxfId="3367" priority="234" operator="lessThan">
      <formula>5</formula>
    </cfRule>
    <cfRule type="cellIs" dxfId="3366" priority="235" operator="lessThan">
      <formula>5</formula>
    </cfRule>
  </conditionalFormatting>
  <conditionalFormatting sqref="Q27">
    <cfRule type="cellIs" dxfId="3365" priority="231" operator="lessThan">
      <formula>50</formula>
    </cfRule>
  </conditionalFormatting>
  <conditionalFormatting sqref="H28:O28">
    <cfRule type="cellIs" dxfId="3364" priority="227" operator="lessThan">
      <formula>50</formula>
    </cfRule>
    <cfRule type="cellIs" dxfId="3363" priority="228" operator="lessThan">
      <formula>5</formula>
    </cfRule>
    <cfRule type="cellIs" dxfId="3362" priority="229" operator="lessThan">
      <formula>5</formula>
    </cfRule>
    <cfRule type="cellIs" dxfId="3361" priority="230" operator="lessThan">
      <formula>5</formula>
    </cfRule>
  </conditionalFormatting>
  <conditionalFormatting sqref="Q28">
    <cfRule type="cellIs" dxfId="3360" priority="226" operator="lessThan">
      <formula>50</formula>
    </cfRule>
  </conditionalFormatting>
  <conditionalFormatting sqref="H29:O29">
    <cfRule type="cellIs" dxfId="3359" priority="222" operator="lessThan">
      <formula>50</formula>
    </cfRule>
    <cfRule type="cellIs" dxfId="3358" priority="223" operator="lessThan">
      <formula>5</formula>
    </cfRule>
    <cfRule type="cellIs" dxfId="3357" priority="224" operator="lessThan">
      <formula>5</formula>
    </cfRule>
    <cfRule type="cellIs" dxfId="3356" priority="225" operator="lessThan">
      <formula>5</formula>
    </cfRule>
  </conditionalFormatting>
  <conditionalFormatting sqref="Q29">
    <cfRule type="cellIs" dxfId="3355" priority="221" operator="lessThan">
      <formula>50</formula>
    </cfRule>
  </conditionalFormatting>
  <conditionalFormatting sqref="H30:O30">
    <cfRule type="cellIs" dxfId="3354" priority="217" operator="lessThan">
      <formula>50</formula>
    </cfRule>
    <cfRule type="cellIs" dxfId="3353" priority="218" operator="lessThan">
      <formula>5</formula>
    </cfRule>
    <cfRule type="cellIs" dxfId="3352" priority="219" operator="lessThan">
      <formula>5</formula>
    </cfRule>
    <cfRule type="cellIs" dxfId="3351" priority="220" operator="lessThan">
      <formula>5</formula>
    </cfRule>
  </conditionalFormatting>
  <conditionalFormatting sqref="Q30">
    <cfRule type="cellIs" dxfId="3350" priority="216" operator="lessThan">
      <formula>50</formula>
    </cfRule>
  </conditionalFormatting>
  <conditionalFormatting sqref="H31:O31">
    <cfRule type="cellIs" dxfId="3349" priority="212" operator="lessThan">
      <formula>50</formula>
    </cfRule>
    <cfRule type="cellIs" dxfId="3348" priority="213" operator="lessThan">
      <formula>5</formula>
    </cfRule>
    <cfRule type="cellIs" dxfId="3347" priority="214" operator="lessThan">
      <formula>5</formula>
    </cfRule>
    <cfRule type="cellIs" dxfId="3346" priority="215" operator="lessThan">
      <formula>5</formula>
    </cfRule>
  </conditionalFormatting>
  <conditionalFormatting sqref="Q31">
    <cfRule type="cellIs" dxfId="3345" priority="211" operator="lessThan">
      <formula>50</formula>
    </cfRule>
  </conditionalFormatting>
  <conditionalFormatting sqref="H32:O32">
    <cfRule type="cellIs" dxfId="3344" priority="207" operator="lessThan">
      <formula>50</formula>
    </cfRule>
    <cfRule type="cellIs" dxfId="3343" priority="208" operator="lessThan">
      <formula>5</formula>
    </cfRule>
    <cfRule type="cellIs" dxfId="3342" priority="209" operator="lessThan">
      <formula>5</formula>
    </cfRule>
    <cfRule type="cellIs" dxfId="3341" priority="210" operator="lessThan">
      <formula>5</formula>
    </cfRule>
  </conditionalFormatting>
  <conditionalFormatting sqref="Q32">
    <cfRule type="cellIs" dxfId="3340" priority="206" operator="lessThan">
      <formula>50</formula>
    </cfRule>
  </conditionalFormatting>
  <conditionalFormatting sqref="H33:O33">
    <cfRule type="cellIs" dxfId="3339" priority="202" operator="lessThan">
      <formula>50</formula>
    </cfRule>
    <cfRule type="cellIs" dxfId="3338" priority="203" operator="lessThan">
      <formula>5</formula>
    </cfRule>
    <cfRule type="cellIs" dxfId="3337" priority="204" operator="lessThan">
      <formula>5</formula>
    </cfRule>
    <cfRule type="cellIs" dxfId="3336" priority="205" operator="lessThan">
      <formula>5</formula>
    </cfRule>
  </conditionalFormatting>
  <conditionalFormatting sqref="Q33">
    <cfRule type="cellIs" dxfId="3335" priority="201" operator="lessThan">
      <formula>50</formula>
    </cfRule>
  </conditionalFormatting>
  <conditionalFormatting sqref="H34:O34">
    <cfRule type="cellIs" dxfId="3334" priority="197" operator="lessThan">
      <formula>50</formula>
    </cfRule>
    <cfRule type="cellIs" dxfId="3333" priority="198" operator="lessThan">
      <formula>5</formula>
    </cfRule>
    <cfRule type="cellIs" dxfId="3332" priority="199" operator="lessThan">
      <formula>5</formula>
    </cfRule>
    <cfRule type="cellIs" dxfId="3331" priority="200" operator="lessThan">
      <formula>5</formula>
    </cfRule>
  </conditionalFormatting>
  <conditionalFormatting sqref="Q34">
    <cfRule type="cellIs" dxfId="3330" priority="196" operator="lessThan">
      <formula>50</formula>
    </cfRule>
  </conditionalFormatting>
  <conditionalFormatting sqref="H35:O35">
    <cfRule type="cellIs" dxfId="3329" priority="192" operator="lessThan">
      <formula>50</formula>
    </cfRule>
    <cfRule type="cellIs" dxfId="3328" priority="193" operator="lessThan">
      <formula>5</formula>
    </cfRule>
    <cfRule type="cellIs" dxfId="3327" priority="194" operator="lessThan">
      <formula>5</formula>
    </cfRule>
    <cfRule type="cellIs" dxfId="3326" priority="195" operator="lessThan">
      <formula>5</formula>
    </cfRule>
  </conditionalFormatting>
  <conditionalFormatting sqref="Q35">
    <cfRule type="cellIs" dxfId="3325" priority="191" operator="lessThan">
      <formula>50</formula>
    </cfRule>
  </conditionalFormatting>
  <conditionalFormatting sqref="H36:O36">
    <cfRule type="cellIs" dxfId="3324" priority="187" operator="lessThan">
      <formula>50</formula>
    </cfRule>
    <cfRule type="cellIs" dxfId="3323" priority="188" operator="lessThan">
      <formula>5</formula>
    </cfRule>
    <cfRule type="cellIs" dxfId="3322" priority="189" operator="lessThan">
      <formula>5</formula>
    </cfRule>
    <cfRule type="cellIs" dxfId="3321" priority="190" operator="lessThan">
      <formula>5</formula>
    </cfRule>
  </conditionalFormatting>
  <conditionalFormatting sqref="Q36">
    <cfRule type="cellIs" dxfId="3320" priority="186" operator="lessThan">
      <formula>50</formula>
    </cfRule>
  </conditionalFormatting>
  <conditionalFormatting sqref="H37:O37">
    <cfRule type="cellIs" dxfId="3319" priority="182" operator="lessThan">
      <formula>50</formula>
    </cfRule>
    <cfRule type="cellIs" dxfId="3318" priority="183" operator="lessThan">
      <formula>5</formula>
    </cfRule>
    <cfRule type="cellIs" dxfId="3317" priority="184" operator="lessThan">
      <formula>5</formula>
    </cfRule>
    <cfRule type="cellIs" dxfId="3316" priority="185" operator="lessThan">
      <formula>5</formula>
    </cfRule>
  </conditionalFormatting>
  <conditionalFormatting sqref="Q37">
    <cfRule type="cellIs" dxfId="3315" priority="181" operator="lessThan">
      <formula>50</formula>
    </cfRule>
  </conditionalFormatting>
  <conditionalFormatting sqref="H38:O38">
    <cfRule type="cellIs" dxfId="3314" priority="177" operator="lessThan">
      <formula>50</formula>
    </cfRule>
    <cfRule type="cellIs" dxfId="3313" priority="178" operator="lessThan">
      <formula>5</formula>
    </cfRule>
    <cfRule type="cellIs" dxfId="3312" priority="179" operator="lessThan">
      <formula>5</formula>
    </cfRule>
    <cfRule type="cellIs" dxfId="3311" priority="180" operator="lessThan">
      <formula>5</formula>
    </cfRule>
  </conditionalFormatting>
  <conditionalFormatting sqref="Q38">
    <cfRule type="cellIs" dxfId="3310" priority="176" operator="lessThan">
      <formula>50</formula>
    </cfRule>
  </conditionalFormatting>
  <conditionalFormatting sqref="H39:O39">
    <cfRule type="cellIs" dxfId="3309" priority="172" operator="lessThan">
      <formula>50</formula>
    </cfRule>
    <cfRule type="cellIs" dxfId="3308" priority="173" operator="lessThan">
      <formula>5</formula>
    </cfRule>
    <cfRule type="cellIs" dxfId="3307" priority="174" operator="lessThan">
      <formula>5</formula>
    </cfRule>
    <cfRule type="cellIs" dxfId="3306" priority="175" operator="lessThan">
      <formula>5</formula>
    </cfRule>
  </conditionalFormatting>
  <conditionalFormatting sqref="Q39">
    <cfRule type="cellIs" dxfId="3305" priority="171" operator="lessThan">
      <formula>50</formula>
    </cfRule>
  </conditionalFormatting>
  <conditionalFormatting sqref="H40:O40">
    <cfRule type="cellIs" dxfId="3304" priority="167" operator="lessThan">
      <formula>50</formula>
    </cfRule>
    <cfRule type="cellIs" dxfId="3303" priority="168" operator="lessThan">
      <formula>5</formula>
    </cfRule>
    <cfRule type="cellIs" dxfId="3302" priority="169" operator="lessThan">
      <formula>5</formula>
    </cfRule>
    <cfRule type="cellIs" dxfId="3301" priority="170" operator="lessThan">
      <formula>5</formula>
    </cfRule>
  </conditionalFormatting>
  <conditionalFormatting sqref="Q40">
    <cfRule type="cellIs" dxfId="3300" priority="166" operator="lessThan">
      <formula>50</formula>
    </cfRule>
  </conditionalFormatting>
  <conditionalFormatting sqref="H41:O41">
    <cfRule type="cellIs" dxfId="3299" priority="162" operator="lessThan">
      <formula>50</formula>
    </cfRule>
    <cfRule type="cellIs" dxfId="3298" priority="163" operator="lessThan">
      <formula>5</formula>
    </cfRule>
    <cfRule type="cellIs" dxfId="3297" priority="164" operator="lessThan">
      <formula>5</formula>
    </cfRule>
    <cfRule type="cellIs" dxfId="3296" priority="165" operator="lessThan">
      <formula>5</formula>
    </cfRule>
  </conditionalFormatting>
  <conditionalFormatting sqref="Q41">
    <cfRule type="cellIs" dxfId="3295" priority="161" operator="lessThan">
      <formula>50</formula>
    </cfRule>
  </conditionalFormatting>
  <conditionalFormatting sqref="H42:O42">
    <cfRule type="cellIs" dxfId="3294" priority="157" operator="lessThan">
      <formula>50</formula>
    </cfRule>
    <cfRule type="cellIs" dxfId="3293" priority="158" operator="lessThan">
      <formula>5</formula>
    </cfRule>
    <cfRule type="cellIs" dxfId="3292" priority="159" operator="lessThan">
      <formula>5</formula>
    </cfRule>
    <cfRule type="cellIs" dxfId="3291" priority="160" operator="lessThan">
      <formula>5</formula>
    </cfRule>
  </conditionalFormatting>
  <conditionalFormatting sqref="Q42">
    <cfRule type="cellIs" dxfId="3290" priority="156" operator="lessThan">
      <formula>50</formula>
    </cfRule>
  </conditionalFormatting>
  <conditionalFormatting sqref="H43:O43">
    <cfRule type="cellIs" dxfId="3289" priority="152" operator="lessThan">
      <formula>50</formula>
    </cfRule>
    <cfRule type="cellIs" dxfId="3288" priority="153" operator="lessThan">
      <formula>5</formula>
    </cfRule>
    <cfRule type="cellIs" dxfId="3287" priority="154" operator="lessThan">
      <formula>5</formula>
    </cfRule>
    <cfRule type="cellIs" dxfId="3286" priority="155" operator="lessThan">
      <formula>5</formula>
    </cfRule>
  </conditionalFormatting>
  <conditionalFormatting sqref="Q43">
    <cfRule type="cellIs" dxfId="3285" priority="151" operator="lessThan">
      <formula>50</formula>
    </cfRule>
  </conditionalFormatting>
  <conditionalFormatting sqref="H44:O44">
    <cfRule type="cellIs" dxfId="3284" priority="147" operator="lessThan">
      <formula>50</formula>
    </cfRule>
    <cfRule type="cellIs" dxfId="3283" priority="148" operator="lessThan">
      <formula>5</formula>
    </cfRule>
    <cfRule type="cellIs" dxfId="3282" priority="149" operator="lessThan">
      <formula>5</formula>
    </cfRule>
    <cfRule type="cellIs" dxfId="3281" priority="150" operator="lessThan">
      <formula>5</formula>
    </cfRule>
  </conditionalFormatting>
  <conditionalFormatting sqref="Q44">
    <cfRule type="cellIs" dxfId="3280" priority="146" operator="lessThan">
      <formula>50</formula>
    </cfRule>
  </conditionalFormatting>
  <conditionalFormatting sqref="H45:O45">
    <cfRule type="cellIs" dxfId="3279" priority="142" operator="lessThan">
      <formula>50</formula>
    </cfRule>
    <cfRule type="cellIs" dxfId="3278" priority="143" operator="lessThan">
      <formula>5</formula>
    </cfRule>
    <cfRule type="cellIs" dxfId="3277" priority="144" operator="lessThan">
      <formula>5</formula>
    </cfRule>
    <cfRule type="cellIs" dxfId="3276" priority="145" operator="lessThan">
      <formula>5</formula>
    </cfRule>
  </conditionalFormatting>
  <conditionalFormatting sqref="Q45">
    <cfRule type="cellIs" dxfId="3275" priority="141" operator="lessThan">
      <formula>50</formula>
    </cfRule>
  </conditionalFormatting>
  <conditionalFormatting sqref="H46:O46">
    <cfRule type="cellIs" dxfId="3274" priority="137" operator="lessThan">
      <formula>50</formula>
    </cfRule>
    <cfRule type="cellIs" dxfId="3273" priority="138" operator="lessThan">
      <formula>5</formula>
    </cfRule>
    <cfRule type="cellIs" dxfId="3272" priority="139" operator="lessThan">
      <formula>5</formula>
    </cfRule>
    <cfRule type="cellIs" dxfId="3271" priority="140" operator="lessThan">
      <formula>5</formula>
    </cfRule>
  </conditionalFormatting>
  <conditionalFormatting sqref="Q46">
    <cfRule type="cellIs" dxfId="3270" priority="136" operator="lessThan">
      <formula>50</formula>
    </cfRule>
  </conditionalFormatting>
  <conditionalFormatting sqref="H47:O47">
    <cfRule type="cellIs" dxfId="3269" priority="132" operator="lessThan">
      <formula>50</formula>
    </cfRule>
    <cfRule type="cellIs" dxfId="3268" priority="133" operator="lessThan">
      <formula>5</formula>
    </cfRule>
    <cfRule type="cellIs" dxfId="3267" priority="134" operator="lessThan">
      <formula>5</formula>
    </cfRule>
    <cfRule type="cellIs" dxfId="3266" priority="135" operator="lessThan">
      <formula>5</formula>
    </cfRule>
  </conditionalFormatting>
  <conditionalFormatting sqref="Q47">
    <cfRule type="cellIs" dxfId="3265" priority="131" operator="lessThan">
      <formula>50</formula>
    </cfRule>
  </conditionalFormatting>
  <conditionalFormatting sqref="H48:O48">
    <cfRule type="cellIs" dxfId="3264" priority="127" operator="lessThan">
      <formula>50</formula>
    </cfRule>
    <cfRule type="cellIs" dxfId="3263" priority="128" operator="lessThan">
      <formula>5</formula>
    </cfRule>
    <cfRule type="cellIs" dxfId="3262" priority="129" operator="lessThan">
      <formula>5</formula>
    </cfRule>
    <cfRule type="cellIs" dxfId="3261" priority="130" operator="lessThan">
      <formula>5</formula>
    </cfRule>
  </conditionalFormatting>
  <conditionalFormatting sqref="Q48">
    <cfRule type="cellIs" dxfId="3260" priority="126" operator="lessThan">
      <formula>50</formula>
    </cfRule>
  </conditionalFormatting>
  <conditionalFormatting sqref="H49:O49">
    <cfRule type="cellIs" dxfId="3259" priority="122" operator="lessThan">
      <formula>50</formula>
    </cfRule>
    <cfRule type="cellIs" dxfId="3258" priority="123" operator="lessThan">
      <formula>5</formula>
    </cfRule>
    <cfRule type="cellIs" dxfId="3257" priority="124" operator="lessThan">
      <formula>5</formula>
    </cfRule>
    <cfRule type="cellIs" dxfId="3256" priority="125" operator="lessThan">
      <formula>5</formula>
    </cfRule>
  </conditionalFormatting>
  <conditionalFormatting sqref="Q49">
    <cfRule type="cellIs" dxfId="3255" priority="121" operator="lessThan">
      <formula>50</formula>
    </cfRule>
  </conditionalFormatting>
  <conditionalFormatting sqref="H50:O50">
    <cfRule type="cellIs" dxfId="3254" priority="117" operator="lessThan">
      <formula>50</formula>
    </cfRule>
    <cfRule type="cellIs" dxfId="3253" priority="118" operator="lessThan">
      <formula>5</formula>
    </cfRule>
    <cfRule type="cellIs" dxfId="3252" priority="119" operator="lessThan">
      <formula>5</formula>
    </cfRule>
    <cfRule type="cellIs" dxfId="3251" priority="120" operator="lessThan">
      <formula>5</formula>
    </cfRule>
  </conditionalFormatting>
  <conditionalFormatting sqref="Q50">
    <cfRule type="cellIs" dxfId="3250" priority="116" operator="lessThan">
      <formula>50</formula>
    </cfRule>
  </conditionalFormatting>
  <conditionalFormatting sqref="H51:O51">
    <cfRule type="cellIs" dxfId="3249" priority="112" operator="lessThan">
      <formula>50</formula>
    </cfRule>
    <cfRule type="cellIs" dxfId="3248" priority="113" operator="lessThan">
      <formula>5</formula>
    </cfRule>
    <cfRule type="cellIs" dxfId="3247" priority="114" operator="lessThan">
      <formula>5</formula>
    </cfRule>
    <cfRule type="cellIs" dxfId="3246" priority="115" operator="lessThan">
      <formula>5</formula>
    </cfRule>
  </conditionalFormatting>
  <conditionalFormatting sqref="Q51">
    <cfRule type="cellIs" dxfId="3245" priority="111" operator="lessThan">
      <formula>50</formula>
    </cfRule>
  </conditionalFormatting>
  <conditionalFormatting sqref="H52:O52">
    <cfRule type="cellIs" dxfId="3244" priority="107" operator="lessThan">
      <formula>50</formula>
    </cfRule>
    <cfRule type="cellIs" dxfId="3243" priority="108" operator="lessThan">
      <formula>5</formula>
    </cfRule>
    <cfRule type="cellIs" dxfId="3242" priority="109" operator="lessThan">
      <formula>5</formula>
    </cfRule>
    <cfRule type="cellIs" dxfId="3241" priority="110" operator="lessThan">
      <formula>5</formula>
    </cfRule>
  </conditionalFormatting>
  <conditionalFormatting sqref="Q52">
    <cfRule type="cellIs" dxfId="3240" priority="106" operator="lessThan">
      <formula>50</formula>
    </cfRule>
  </conditionalFormatting>
  <conditionalFormatting sqref="H53:O53">
    <cfRule type="cellIs" dxfId="3239" priority="102" operator="lessThan">
      <formula>50</formula>
    </cfRule>
    <cfRule type="cellIs" dxfId="3238" priority="103" operator="lessThan">
      <formula>5</formula>
    </cfRule>
    <cfRule type="cellIs" dxfId="3237" priority="104" operator="lessThan">
      <formula>5</formula>
    </cfRule>
    <cfRule type="cellIs" dxfId="3236" priority="105" operator="lessThan">
      <formula>5</formula>
    </cfRule>
  </conditionalFormatting>
  <conditionalFormatting sqref="Q53">
    <cfRule type="cellIs" dxfId="3235" priority="101" operator="lessThan">
      <formula>50</formula>
    </cfRule>
  </conditionalFormatting>
  <conditionalFormatting sqref="H54:O54">
    <cfRule type="cellIs" dxfId="3234" priority="97" operator="lessThan">
      <formula>50</formula>
    </cfRule>
    <cfRule type="cellIs" dxfId="3233" priority="98" operator="lessThan">
      <formula>5</formula>
    </cfRule>
    <cfRule type="cellIs" dxfId="3232" priority="99" operator="lessThan">
      <formula>5</formula>
    </cfRule>
    <cfRule type="cellIs" dxfId="3231" priority="100" operator="lessThan">
      <formula>5</formula>
    </cfRule>
  </conditionalFormatting>
  <conditionalFormatting sqref="Q54">
    <cfRule type="cellIs" dxfId="3230" priority="96" operator="lessThan">
      <formula>50</formula>
    </cfRule>
  </conditionalFormatting>
  <conditionalFormatting sqref="H55:O55">
    <cfRule type="cellIs" dxfId="3229" priority="92" operator="lessThan">
      <formula>50</formula>
    </cfRule>
    <cfRule type="cellIs" dxfId="3228" priority="93" operator="lessThan">
      <formula>5</formula>
    </cfRule>
    <cfRule type="cellIs" dxfId="3227" priority="94" operator="lessThan">
      <formula>5</formula>
    </cfRule>
    <cfRule type="cellIs" dxfId="3226" priority="95" operator="lessThan">
      <formula>5</formula>
    </cfRule>
  </conditionalFormatting>
  <conditionalFormatting sqref="Q55">
    <cfRule type="cellIs" dxfId="3225" priority="91" operator="lessThan">
      <formula>50</formula>
    </cfRule>
  </conditionalFormatting>
  <conditionalFormatting sqref="H56:O56">
    <cfRule type="cellIs" dxfId="3224" priority="87" operator="lessThan">
      <formula>50</formula>
    </cfRule>
    <cfRule type="cellIs" dxfId="3223" priority="88" operator="lessThan">
      <formula>5</formula>
    </cfRule>
    <cfRule type="cellIs" dxfId="3222" priority="89" operator="lessThan">
      <formula>5</formula>
    </cfRule>
    <cfRule type="cellIs" dxfId="3221" priority="90" operator="lessThan">
      <formula>5</formula>
    </cfRule>
  </conditionalFormatting>
  <conditionalFormatting sqref="Q56">
    <cfRule type="cellIs" dxfId="3220" priority="86" operator="lessThan">
      <formula>50</formula>
    </cfRule>
  </conditionalFormatting>
  <conditionalFormatting sqref="H57:O57">
    <cfRule type="cellIs" dxfId="3219" priority="82" operator="lessThan">
      <formula>50</formula>
    </cfRule>
    <cfRule type="cellIs" dxfId="3218" priority="83" operator="lessThan">
      <formula>5</formula>
    </cfRule>
    <cfRule type="cellIs" dxfId="3217" priority="84" operator="lessThan">
      <formula>5</formula>
    </cfRule>
    <cfRule type="cellIs" dxfId="3216" priority="85" operator="lessThan">
      <formula>5</formula>
    </cfRule>
  </conditionalFormatting>
  <conditionalFormatting sqref="Q57">
    <cfRule type="cellIs" dxfId="3215" priority="81" operator="lessThan">
      <formula>50</formula>
    </cfRule>
  </conditionalFormatting>
  <conditionalFormatting sqref="H58:O58">
    <cfRule type="cellIs" dxfId="3214" priority="77" operator="lessThan">
      <formula>50</formula>
    </cfRule>
    <cfRule type="cellIs" dxfId="3213" priority="78" operator="lessThan">
      <formula>5</formula>
    </cfRule>
    <cfRule type="cellIs" dxfId="3212" priority="79" operator="lessThan">
      <formula>5</formula>
    </cfRule>
    <cfRule type="cellIs" dxfId="3211" priority="80" operator="lessThan">
      <formula>5</formula>
    </cfRule>
  </conditionalFormatting>
  <conditionalFormatting sqref="Q58">
    <cfRule type="cellIs" dxfId="3210" priority="76" operator="lessThan">
      <formula>50</formula>
    </cfRule>
  </conditionalFormatting>
  <conditionalFormatting sqref="H59:O59">
    <cfRule type="cellIs" dxfId="3209" priority="72" operator="lessThan">
      <formula>50</formula>
    </cfRule>
    <cfRule type="cellIs" dxfId="3208" priority="73" operator="lessThan">
      <formula>5</formula>
    </cfRule>
    <cfRule type="cellIs" dxfId="3207" priority="74" operator="lessThan">
      <formula>5</formula>
    </cfRule>
    <cfRule type="cellIs" dxfId="3206" priority="75" operator="lessThan">
      <formula>5</formula>
    </cfRule>
  </conditionalFormatting>
  <conditionalFormatting sqref="Q59">
    <cfRule type="cellIs" dxfId="3205" priority="71" operator="lessThan">
      <formula>50</formula>
    </cfRule>
  </conditionalFormatting>
  <conditionalFormatting sqref="H60:O60">
    <cfRule type="cellIs" dxfId="3204" priority="67" operator="lessThan">
      <formula>50</formula>
    </cfRule>
    <cfRule type="cellIs" dxfId="3203" priority="68" operator="lessThan">
      <formula>5</formula>
    </cfRule>
    <cfRule type="cellIs" dxfId="3202" priority="69" operator="lessThan">
      <formula>5</formula>
    </cfRule>
    <cfRule type="cellIs" dxfId="3201" priority="70" operator="lessThan">
      <formula>5</formula>
    </cfRule>
  </conditionalFormatting>
  <conditionalFormatting sqref="Q60">
    <cfRule type="cellIs" dxfId="3200" priority="66" operator="lessThan">
      <formula>50</formula>
    </cfRule>
  </conditionalFormatting>
  <conditionalFormatting sqref="H61:O61">
    <cfRule type="cellIs" dxfId="3199" priority="62" operator="lessThan">
      <formula>50</formula>
    </cfRule>
    <cfRule type="cellIs" dxfId="3198" priority="63" operator="lessThan">
      <formula>5</formula>
    </cfRule>
    <cfRule type="cellIs" dxfId="3197" priority="64" operator="lessThan">
      <formula>5</formula>
    </cfRule>
    <cfRule type="cellIs" dxfId="3196" priority="65" operator="lessThan">
      <formula>5</formula>
    </cfRule>
  </conditionalFormatting>
  <conditionalFormatting sqref="Q61">
    <cfRule type="cellIs" dxfId="3195" priority="61" operator="lessThan">
      <formula>50</formula>
    </cfRule>
  </conditionalFormatting>
  <conditionalFormatting sqref="H62:O62">
    <cfRule type="cellIs" dxfId="3194" priority="57" operator="lessThan">
      <formula>50</formula>
    </cfRule>
    <cfRule type="cellIs" dxfId="3193" priority="58" operator="lessThan">
      <formula>5</formula>
    </cfRule>
    <cfRule type="cellIs" dxfId="3192" priority="59" operator="lessThan">
      <formula>5</formula>
    </cfRule>
    <cfRule type="cellIs" dxfId="3191" priority="60" operator="lessThan">
      <formula>5</formula>
    </cfRule>
  </conditionalFormatting>
  <conditionalFormatting sqref="Q62">
    <cfRule type="cellIs" dxfId="3190" priority="56" operator="lessThan">
      <formula>50</formula>
    </cfRule>
  </conditionalFormatting>
  <conditionalFormatting sqref="H63:O63">
    <cfRule type="cellIs" dxfId="3189" priority="52" operator="lessThan">
      <formula>50</formula>
    </cfRule>
    <cfRule type="cellIs" dxfId="3188" priority="53" operator="lessThan">
      <formula>5</formula>
    </cfRule>
    <cfRule type="cellIs" dxfId="3187" priority="54" operator="lessThan">
      <formula>5</formula>
    </cfRule>
    <cfRule type="cellIs" dxfId="3186" priority="55" operator="lessThan">
      <formula>5</formula>
    </cfRule>
  </conditionalFormatting>
  <conditionalFormatting sqref="Q63">
    <cfRule type="cellIs" dxfId="3185" priority="51" operator="lessThan">
      <formula>50</formula>
    </cfRule>
  </conditionalFormatting>
  <conditionalFormatting sqref="H64:O64">
    <cfRule type="cellIs" dxfId="3184" priority="47" operator="lessThan">
      <formula>50</formula>
    </cfRule>
    <cfRule type="cellIs" dxfId="3183" priority="48" operator="lessThan">
      <formula>5</formula>
    </cfRule>
    <cfRule type="cellIs" dxfId="3182" priority="49" operator="lessThan">
      <formula>5</formula>
    </cfRule>
    <cfRule type="cellIs" dxfId="3181" priority="50" operator="lessThan">
      <formula>5</formula>
    </cfRule>
  </conditionalFormatting>
  <conditionalFormatting sqref="Q64">
    <cfRule type="cellIs" dxfId="3180" priority="46" operator="lessThan">
      <formula>50</formula>
    </cfRule>
  </conditionalFormatting>
  <conditionalFormatting sqref="H65:O65">
    <cfRule type="cellIs" dxfId="3179" priority="42" operator="lessThan">
      <formula>50</formula>
    </cfRule>
    <cfRule type="cellIs" dxfId="3178" priority="43" operator="lessThan">
      <formula>5</formula>
    </cfRule>
    <cfRule type="cellIs" dxfId="3177" priority="44" operator="lessThan">
      <formula>5</formula>
    </cfRule>
    <cfRule type="cellIs" dxfId="3176" priority="45" operator="lessThan">
      <formula>5</formula>
    </cfRule>
  </conditionalFormatting>
  <conditionalFormatting sqref="Q65">
    <cfRule type="cellIs" dxfId="3175" priority="41" operator="lessThan">
      <formula>50</formula>
    </cfRule>
  </conditionalFormatting>
  <conditionalFormatting sqref="H66:O66">
    <cfRule type="cellIs" dxfId="3174" priority="37" operator="lessThan">
      <formula>50</formula>
    </cfRule>
    <cfRule type="cellIs" dxfId="3173" priority="38" operator="lessThan">
      <formula>5</formula>
    </cfRule>
    <cfRule type="cellIs" dxfId="3172" priority="39" operator="lessThan">
      <formula>5</formula>
    </cfRule>
    <cfRule type="cellIs" dxfId="3171" priority="40" operator="lessThan">
      <formula>5</formula>
    </cfRule>
  </conditionalFormatting>
  <conditionalFormatting sqref="Q66">
    <cfRule type="cellIs" dxfId="3170" priority="36" operator="lessThan">
      <formula>50</formula>
    </cfRule>
  </conditionalFormatting>
  <conditionalFormatting sqref="H67:O67">
    <cfRule type="cellIs" dxfId="3169" priority="32" operator="lessThan">
      <formula>50</formula>
    </cfRule>
    <cfRule type="cellIs" dxfId="3168" priority="33" operator="lessThan">
      <formula>5</formula>
    </cfRule>
    <cfRule type="cellIs" dxfId="3167" priority="34" operator="lessThan">
      <formula>5</formula>
    </cfRule>
    <cfRule type="cellIs" dxfId="3166" priority="35" operator="lessThan">
      <formula>5</formula>
    </cfRule>
  </conditionalFormatting>
  <conditionalFormatting sqref="Q67">
    <cfRule type="cellIs" dxfId="3165" priority="31" operator="lessThan">
      <formula>50</formula>
    </cfRule>
  </conditionalFormatting>
  <conditionalFormatting sqref="H68:O68">
    <cfRule type="cellIs" dxfId="3164" priority="27" operator="lessThan">
      <formula>50</formula>
    </cfRule>
    <cfRule type="cellIs" dxfId="3163" priority="28" operator="lessThan">
      <formula>5</formula>
    </cfRule>
    <cfRule type="cellIs" dxfId="3162" priority="29" operator="lessThan">
      <formula>5</formula>
    </cfRule>
    <cfRule type="cellIs" dxfId="3161" priority="30" operator="lessThan">
      <formula>5</formula>
    </cfRule>
  </conditionalFormatting>
  <conditionalFormatting sqref="Q68">
    <cfRule type="cellIs" dxfId="3160" priority="26" operator="lessThan">
      <formula>50</formula>
    </cfRule>
  </conditionalFormatting>
  <conditionalFormatting sqref="H69:O69">
    <cfRule type="cellIs" dxfId="3159" priority="22" operator="lessThan">
      <formula>50</formula>
    </cfRule>
    <cfRule type="cellIs" dxfId="3158" priority="23" operator="lessThan">
      <formula>5</formula>
    </cfRule>
    <cfRule type="cellIs" dxfId="3157" priority="24" operator="lessThan">
      <formula>5</formula>
    </cfRule>
    <cfRule type="cellIs" dxfId="3156" priority="25" operator="lessThan">
      <formula>5</formula>
    </cfRule>
  </conditionalFormatting>
  <conditionalFormatting sqref="Q69">
    <cfRule type="cellIs" dxfId="3155" priority="21" operator="lessThan">
      <formula>50</formula>
    </cfRule>
  </conditionalFormatting>
  <conditionalFormatting sqref="H70:O70">
    <cfRule type="cellIs" dxfId="3154" priority="17" operator="lessThan">
      <formula>50</formula>
    </cfRule>
    <cfRule type="cellIs" dxfId="3153" priority="18" operator="lessThan">
      <formula>5</formula>
    </cfRule>
    <cfRule type="cellIs" dxfId="3152" priority="19" operator="lessThan">
      <formula>5</formula>
    </cfRule>
    <cfRule type="cellIs" dxfId="3151" priority="20" operator="lessThan">
      <formula>5</formula>
    </cfRule>
  </conditionalFormatting>
  <conditionalFormatting sqref="Q70">
    <cfRule type="cellIs" dxfId="3150" priority="16" operator="lessThan">
      <formula>50</formula>
    </cfRule>
  </conditionalFormatting>
  <conditionalFormatting sqref="H71:O71">
    <cfRule type="cellIs" dxfId="3149" priority="12" operator="lessThan">
      <formula>50</formula>
    </cfRule>
    <cfRule type="cellIs" dxfId="3148" priority="13" operator="lessThan">
      <formula>5</formula>
    </cfRule>
    <cfRule type="cellIs" dxfId="3147" priority="14" operator="lessThan">
      <formula>5</formula>
    </cfRule>
    <cfRule type="cellIs" dxfId="3146" priority="15" operator="lessThan">
      <formula>5</formula>
    </cfRule>
  </conditionalFormatting>
  <conditionalFormatting sqref="Q71">
    <cfRule type="cellIs" dxfId="3145" priority="11" operator="lessThan">
      <formula>50</formula>
    </cfRule>
  </conditionalFormatting>
  <conditionalFormatting sqref="H72:O72">
    <cfRule type="cellIs" dxfId="3144" priority="7" operator="lessThan">
      <formula>50</formula>
    </cfRule>
    <cfRule type="cellIs" dxfId="3143" priority="8" operator="lessThan">
      <formula>5</formula>
    </cfRule>
    <cfRule type="cellIs" dxfId="3142" priority="9" operator="lessThan">
      <formula>5</formula>
    </cfRule>
    <cfRule type="cellIs" dxfId="3141" priority="10" operator="lessThan">
      <formula>5</formula>
    </cfRule>
  </conditionalFormatting>
  <conditionalFormatting sqref="Q72">
    <cfRule type="cellIs" dxfId="3140" priority="6" operator="lessThan">
      <formula>50</formula>
    </cfRule>
  </conditionalFormatting>
  <conditionalFormatting sqref="H73:O73">
    <cfRule type="cellIs" dxfId="3139" priority="2" operator="lessThan">
      <formula>50</formula>
    </cfRule>
    <cfRule type="cellIs" dxfId="3138" priority="3" operator="lessThan">
      <formula>5</formula>
    </cfRule>
    <cfRule type="cellIs" dxfId="3137" priority="4" operator="lessThan">
      <formula>5</formula>
    </cfRule>
    <cfRule type="cellIs" dxfId="3136" priority="5" operator="lessThan">
      <formula>5</formula>
    </cfRule>
  </conditionalFormatting>
  <conditionalFormatting sqref="Q73">
    <cfRule type="cellIs" dxfId="3135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1:E11 D13:E20 D28:E28 D33:E33 D35:E38 D40:E41 D47:E51" xr:uid="{A3DA25FE-1695-4597-913A-5ADA6297D64E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BE6A-C339-46F8-AC3E-5EE3E2E9D641}">
  <sheetPr codeName="Sheet108"/>
  <dimension ref="A1:R72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5" width="4.7109375" customWidth="1"/>
    <col min="16" max="16" width="6.7109375" customWidth="1"/>
    <col min="17" max="17" width="4.7109375" style="44" customWidth="1"/>
    <col min="18" max="18" width="4.7109375" customWidth="1"/>
  </cols>
  <sheetData>
    <row r="1" spans="1:18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49"/>
      <c r="R1" s="16"/>
    </row>
    <row r="2" spans="1:18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0"/>
      <c r="R2" s="11"/>
    </row>
    <row r="3" spans="1:18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0"/>
      <c r="R3" s="11"/>
    </row>
    <row r="4" spans="1:18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51"/>
      <c r="R4" s="11"/>
    </row>
    <row r="5" spans="1:18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52"/>
      <c r="R5" s="12"/>
    </row>
    <row r="6" spans="1:18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16</v>
      </c>
      <c r="I6" s="39" t="s">
        <v>3</v>
      </c>
      <c r="J6" s="39" t="s">
        <v>17</v>
      </c>
      <c r="K6" s="39" t="s">
        <v>15</v>
      </c>
      <c r="L6" s="39" t="s">
        <v>18</v>
      </c>
      <c r="M6" s="39" t="s">
        <v>19</v>
      </c>
      <c r="N6" s="39" t="s">
        <v>20</v>
      </c>
      <c r="O6" s="39" t="s">
        <v>21</v>
      </c>
      <c r="P6" s="39" t="s">
        <v>5320</v>
      </c>
      <c r="Q6" s="53" t="s">
        <v>5321</v>
      </c>
      <c r="R6" s="39" t="s">
        <v>5324</v>
      </c>
    </row>
    <row r="7" spans="1:18" ht="18" customHeight="1" thickTop="1">
      <c r="A7" s="19">
        <v>1</v>
      </c>
      <c r="B7" s="2" t="s">
        <v>4156</v>
      </c>
      <c r="C7" s="1">
        <v>311260450</v>
      </c>
      <c r="D7" s="3" t="s">
        <v>4157</v>
      </c>
      <c r="E7" s="1" t="s">
        <v>80</v>
      </c>
      <c r="F7" s="10" t="s">
        <v>4006</v>
      </c>
      <c r="G7" s="2">
        <v>23</v>
      </c>
      <c r="H7" s="6">
        <v>92</v>
      </c>
      <c r="I7" s="6">
        <v>100</v>
      </c>
      <c r="J7" s="6">
        <v>88</v>
      </c>
      <c r="K7" s="6">
        <v>98</v>
      </c>
      <c r="L7" s="6">
        <v>48</v>
      </c>
      <c r="M7" s="6">
        <v>82</v>
      </c>
      <c r="N7" s="6">
        <v>80</v>
      </c>
      <c r="O7" s="6">
        <v>76</v>
      </c>
      <c r="P7" s="1">
        <f t="shared" ref="P7:P38" si="0">SUBTOTAL(9,H7:O7)</f>
        <v>664</v>
      </c>
      <c r="Q7" s="14">
        <f t="shared" ref="Q7:Q38" si="1">P7/8</f>
        <v>83</v>
      </c>
      <c r="R7" s="20">
        <f t="shared" ref="R7:R38" si="2">RANK(Q7,Q$7:Q$274,0)</f>
        <v>1</v>
      </c>
    </row>
    <row r="8" spans="1:18" ht="18" customHeight="1">
      <c r="A8" s="19">
        <v>2</v>
      </c>
      <c r="B8" s="2" t="s">
        <v>4096</v>
      </c>
      <c r="C8" s="1" t="s">
        <v>4097</v>
      </c>
      <c r="D8" s="3" t="s">
        <v>4098</v>
      </c>
      <c r="E8" s="1" t="s">
        <v>63</v>
      </c>
      <c r="F8" s="10" t="s">
        <v>4006</v>
      </c>
      <c r="G8" s="2">
        <v>22</v>
      </c>
      <c r="H8" s="6">
        <v>72</v>
      </c>
      <c r="I8" s="6">
        <v>100</v>
      </c>
      <c r="J8" s="6">
        <v>84</v>
      </c>
      <c r="K8" s="6">
        <v>84</v>
      </c>
      <c r="L8" s="6">
        <v>48</v>
      </c>
      <c r="M8" s="6">
        <v>100</v>
      </c>
      <c r="N8" s="6">
        <v>68</v>
      </c>
      <c r="O8" s="6">
        <v>92</v>
      </c>
      <c r="P8" s="1">
        <f t="shared" si="0"/>
        <v>648</v>
      </c>
      <c r="Q8" s="14">
        <f t="shared" si="1"/>
        <v>81</v>
      </c>
      <c r="R8" s="20">
        <f t="shared" si="2"/>
        <v>2</v>
      </c>
    </row>
    <row r="9" spans="1:18" ht="18" customHeight="1">
      <c r="A9" s="19">
        <v>3</v>
      </c>
      <c r="B9" s="2" t="s">
        <v>4036</v>
      </c>
      <c r="C9" s="1" t="s">
        <v>4037</v>
      </c>
      <c r="D9" s="3" t="s">
        <v>4038</v>
      </c>
      <c r="E9" s="1" t="s">
        <v>57</v>
      </c>
      <c r="F9" s="10" t="s">
        <v>4006</v>
      </c>
      <c r="G9" s="2">
        <v>21</v>
      </c>
      <c r="H9" s="6">
        <v>76</v>
      </c>
      <c r="I9" s="6">
        <v>100</v>
      </c>
      <c r="J9" s="6">
        <v>96</v>
      </c>
      <c r="K9" s="6">
        <v>88</v>
      </c>
      <c r="L9" s="6">
        <v>36</v>
      </c>
      <c r="M9" s="6">
        <v>96</v>
      </c>
      <c r="N9" s="6">
        <v>56</v>
      </c>
      <c r="O9" s="6">
        <v>80</v>
      </c>
      <c r="P9" s="1">
        <f t="shared" si="0"/>
        <v>628</v>
      </c>
      <c r="Q9" s="14">
        <f t="shared" si="1"/>
        <v>78.5</v>
      </c>
      <c r="R9" s="20">
        <f t="shared" si="2"/>
        <v>3</v>
      </c>
    </row>
    <row r="10" spans="1:18" ht="18" customHeight="1">
      <c r="A10" s="19">
        <v>4</v>
      </c>
      <c r="B10" s="2" t="s">
        <v>4086</v>
      </c>
      <c r="C10" s="1" t="s">
        <v>4087</v>
      </c>
      <c r="D10" s="3" t="s">
        <v>4088</v>
      </c>
      <c r="E10" s="1" t="s">
        <v>73</v>
      </c>
      <c r="F10" s="10" t="s">
        <v>4006</v>
      </c>
      <c r="G10" s="2">
        <v>22</v>
      </c>
      <c r="H10" s="6">
        <v>36</v>
      </c>
      <c r="I10" s="6">
        <v>100</v>
      </c>
      <c r="J10" s="6">
        <v>84</v>
      </c>
      <c r="K10" s="6">
        <v>68</v>
      </c>
      <c r="L10" s="6">
        <v>68</v>
      </c>
      <c r="M10" s="6">
        <v>68</v>
      </c>
      <c r="N10" s="6">
        <v>80</v>
      </c>
      <c r="O10" s="6">
        <v>88</v>
      </c>
      <c r="P10" s="1">
        <f t="shared" si="0"/>
        <v>592</v>
      </c>
      <c r="Q10" s="14">
        <f t="shared" si="1"/>
        <v>74</v>
      </c>
      <c r="R10" s="20">
        <f t="shared" si="2"/>
        <v>4</v>
      </c>
    </row>
    <row r="11" spans="1:18" ht="18" customHeight="1">
      <c r="A11" s="19">
        <v>5</v>
      </c>
      <c r="B11" s="2" t="s">
        <v>4042</v>
      </c>
      <c r="C11" s="1" t="s">
        <v>4043</v>
      </c>
      <c r="D11" s="3" t="s">
        <v>4044</v>
      </c>
      <c r="E11" s="1" t="s">
        <v>57</v>
      </c>
      <c r="F11" s="10" t="s">
        <v>4006</v>
      </c>
      <c r="G11" s="2">
        <v>21</v>
      </c>
      <c r="H11" s="6">
        <v>72</v>
      </c>
      <c r="I11" s="6">
        <v>100</v>
      </c>
      <c r="J11" s="6">
        <v>96</v>
      </c>
      <c r="K11" s="6">
        <v>72</v>
      </c>
      <c r="L11" s="6">
        <v>32</v>
      </c>
      <c r="M11" s="6">
        <v>60</v>
      </c>
      <c r="N11" s="6">
        <v>88</v>
      </c>
      <c r="O11" s="6">
        <v>56</v>
      </c>
      <c r="P11" s="1">
        <f t="shared" si="0"/>
        <v>576</v>
      </c>
      <c r="Q11" s="14">
        <f t="shared" si="1"/>
        <v>72</v>
      </c>
      <c r="R11" s="20">
        <f t="shared" si="2"/>
        <v>5</v>
      </c>
    </row>
    <row r="12" spans="1:18" ht="18" customHeight="1">
      <c r="A12" s="19">
        <v>6</v>
      </c>
      <c r="B12" s="2" t="s">
        <v>4077</v>
      </c>
      <c r="C12" s="1">
        <v>311220682</v>
      </c>
      <c r="D12" s="3" t="s">
        <v>4078</v>
      </c>
      <c r="E12" s="1" t="s">
        <v>73</v>
      </c>
      <c r="F12" s="10" t="s">
        <v>4006</v>
      </c>
      <c r="G12" s="2">
        <v>22</v>
      </c>
      <c r="H12" s="6">
        <v>84</v>
      </c>
      <c r="I12" s="6">
        <v>100</v>
      </c>
      <c r="J12" s="6">
        <v>80</v>
      </c>
      <c r="K12" s="6">
        <v>80</v>
      </c>
      <c r="L12" s="6">
        <v>36</v>
      </c>
      <c r="M12" s="6">
        <v>60</v>
      </c>
      <c r="N12" s="6">
        <v>80</v>
      </c>
      <c r="O12" s="6">
        <v>56</v>
      </c>
      <c r="P12" s="1">
        <f t="shared" si="0"/>
        <v>576</v>
      </c>
      <c r="Q12" s="14">
        <f t="shared" si="1"/>
        <v>72</v>
      </c>
      <c r="R12" s="20">
        <f t="shared" si="2"/>
        <v>5</v>
      </c>
    </row>
    <row r="13" spans="1:18" ht="18" customHeight="1">
      <c r="A13" s="19">
        <v>7</v>
      </c>
      <c r="B13" s="2" t="s">
        <v>4091</v>
      </c>
      <c r="C13" s="1" t="s">
        <v>4092</v>
      </c>
      <c r="D13" s="3" t="s">
        <v>4093</v>
      </c>
      <c r="E13" s="1" t="s">
        <v>77</v>
      </c>
      <c r="F13" s="10" t="s">
        <v>4006</v>
      </c>
      <c r="G13" s="2">
        <v>22</v>
      </c>
      <c r="H13" s="6">
        <v>48</v>
      </c>
      <c r="I13" s="6">
        <v>84</v>
      </c>
      <c r="J13" s="6">
        <v>76</v>
      </c>
      <c r="K13" s="6">
        <v>84</v>
      </c>
      <c r="L13" s="6">
        <v>56</v>
      </c>
      <c r="M13" s="6">
        <v>96</v>
      </c>
      <c r="N13" s="6">
        <v>56</v>
      </c>
      <c r="O13" s="6">
        <v>68</v>
      </c>
      <c r="P13" s="1">
        <f t="shared" si="0"/>
        <v>568</v>
      </c>
      <c r="Q13" s="14">
        <f t="shared" si="1"/>
        <v>71</v>
      </c>
      <c r="R13" s="20">
        <f t="shared" si="2"/>
        <v>7</v>
      </c>
    </row>
    <row r="14" spans="1:18" ht="18" customHeight="1">
      <c r="A14" s="19">
        <v>8</v>
      </c>
      <c r="B14" s="2" t="s">
        <v>4103</v>
      </c>
      <c r="C14" s="1" t="s">
        <v>4104</v>
      </c>
      <c r="D14" s="3" t="s">
        <v>4105</v>
      </c>
      <c r="E14" s="1" t="s">
        <v>90</v>
      </c>
      <c r="F14" s="10" t="s">
        <v>4006</v>
      </c>
      <c r="G14" s="2">
        <v>22</v>
      </c>
      <c r="H14" s="6">
        <v>60</v>
      </c>
      <c r="I14" s="6">
        <v>100</v>
      </c>
      <c r="J14" s="6">
        <v>96</v>
      </c>
      <c r="K14" s="6">
        <v>60</v>
      </c>
      <c r="L14" s="6">
        <v>60</v>
      </c>
      <c r="M14" s="6">
        <v>60</v>
      </c>
      <c r="N14" s="6">
        <v>76</v>
      </c>
      <c r="O14" s="6">
        <v>32</v>
      </c>
      <c r="P14" s="1">
        <f t="shared" si="0"/>
        <v>544</v>
      </c>
      <c r="Q14" s="14">
        <f t="shared" si="1"/>
        <v>68</v>
      </c>
      <c r="R14" s="20">
        <f t="shared" si="2"/>
        <v>8</v>
      </c>
    </row>
    <row r="15" spans="1:18" ht="18" customHeight="1">
      <c r="A15" s="19">
        <v>9</v>
      </c>
      <c r="B15" s="2" t="s">
        <v>4033</v>
      </c>
      <c r="C15" s="1" t="s">
        <v>4034</v>
      </c>
      <c r="D15" s="3" t="s">
        <v>4035</v>
      </c>
      <c r="E15" s="1" t="s">
        <v>57</v>
      </c>
      <c r="F15" s="10" t="s">
        <v>4006</v>
      </c>
      <c r="G15" s="2">
        <v>21</v>
      </c>
      <c r="H15" s="6">
        <v>64</v>
      </c>
      <c r="I15" s="6">
        <v>100</v>
      </c>
      <c r="J15" s="6">
        <v>80</v>
      </c>
      <c r="K15" s="6">
        <v>68</v>
      </c>
      <c r="L15" s="6">
        <v>48</v>
      </c>
      <c r="M15" s="6">
        <v>64</v>
      </c>
      <c r="N15" s="6">
        <v>40</v>
      </c>
      <c r="O15" s="6">
        <v>52</v>
      </c>
      <c r="P15" s="1">
        <f t="shared" si="0"/>
        <v>516</v>
      </c>
      <c r="Q15" s="14">
        <f t="shared" si="1"/>
        <v>64.5</v>
      </c>
      <c r="R15" s="20">
        <f t="shared" si="2"/>
        <v>9</v>
      </c>
    </row>
    <row r="16" spans="1:18" ht="18" customHeight="1">
      <c r="A16" s="19">
        <v>10</v>
      </c>
      <c r="B16" s="2" t="s">
        <v>4112</v>
      </c>
      <c r="C16" s="1">
        <v>311220609</v>
      </c>
      <c r="D16" s="3" t="s">
        <v>4113</v>
      </c>
      <c r="E16" s="1" t="s">
        <v>88</v>
      </c>
      <c r="F16" s="10" t="s">
        <v>4006</v>
      </c>
      <c r="G16" s="2">
        <v>22</v>
      </c>
      <c r="H16" s="6">
        <v>68</v>
      </c>
      <c r="I16" s="6">
        <v>100</v>
      </c>
      <c r="J16" s="6">
        <v>84</v>
      </c>
      <c r="K16" s="6">
        <v>60</v>
      </c>
      <c r="L16" s="6">
        <v>32</v>
      </c>
      <c r="M16" s="6">
        <v>60</v>
      </c>
      <c r="N16" s="6">
        <v>64</v>
      </c>
      <c r="O16" s="6">
        <v>36</v>
      </c>
      <c r="P16" s="1">
        <f t="shared" si="0"/>
        <v>504</v>
      </c>
      <c r="Q16" s="14">
        <f t="shared" si="1"/>
        <v>63</v>
      </c>
      <c r="R16" s="20">
        <f t="shared" si="2"/>
        <v>10</v>
      </c>
    </row>
    <row r="17" spans="1:18" ht="18" customHeight="1">
      <c r="A17" s="19">
        <v>11</v>
      </c>
      <c r="B17" s="2" t="s">
        <v>4128</v>
      </c>
      <c r="C17" s="1" t="s">
        <v>4129</v>
      </c>
      <c r="D17" s="3" t="s">
        <v>4130</v>
      </c>
      <c r="E17" s="1" t="s">
        <v>66</v>
      </c>
      <c r="F17" s="10" t="s">
        <v>4006</v>
      </c>
      <c r="G17" s="2">
        <v>23</v>
      </c>
      <c r="H17" s="6">
        <v>76</v>
      </c>
      <c r="I17" s="6">
        <v>100</v>
      </c>
      <c r="J17" s="6">
        <v>72</v>
      </c>
      <c r="K17" s="6"/>
      <c r="L17" s="6">
        <v>64</v>
      </c>
      <c r="M17" s="6">
        <v>80</v>
      </c>
      <c r="N17" s="6"/>
      <c r="O17" s="6">
        <v>80</v>
      </c>
      <c r="P17" s="1">
        <f t="shared" si="0"/>
        <v>472</v>
      </c>
      <c r="Q17" s="14">
        <f t="shared" si="1"/>
        <v>59</v>
      </c>
      <c r="R17" s="20">
        <f t="shared" si="2"/>
        <v>11</v>
      </c>
    </row>
    <row r="18" spans="1:18" ht="18" customHeight="1">
      <c r="A18" s="19">
        <v>12</v>
      </c>
      <c r="B18" s="2" t="s">
        <v>4148</v>
      </c>
      <c r="C18" s="1" t="s">
        <v>4149</v>
      </c>
      <c r="D18" s="3" t="s">
        <v>4150</v>
      </c>
      <c r="E18" s="1" t="s">
        <v>85</v>
      </c>
      <c r="F18" s="10" t="s">
        <v>4006</v>
      </c>
      <c r="G18" s="2">
        <v>23</v>
      </c>
      <c r="H18" s="6">
        <v>52</v>
      </c>
      <c r="I18" s="6">
        <v>100</v>
      </c>
      <c r="J18" s="6">
        <v>72</v>
      </c>
      <c r="K18" s="6">
        <v>64</v>
      </c>
      <c r="L18" s="6">
        <v>16</v>
      </c>
      <c r="M18" s="6">
        <v>68</v>
      </c>
      <c r="N18" s="6">
        <v>72</v>
      </c>
      <c r="O18" s="6">
        <v>28</v>
      </c>
      <c r="P18" s="1">
        <f t="shared" si="0"/>
        <v>472</v>
      </c>
      <c r="Q18" s="14">
        <f t="shared" si="1"/>
        <v>59</v>
      </c>
      <c r="R18" s="20">
        <f t="shared" si="2"/>
        <v>11</v>
      </c>
    </row>
    <row r="19" spans="1:18" ht="18" customHeight="1">
      <c r="A19" s="19">
        <v>13</v>
      </c>
      <c r="B19" s="2" t="s">
        <v>4011</v>
      </c>
      <c r="C19" s="1" t="s">
        <v>4012</v>
      </c>
      <c r="D19" s="3" t="s">
        <v>4013</v>
      </c>
      <c r="E19" s="1" t="s">
        <v>55</v>
      </c>
      <c r="F19" s="10" t="s">
        <v>4006</v>
      </c>
      <c r="G19" s="2">
        <v>20</v>
      </c>
      <c r="H19" s="6">
        <v>48</v>
      </c>
      <c r="I19" s="6">
        <v>100</v>
      </c>
      <c r="J19" s="6">
        <v>68</v>
      </c>
      <c r="K19" s="6">
        <v>52</v>
      </c>
      <c r="L19" s="6">
        <v>32</v>
      </c>
      <c r="M19" s="6">
        <v>64</v>
      </c>
      <c r="N19" s="6">
        <v>60</v>
      </c>
      <c r="O19" s="6">
        <v>40</v>
      </c>
      <c r="P19" s="1">
        <f t="shared" si="0"/>
        <v>464</v>
      </c>
      <c r="Q19" s="14">
        <f t="shared" si="1"/>
        <v>58</v>
      </c>
      <c r="R19" s="20">
        <f t="shared" si="2"/>
        <v>13</v>
      </c>
    </row>
    <row r="20" spans="1:18" ht="18" customHeight="1">
      <c r="A20" s="19">
        <v>14</v>
      </c>
      <c r="B20" s="2" t="s">
        <v>4084</v>
      </c>
      <c r="C20" s="1">
        <v>311220584</v>
      </c>
      <c r="D20" s="3" t="s">
        <v>4085</v>
      </c>
      <c r="E20" s="1" t="s">
        <v>73</v>
      </c>
      <c r="F20" s="10" t="s">
        <v>4006</v>
      </c>
      <c r="G20" s="2">
        <v>22</v>
      </c>
      <c r="H20" s="6">
        <v>52</v>
      </c>
      <c r="I20" s="6">
        <v>84</v>
      </c>
      <c r="J20" s="6">
        <v>80</v>
      </c>
      <c r="K20" s="6">
        <v>68</v>
      </c>
      <c r="L20" s="6">
        <v>28</v>
      </c>
      <c r="M20" s="6">
        <v>48</v>
      </c>
      <c r="N20" s="6">
        <v>52</v>
      </c>
      <c r="O20" s="6">
        <v>52</v>
      </c>
      <c r="P20" s="1">
        <f t="shared" si="0"/>
        <v>464</v>
      </c>
      <c r="Q20" s="14">
        <f t="shared" si="1"/>
        <v>58</v>
      </c>
      <c r="R20" s="20">
        <f t="shared" si="2"/>
        <v>13</v>
      </c>
    </row>
    <row r="21" spans="1:18" ht="18" customHeight="1">
      <c r="A21" s="19">
        <v>15</v>
      </c>
      <c r="B21" s="2" t="s">
        <v>4021</v>
      </c>
      <c r="C21" s="1" t="s">
        <v>4022</v>
      </c>
      <c r="D21" s="3" t="s">
        <v>4023</v>
      </c>
      <c r="E21" s="1" t="s">
        <v>79</v>
      </c>
      <c r="F21" s="10" t="s">
        <v>4006</v>
      </c>
      <c r="G21" s="2">
        <v>20</v>
      </c>
      <c r="H21" s="6">
        <v>64</v>
      </c>
      <c r="I21" s="6">
        <v>95</v>
      </c>
      <c r="J21" s="6">
        <v>84</v>
      </c>
      <c r="K21" s="6">
        <v>24</v>
      </c>
      <c r="L21" s="6">
        <v>44</v>
      </c>
      <c r="M21" s="6">
        <v>36</v>
      </c>
      <c r="N21" s="6">
        <v>76</v>
      </c>
      <c r="O21" s="6">
        <v>36</v>
      </c>
      <c r="P21" s="1">
        <f t="shared" si="0"/>
        <v>459</v>
      </c>
      <c r="Q21" s="14">
        <f t="shared" si="1"/>
        <v>57.375</v>
      </c>
      <c r="R21" s="20">
        <f t="shared" si="2"/>
        <v>15</v>
      </c>
    </row>
    <row r="22" spans="1:18" ht="18" customHeight="1">
      <c r="A22" s="19">
        <v>16</v>
      </c>
      <c r="B22" s="2" t="s">
        <v>4047</v>
      </c>
      <c r="C22" s="1">
        <v>311220671</v>
      </c>
      <c r="D22" s="3" t="s">
        <v>4048</v>
      </c>
      <c r="E22" s="1" t="s">
        <v>71</v>
      </c>
      <c r="F22" s="10" t="s">
        <v>4006</v>
      </c>
      <c r="G22" s="2">
        <v>21</v>
      </c>
      <c r="H22" s="6">
        <v>40</v>
      </c>
      <c r="I22" s="6">
        <v>95</v>
      </c>
      <c r="J22" s="6">
        <v>84</v>
      </c>
      <c r="K22" s="6">
        <v>60</v>
      </c>
      <c r="L22" s="6">
        <v>36</v>
      </c>
      <c r="M22" s="6">
        <v>60</v>
      </c>
      <c r="N22" s="6">
        <v>48</v>
      </c>
      <c r="O22" s="6">
        <v>36</v>
      </c>
      <c r="P22" s="1">
        <f t="shared" si="0"/>
        <v>459</v>
      </c>
      <c r="Q22" s="14">
        <f t="shared" si="1"/>
        <v>57.375</v>
      </c>
      <c r="R22" s="20">
        <f t="shared" si="2"/>
        <v>15</v>
      </c>
    </row>
    <row r="23" spans="1:18" ht="18" customHeight="1">
      <c r="A23" s="19">
        <v>17</v>
      </c>
      <c r="B23" s="2" t="s">
        <v>4066</v>
      </c>
      <c r="C23" s="1">
        <v>311220634</v>
      </c>
      <c r="D23" s="3" t="s">
        <v>4067</v>
      </c>
      <c r="E23" s="1" t="s">
        <v>62</v>
      </c>
      <c r="F23" s="10" t="s">
        <v>4006</v>
      </c>
      <c r="G23" s="2">
        <v>21</v>
      </c>
      <c r="H23" s="6">
        <v>68</v>
      </c>
      <c r="I23" s="6">
        <v>95</v>
      </c>
      <c r="J23" s="6">
        <v>88</v>
      </c>
      <c r="K23" s="6">
        <v>32</v>
      </c>
      <c r="L23" s="6">
        <v>28</v>
      </c>
      <c r="M23" s="6">
        <v>56</v>
      </c>
      <c r="N23" s="6">
        <v>64</v>
      </c>
      <c r="O23" s="6">
        <v>28</v>
      </c>
      <c r="P23" s="1">
        <f t="shared" si="0"/>
        <v>459</v>
      </c>
      <c r="Q23" s="14">
        <f t="shared" si="1"/>
        <v>57.375</v>
      </c>
      <c r="R23" s="20">
        <f t="shared" si="2"/>
        <v>15</v>
      </c>
    </row>
    <row r="24" spans="1:18" ht="18" customHeight="1">
      <c r="A24" s="19">
        <v>18</v>
      </c>
      <c r="B24" s="2" t="s">
        <v>4154</v>
      </c>
      <c r="C24" s="1">
        <v>311260449</v>
      </c>
      <c r="D24" s="3" t="s">
        <v>4155</v>
      </c>
      <c r="E24" s="1" t="s">
        <v>62</v>
      </c>
      <c r="F24" s="10" t="s">
        <v>4006</v>
      </c>
      <c r="G24" s="2">
        <v>23</v>
      </c>
      <c r="H24" s="6">
        <v>64</v>
      </c>
      <c r="I24" s="6">
        <v>89</v>
      </c>
      <c r="J24" s="6">
        <v>80</v>
      </c>
      <c r="K24" s="6">
        <v>48</v>
      </c>
      <c r="L24" s="6">
        <v>52</v>
      </c>
      <c r="M24" s="6">
        <v>52</v>
      </c>
      <c r="N24" s="6">
        <v>60</v>
      </c>
      <c r="O24" s="6">
        <v>8</v>
      </c>
      <c r="P24" s="1">
        <f t="shared" si="0"/>
        <v>453</v>
      </c>
      <c r="Q24" s="14">
        <f t="shared" si="1"/>
        <v>56.625</v>
      </c>
      <c r="R24" s="20">
        <f t="shared" si="2"/>
        <v>18</v>
      </c>
    </row>
    <row r="25" spans="1:18" ht="18" customHeight="1">
      <c r="A25" s="19">
        <v>19</v>
      </c>
      <c r="B25" s="2" t="s">
        <v>4089</v>
      </c>
      <c r="C25" s="1">
        <v>311220681</v>
      </c>
      <c r="D25" s="3" t="s">
        <v>4090</v>
      </c>
      <c r="E25" s="1" t="s">
        <v>73</v>
      </c>
      <c r="F25" s="10" t="s">
        <v>4006</v>
      </c>
      <c r="G25" s="2">
        <v>22</v>
      </c>
      <c r="H25" s="6">
        <v>48</v>
      </c>
      <c r="I25" s="6">
        <v>74</v>
      </c>
      <c r="J25" s="6">
        <v>84</v>
      </c>
      <c r="K25" s="6">
        <v>60</v>
      </c>
      <c r="L25" s="6">
        <v>12</v>
      </c>
      <c r="M25" s="6">
        <v>68</v>
      </c>
      <c r="N25" s="6">
        <v>40</v>
      </c>
      <c r="O25" s="6">
        <v>60</v>
      </c>
      <c r="P25" s="1">
        <f t="shared" si="0"/>
        <v>446</v>
      </c>
      <c r="Q25" s="14">
        <f t="shared" si="1"/>
        <v>55.75</v>
      </c>
      <c r="R25" s="20">
        <f t="shared" si="2"/>
        <v>19</v>
      </c>
    </row>
    <row r="26" spans="1:18" ht="18" customHeight="1">
      <c r="A26" s="19">
        <v>20</v>
      </c>
      <c r="B26" s="2" t="s">
        <v>4116</v>
      </c>
      <c r="C26" s="1">
        <v>311220586</v>
      </c>
      <c r="D26" s="3" t="s">
        <v>4117</v>
      </c>
      <c r="E26" s="1" t="s">
        <v>88</v>
      </c>
      <c r="F26" s="10" t="s">
        <v>4006</v>
      </c>
      <c r="G26" s="2">
        <v>22</v>
      </c>
      <c r="H26" s="6">
        <v>56</v>
      </c>
      <c r="I26" s="6">
        <v>89</v>
      </c>
      <c r="J26" s="6">
        <v>64</v>
      </c>
      <c r="K26" s="6">
        <v>52</v>
      </c>
      <c r="L26" s="6">
        <v>52</v>
      </c>
      <c r="M26" s="6">
        <v>48</v>
      </c>
      <c r="N26" s="6">
        <v>48</v>
      </c>
      <c r="O26" s="6">
        <v>36</v>
      </c>
      <c r="P26" s="1">
        <f t="shared" si="0"/>
        <v>445</v>
      </c>
      <c r="Q26" s="14">
        <f t="shared" si="1"/>
        <v>55.625</v>
      </c>
      <c r="R26" s="20">
        <f t="shared" si="2"/>
        <v>20</v>
      </c>
    </row>
    <row r="27" spans="1:18" ht="18" customHeight="1">
      <c r="A27" s="19">
        <v>21</v>
      </c>
      <c r="B27" s="2" t="s">
        <v>4039</v>
      </c>
      <c r="C27" s="1" t="s">
        <v>4040</v>
      </c>
      <c r="D27" s="3" t="s">
        <v>4041</v>
      </c>
      <c r="E27" s="1" t="s">
        <v>57</v>
      </c>
      <c r="F27" s="10" t="s">
        <v>4006</v>
      </c>
      <c r="G27" s="2">
        <v>21</v>
      </c>
      <c r="H27" s="6">
        <v>52</v>
      </c>
      <c r="I27" s="6">
        <v>100</v>
      </c>
      <c r="J27" s="6">
        <v>76</v>
      </c>
      <c r="K27" s="6">
        <v>60</v>
      </c>
      <c r="L27" s="6">
        <v>24</v>
      </c>
      <c r="M27" s="6">
        <v>56</v>
      </c>
      <c r="N27" s="6">
        <v>40</v>
      </c>
      <c r="O27" s="6">
        <v>36</v>
      </c>
      <c r="P27" s="1">
        <f t="shared" si="0"/>
        <v>444</v>
      </c>
      <c r="Q27" s="14">
        <f t="shared" si="1"/>
        <v>55.5</v>
      </c>
      <c r="R27" s="20">
        <f t="shared" si="2"/>
        <v>21</v>
      </c>
    </row>
    <row r="28" spans="1:18" ht="18" customHeight="1">
      <c r="A28" s="19">
        <v>22</v>
      </c>
      <c r="B28" s="2" t="s">
        <v>4079</v>
      </c>
      <c r="C28" s="1" t="s">
        <v>4080</v>
      </c>
      <c r="D28" s="3" t="s">
        <v>4081</v>
      </c>
      <c r="E28" s="1" t="s">
        <v>73</v>
      </c>
      <c r="F28" s="10" t="s">
        <v>4006</v>
      </c>
      <c r="G28" s="2">
        <v>22</v>
      </c>
      <c r="H28" s="6">
        <v>48</v>
      </c>
      <c r="I28" s="6">
        <v>100</v>
      </c>
      <c r="J28" s="6">
        <v>84</v>
      </c>
      <c r="K28" s="6">
        <v>60</v>
      </c>
      <c r="L28" s="6">
        <v>32</v>
      </c>
      <c r="M28" s="6">
        <v>32</v>
      </c>
      <c r="N28" s="6">
        <v>40</v>
      </c>
      <c r="O28" s="6">
        <v>40</v>
      </c>
      <c r="P28" s="1">
        <f t="shared" si="0"/>
        <v>436</v>
      </c>
      <c r="Q28" s="14">
        <f t="shared" si="1"/>
        <v>54.5</v>
      </c>
      <c r="R28" s="20">
        <f t="shared" si="2"/>
        <v>22</v>
      </c>
    </row>
    <row r="29" spans="1:18" ht="18" customHeight="1">
      <c r="A29" s="19">
        <v>23</v>
      </c>
      <c r="B29" s="2" t="s">
        <v>4140</v>
      </c>
      <c r="C29" s="1">
        <v>311220593</v>
      </c>
      <c r="D29" s="3" t="s">
        <v>4141</v>
      </c>
      <c r="E29" s="1" t="s">
        <v>353</v>
      </c>
      <c r="F29" s="10" t="s">
        <v>4006</v>
      </c>
      <c r="G29" s="2">
        <v>23</v>
      </c>
      <c r="H29" s="6">
        <v>48</v>
      </c>
      <c r="I29" s="6">
        <v>95</v>
      </c>
      <c r="J29" s="6">
        <v>72</v>
      </c>
      <c r="K29" s="6">
        <v>60</v>
      </c>
      <c r="L29" s="6">
        <v>8</v>
      </c>
      <c r="M29" s="6">
        <v>64</v>
      </c>
      <c r="N29" s="6">
        <v>64</v>
      </c>
      <c r="O29" s="6">
        <v>20</v>
      </c>
      <c r="P29" s="1">
        <f t="shared" si="0"/>
        <v>431</v>
      </c>
      <c r="Q29" s="14">
        <f t="shared" si="1"/>
        <v>53.875</v>
      </c>
      <c r="R29" s="20">
        <f t="shared" si="2"/>
        <v>23</v>
      </c>
    </row>
    <row r="30" spans="1:18" ht="18" customHeight="1">
      <c r="A30" s="19">
        <v>24</v>
      </c>
      <c r="B30" s="2" t="s">
        <v>4099</v>
      </c>
      <c r="C30" s="1">
        <v>311230103</v>
      </c>
      <c r="D30" s="3" t="s">
        <v>4100</v>
      </c>
      <c r="E30" s="1" t="s">
        <v>78</v>
      </c>
      <c r="F30" s="10" t="s">
        <v>4006</v>
      </c>
      <c r="G30" s="2">
        <v>22</v>
      </c>
      <c r="H30" s="6">
        <v>48</v>
      </c>
      <c r="I30" s="6">
        <v>84</v>
      </c>
      <c r="J30" s="6">
        <v>72</v>
      </c>
      <c r="K30" s="6">
        <v>36</v>
      </c>
      <c r="L30" s="6">
        <v>32</v>
      </c>
      <c r="M30" s="6">
        <v>60</v>
      </c>
      <c r="N30" s="6">
        <v>64</v>
      </c>
      <c r="O30" s="6">
        <v>32</v>
      </c>
      <c r="P30" s="1">
        <f t="shared" si="0"/>
        <v>428</v>
      </c>
      <c r="Q30" s="14">
        <f t="shared" si="1"/>
        <v>53.5</v>
      </c>
      <c r="R30" s="20">
        <f t="shared" si="2"/>
        <v>24</v>
      </c>
    </row>
    <row r="31" spans="1:18" ht="18" customHeight="1">
      <c r="A31" s="19">
        <v>25</v>
      </c>
      <c r="B31" s="2" t="s">
        <v>4029</v>
      </c>
      <c r="C31" s="1">
        <v>311220788</v>
      </c>
      <c r="D31" s="3" t="s">
        <v>4030</v>
      </c>
      <c r="E31" s="1" t="s">
        <v>57</v>
      </c>
      <c r="F31" s="10" t="s">
        <v>4006</v>
      </c>
      <c r="G31" s="2">
        <v>20</v>
      </c>
      <c r="H31" s="6">
        <v>48</v>
      </c>
      <c r="I31" s="6">
        <v>100</v>
      </c>
      <c r="J31" s="6">
        <v>86</v>
      </c>
      <c r="K31" s="6">
        <v>24</v>
      </c>
      <c r="L31" s="6">
        <v>24</v>
      </c>
      <c r="M31" s="6">
        <v>48</v>
      </c>
      <c r="N31" s="6">
        <v>48</v>
      </c>
      <c r="O31" s="6">
        <v>18</v>
      </c>
      <c r="P31" s="1">
        <f t="shared" si="0"/>
        <v>396</v>
      </c>
      <c r="Q31" s="14">
        <f t="shared" si="1"/>
        <v>49.5</v>
      </c>
      <c r="R31" s="20">
        <f t="shared" si="2"/>
        <v>25</v>
      </c>
    </row>
    <row r="32" spans="1:18" ht="18" customHeight="1">
      <c r="A32" s="19">
        <v>26</v>
      </c>
      <c r="B32" s="2" t="s">
        <v>4131</v>
      </c>
      <c r="C32" s="1" t="s">
        <v>4132</v>
      </c>
      <c r="D32" s="3" t="s">
        <v>4133</v>
      </c>
      <c r="E32" s="1" t="s">
        <v>67</v>
      </c>
      <c r="F32" s="10" t="s">
        <v>4006</v>
      </c>
      <c r="G32" s="2">
        <v>23</v>
      </c>
      <c r="H32" s="6">
        <v>28</v>
      </c>
      <c r="I32" s="6">
        <v>95</v>
      </c>
      <c r="J32" s="6">
        <v>44</v>
      </c>
      <c r="K32" s="6">
        <v>84</v>
      </c>
      <c r="L32" s="6">
        <v>36</v>
      </c>
      <c r="M32" s="6">
        <v>24</v>
      </c>
      <c r="N32" s="6">
        <v>72</v>
      </c>
      <c r="O32" s="6">
        <v>4</v>
      </c>
      <c r="P32" s="1">
        <f t="shared" si="0"/>
        <v>387</v>
      </c>
      <c r="Q32" s="14">
        <f t="shared" si="1"/>
        <v>48.375</v>
      </c>
      <c r="R32" s="20">
        <f t="shared" si="2"/>
        <v>26</v>
      </c>
    </row>
    <row r="33" spans="1:18" ht="18" customHeight="1">
      <c r="A33" s="19">
        <v>27</v>
      </c>
      <c r="B33" s="2" t="s">
        <v>4137</v>
      </c>
      <c r="C33" s="1" t="s">
        <v>4138</v>
      </c>
      <c r="D33" s="3" t="s">
        <v>4139</v>
      </c>
      <c r="E33" s="1" t="s">
        <v>67</v>
      </c>
      <c r="F33" s="10" t="s">
        <v>4006</v>
      </c>
      <c r="G33" s="2">
        <v>23</v>
      </c>
      <c r="H33" s="6">
        <v>48</v>
      </c>
      <c r="I33" s="6">
        <v>62</v>
      </c>
      <c r="J33" s="6">
        <v>80</v>
      </c>
      <c r="K33" s="6">
        <v>32</v>
      </c>
      <c r="L33" s="6">
        <v>16</v>
      </c>
      <c r="M33" s="6">
        <v>60</v>
      </c>
      <c r="N33" s="6">
        <v>72</v>
      </c>
      <c r="O33" s="6">
        <v>16</v>
      </c>
      <c r="P33" s="1">
        <f t="shared" si="0"/>
        <v>386</v>
      </c>
      <c r="Q33" s="14">
        <f t="shared" si="1"/>
        <v>48.25</v>
      </c>
      <c r="R33" s="20">
        <f t="shared" si="2"/>
        <v>27</v>
      </c>
    </row>
    <row r="34" spans="1:18" ht="18" customHeight="1">
      <c r="A34" s="19">
        <v>28</v>
      </c>
      <c r="B34" s="2" t="s">
        <v>4109</v>
      </c>
      <c r="C34" s="1" t="s">
        <v>4110</v>
      </c>
      <c r="D34" s="3" t="s">
        <v>4111</v>
      </c>
      <c r="E34" s="1" t="s">
        <v>90</v>
      </c>
      <c r="F34" s="10" t="s">
        <v>4006</v>
      </c>
      <c r="G34" s="2">
        <v>22</v>
      </c>
      <c r="H34" s="6">
        <v>56</v>
      </c>
      <c r="I34" s="6">
        <v>89</v>
      </c>
      <c r="J34" s="6">
        <v>76</v>
      </c>
      <c r="K34" s="6">
        <v>40</v>
      </c>
      <c r="L34" s="6">
        <v>16</v>
      </c>
      <c r="M34" s="6">
        <v>44</v>
      </c>
      <c r="N34" s="6">
        <v>52</v>
      </c>
      <c r="O34" s="6">
        <v>12</v>
      </c>
      <c r="P34" s="1">
        <f t="shared" si="0"/>
        <v>385</v>
      </c>
      <c r="Q34" s="14">
        <f t="shared" si="1"/>
        <v>48.125</v>
      </c>
      <c r="R34" s="20">
        <f t="shared" si="2"/>
        <v>28</v>
      </c>
    </row>
    <row r="35" spans="1:18" ht="18" customHeight="1">
      <c r="A35" s="19">
        <v>29</v>
      </c>
      <c r="B35" s="2" t="s">
        <v>4056</v>
      </c>
      <c r="C35" s="1" t="s">
        <v>4057</v>
      </c>
      <c r="D35" s="3" t="s">
        <v>4058</v>
      </c>
      <c r="E35" s="1" t="s">
        <v>59</v>
      </c>
      <c r="F35" s="10" t="s">
        <v>4006</v>
      </c>
      <c r="G35" s="2">
        <v>21</v>
      </c>
      <c r="H35" s="6">
        <v>40</v>
      </c>
      <c r="I35" s="6">
        <v>100</v>
      </c>
      <c r="J35" s="6">
        <v>76</v>
      </c>
      <c r="K35" s="6">
        <v>24</v>
      </c>
      <c r="L35" s="6">
        <v>36</v>
      </c>
      <c r="M35" s="6">
        <v>44</v>
      </c>
      <c r="N35" s="6">
        <v>28</v>
      </c>
      <c r="O35" s="6">
        <v>36</v>
      </c>
      <c r="P35" s="1">
        <f t="shared" si="0"/>
        <v>384</v>
      </c>
      <c r="Q35" s="14">
        <f t="shared" si="1"/>
        <v>48</v>
      </c>
      <c r="R35" s="20">
        <f t="shared" si="2"/>
        <v>29</v>
      </c>
    </row>
    <row r="36" spans="1:18" ht="18" customHeight="1">
      <c r="A36" s="19">
        <v>30</v>
      </c>
      <c r="B36" s="2" t="s">
        <v>4075</v>
      </c>
      <c r="C36" s="1">
        <v>311220731</v>
      </c>
      <c r="D36" s="3" t="s">
        <v>4076</v>
      </c>
      <c r="E36" s="1" t="s">
        <v>80</v>
      </c>
      <c r="F36" s="10" t="s">
        <v>4006</v>
      </c>
      <c r="G36" s="2">
        <v>21</v>
      </c>
      <c r="H36" s="6">
        <v>56</v>
      </c>
      <c r="I36" s="6">
        <v>74</v>
      </c>
      <c r="J36" s="6">
        <v>62</v>
      </c>
      <c r="K36" s="6">
        <v>48</v>
      </c>
      <c r="L36" s="6">
        <v>32</v>
      </c>
      <c r="M36" s="6">
        <v>48</v>
      </c>
      <c r="N36" s="6">
        <v>36</v>
      </c>
      <c r="O36" s="6">
        <v>28</v>
      </c>
      <c r="P36" s="1">
        <f t="shared" si="0"/>
        <v>384</v>
      </c>
      <c r="Q36" s="14">
        <f t="shared" si="1"/>
        <v>48</v>
      </c>
      <c r="R36" s="20">
        <f t="shared" si="2"/>
        <v>29</v>
      </c>
    </row>
    <row r="37" spans="1:18" ht="18" customHeight="1">
      <c r="A37" s="19">
        <v>31</v>
      </c>
      <c r="B37" s="2" t="s">
        <v>4142</v>
      </c>
      <c r="C37" s="1">
        <v>311220662</v>
      </c>
      <c r="D37" s="3" t="s">
        <v>4143</v>
      </c>
      <c r="E37" s="1" t="s">
        <v>353</v>
      </c>
      <c r="F37" s="10" t="s">
        <v>4006</v>
      </c>
      <c r="G37" s="2">
        <v>23</v>
      </c>
      <c r="H37" s="6">
        <v>33</v>
      </c>
      <c r="I37" s="6">
        <v>100</v>
      </c>
      <c r="J37" s="6">
        <v>68</v>
      </c>
      <c r="K37" s="6">
        <v>32</v>
      </c>
      <c r="L37" s="6">
        <v>20</v>
      </c>
      <c r="M37" s="6">
        <v>56</v>
      </c>
      <c r="N37" s="6">
        <v>56</v>
      </c>
      <c r="O37" s="6">
        <v>12</v>
      </c>
      <c r="P37" s="1">
        <f t="shared" si="0"/>
        <v>377</v>
      </c>
      <c r="Q37" s="14">
        <f t="shared" si="1"/>
        <v>47.125</v>
      </c>
      <c r="R37" s="20">
        <f t="shared" si="2"/>
        <v>31</v>
      </c>
    </row>
    <row r="38" spans="1:18" ht="18" customHeight="1">
      <c r="A38" s="19">
        <v>32</v>
      </c>
      <c r="B38" s="2" t="s">
        <v>4094</v>
      </c>
      <c r="C38" s="1">
        <v>311220700</v>
      </c>
      <c r="D38" s="3" t="s">
        <v>4095</v>
      </c>
      <c r="E38" s="1" t="s">
        <v>84</v>
      </c>
      <c r="F38" s="10" t="s">
        <v>4006</v>
      </c>
      <c r="G38" s="2">
        <v>22</v>
      </c>
      <c r="H38" s="6">
        <v>36</v>
      </c>
      <c r="I38" s="6">
        <v>100</v>
      </c>
      <c r="J38" s="6">
        <v>48</v>
      </c>
      <c r="K38" s="6">
        <v>44</v>
      </c>
      <c r="L38" s="6">
        <v>44</v>
      </c>
      <c r="M38" s="6">
        <v>40</v>
      </c>
      <c r="N38" s="6">
        <v>28</v>
      </c>
      <c r="O38" s="6">
        <v>32</v>
      </c>
      <c r="P38" s="1">
        <f t="shared" si="0"/>
        <v>372</v>
      </c>
      <c r="Q38" s="14">
        <f t="shared" si="1"/>
        <v>46.5</v>
      </c>
      <c r="R38" s="20">
        <f t="shared" si="2"/>
        <v>32</v>
      </c>
    </row>
    <row r="39" spans="1:18" ht="18" customHeight="1">
      <c r="A39" s="19">
        <v>33</v>
      </c>
      <c r="B39" s="2" t="s">
        <v>4158</v>
      </c>
      <c r="C39" s="1">
        <v>311260451</v>
      </c>
      <c r="D39" s="3" t="s">
        <v>4159</v>
      </c>
      <c r="E39" s="1" t="s">
        <v>78</v>
      </c>
      <c r="F39" s="10" t="s">
        <v>4006</v>
      </c>
      <c r="G39" s="2">
        <v>23</v>
      </c>
      <c r="H39" s="6">
        <v>56</v>
      </c>
      <c r="I39" s="6">
        <v>84</v>
      </c>
      <c r="J39" s="6">
        <v>68</v>
      </c>
      <c r="K39" s="6">
        <v>4</v>
      </c>
      <c r="L39" s="6">
        <v>40</v>
      </c>
      <c r="M39" s="6">
        <v>48</v>
      </c>
      <c r="N39" s="6">
        <v>56</v>
      </c>
      <c r="O39" s="6">
        <v>8</v>
      </c>
      <c r="P39" s="1">
        <f t="shared" ref="P39:P70" si="3">SUBTOTAL(9,H39:O39)</f>
        <v>364</v>
      </c>
      <c r="Q39" s="14">
        <f t="shared" ref="Q39:Q70" si="4">P39/8</f>
        <v>45.5</v>
      </c>
      <c r="R39" s="20">
        <f t="shared" ref="R39:R70" si="5">RANK(Q39,Q$7:Q$274,0)</f>
        <v>33</v>
      </c>
    </row>
    <row r="40" spans="1:18" ht="18" customHeight="1">
      <c r="A40" s="19">
        <v>34</v>
      </c>
      <c r="B40" s="2" t="s">
        <v>4082</v>
      </c>
      <c r="C40" s="1">
        <v>4232720</v>
      </c>
      <c r="D40" s="3" t="s">
        <v>4083</v>
      </c>
      <c r="E40" s="1" t="s">
        <v>73</v>
      </c>
      <c r="F40" s="10" t="s">
        <v>4006</v>
      </c>
      <c r="G40" s="2">
        <v>22</v>
      </c>
      <c r="H40" s="6">
        <v>0</v>
      </c>
      <c r="I40" s="6">
        <v>84</v>
      </c>
      <c r="J40" s="6">
        <v>68</v>
      </c>
      <c r="K40" s="6">
        <v>48</v>
      </c>
      <c r="L40" s="6">
        <v>40</v>
      </c>
      <c r="M40" s="6">
        <v>44</v>
      </c>
      <c r="N40" s="6">
        <v>48</v>
      </c>
      <c r="O40" s="6">
        <v>28</v>
      </c>
      <c r="P40" s="1">
        <f t="shared" si="3"/>
        <v>360</v>
      </c>
      <c r="Q40" s="14">
        <f t="shared" si="4"/>
        <v>45</v>
      </c>
      <c r="R40" s="20">
        <f t="shared" si="5"/>
        <v>34</v>
      </c>
    </row>
    <row r="41" spans="1:18" ht="18" customHeight="1">
      <c r="A41" s="19">
        <v>35</v>
      </c>
      <c r="B41" s="2" t="s">
        <v>4151</v>
      </c>
      <c r="C41" s="1" t="s">
        <v>4152</v>
      </c>
      <c r="D41" s="3" t="s">
        <v>4153</v>
      </c>
      <c r="E41" s="1" t="s">
        <v>85</v>
      </c>
      <c r="F41" s="10" t="s">
        <v>4006</v>
      </c>
      <c r="G41" s="2">
        <v>23</v>
      </c>
      <c r="H41" s="6">
        <v>36</v>
      </c>
      <c r="I41" s="6">
        <v>100</v>
      </c>
      <c r="J41" s="6">
        <v>56</v>
      </c>
      <c r="K41" s="6">
        <v>24</v>
      </c>
      <c r="L41" s="6">
        <v>44</v>
      </c>
      <c r="M41" s="6">
        <v>40</v>
      </c>
      <c r="N41" s="6">
        <v>24</v>
      </c>
      <c r="O41" s="6">
        <v>36</v>
      </c>
      <c r="P41" s="1">
        <f t="shared" si="3"/>
        <v>360</v>
      </c>
      <c r="Q41" s="14">
        <f t="shared" si="4"/>
        <v>45</v>
      </c>
      <c r="R41" s="20">
        <f t="shared" si="5"/>
        <v>34</v>
      </c>
    </row>
    <row r="42" spans="1:18" ht="18" customHeight="1">
      <c r="A42" s="19">
        <v>36</v>
      </c>
      <c r="B42" s="2" t="s">
        <v>4049</v>
      </c>
      <c r="C42" s="1" t="s">
        <v>4050</v>
      </c>
      <c r="D42" s="3" t="s">
        <v>4051</v>
      </c>
      <c r="E42" s="1" t="s">
        <v>71</v>
      </c>
      <c r="F42" s="10" t="s">
        <v>4006</v>
      </c>
      <c r="G42" s="2">
        <v>21</v>
      </c>
      <c r="H42" s="6">
        <v>36</v>
      </c>
      <c r="I42" s="6">
        <v>95</v>
      </c>
      <c r="J42" s="6">
        <v>68</v>
      </c>
      <c r="K42" s="6">
        <v>32</v>
      </c>
      <c r="L42" s="6">
        <v>20</v>
      </c>
      <c r="M42" s="6">
        <v>20</v>
      </c>
      <c r="N42" s="6">
        <v>52</v>
      </c>
      <c r="O42" s="6">
        <v>36</v>
      </c>
      <c r="P42" s="1">
        <f t="shared" si="3"/>
        <v>359</v>
      </c>
      <c r="Q42" s="14">
        <f t="shared" si="4"/>
        <v>44.875</v>
      </c>
      <c r="R42" s="20">
        <f t="shared" si="5"/>
        <v>36</v>
      </c>
    </row>
    <row r="43" spans="1:18" ht="18" customHeight="1">
      <c r="A43" s="19">
        <v>37</v>
      </c>
      <c r="B43" s="2" t="s">
        <v>4114</v>
      </c>
      <c r="C43" s="1">
        <v>4232661</v>
      </c>
      <c r="D43" s="3" t="s">
        <v>4115</v>
      </c>
      <c r="E43" s="1" t="s">
        <v>88</v>
      </c>
      <c r="F43" s="10" t="s">
        <v>4006</v>
      </c>
      <c r="G43" s="2">
        <v>22</v>
      </c>
      <c r="H43" s="6">
        <v>40</v>
      </c>
      <c r="I43" s="6">
        <v>95</v>
      </c>
      <c r="J43" s="6">
        <v>42</v>
      </c>
      <c r="K43" s="6">
        <v>48</v>
      </c>
      <c r="L43" s="6">
        <v>12</v>
      </c>
      <c r="M43" s="6">
        <v>52</v>
      </c>
      <c r="N43" s="6">
        <v>36</v>
      </c>
      <c r="O43" s="6">
        <v>32</v>
      </c>
      <c r="P43" s="1">
        <f t="shared" si="3"/>
        <v>357</v>
      </c>
      <c r="Q43" s="14">
        <f t="shared" si="4"/>
        <v>44.625</v>
      </c>
      <c r="R43" s="20">
        <f t="shared" si="5"/>
        <v>37</v>
      </c>
    </row>
    <row r="44" spans="1:18" ht="18" customHeight="1">
      <c r="A44" s="19">
        <v>38</v>
      </c>
      <c r="B44" s="2" t="s">
        <v>4062</v>
      </c>
      <c r="C44" s="1">
        <v>311220948</v>
      </c>
      <c r="D44" s="3" t="s">
        <v>4063</v>
      </c>
      <c r="E44" s="1" t="s">
        <v>60</v>
      </c>
      <c r="F44" s="10" t="s">
        <v>4006</v>
      </c>
      <c r="G44" s="2">
        <v>21</v>
      </c>
      <c r="H44" s="6">
        <v>28</v>
      </c>
      <c r="I44" s="6">
        <v>100</v>
      </c>
      <c r="J44" s="6">
        <v>68</v>
      </c>
      <c r="K44" s="6">
        <v>32</v>
      </c>
      <c r="L44" s="6">
        <v>20</v>
      </c>
      <c r="M44" s="6">
        <v>28</v>
      </c>
      <c r="N44" s="6">
        <v>56</v>
      </c>
      <c r="O44" s="6">
        <v>24</v>
      </c>
      <c r="P44" s="1">
        <f t="shared" si="3"/>
        <v>356</v>
      </c>
      <c r="Q44" s="14">
        <f t="shared" si="4"/>
        <v>44.5</v>
      </c>
      <c r="R44" s="20">
        <f t="shared" si="5"/>
        <v>38</v>
      </c>
    </row>
    <row r="45" spans="1:18" ht="18" customHeight="1">
      <c r="A45" s="19">
        <v>39</v>
      </c>
      <c r="B45" s="2" t="s">
        <v>4120</v>
      </c>
      <c r="C45" s="1">
        <v>311220608</v>
      </c>
      <c r="D45" s="3" t="s">
        <v>4121</v>
      </c>
      <c r="E45" s="1" t="s">
        <v>88</v>
      </c>
      <c r="F45" s="10" t="s">
        <v>4006</v>
      </c>
      <c r="G45" s="2">
        <v>23</v>
      </c>
      <c r="H45" s="6">
        <v>44</v>
      </c>
      <c r="I45" s="6">
        <v>63</v>
      </c>
      <c r="J45" s="6">
        <v>48</v>
      </c>
      <c r="K45" s="6">
        <v>36</v>
      </c>
      <c r="L45" s="6">
        <v>28</v>
      </c>
      <c r="M45" s="6">
        <v>48</v>
      </c>
      <c r="N45" s="6">
        <v>44</v>
      </c>
      <c r="O45" s="6">
        <v>44</v>
      </c>
      <c r="P45" s="1">
        <f t="shared" si="3"/>
        <v>355</v>
      </c>
      <c r="Q45" s="14">
        <f t="shared" si="4"/>
        <v>44.375</v>
      </c>
      <c r="R45" s="20">
        <f t="shared" si="5"/>
        <v>39</v>
      </c>
    </row>
    <row r="46" spans="1:18" ht="18" customHeight="1">
      <c r="A46" s="19">
        <v>40</v>
      </c>
      <c r="B46" s="2" t="s">
        <v>4019</v>
      </c>
      <c r="C46" s="1">
        <v>4232771</v>
      </c>
      <c r="D46" s="3" t="s">
        <v>4020</v>
      </c>
      <c r="E46" s="1" t="s">
        <v>79</v>
      </c>
      <c r="F46" s="10" t="s">
        <v>4006</v>
      </c>
      <c r="G46" s="2">
        <v>20</v>
      </c>
      <c r="H46" s="6">
        <v>48</v>
      </c>
      <c r="I46" s="6">
        <v>84</v>
      </c>
      <c r="J46" s="6">
        <v>60</v>
      </c>
      <c r="K46" s="6">
        <v>16</v>
      </c>
      <c r="L46" s="6">
        <v>28</v>
      </c>
      <c r="M46" s="6">
        <v>32</v>
      </c>
      <c r="N46" s="6">
        <v>32</v>
      </c>
      <c r="O46" s="6">
        <v>52</v>
      </c>
      <c r="P46" s="1">
        <f t="shared" si="3"/>
        <v>352</v>
      </c>
      <c r="Q46" s="14">
        <f t="shared" si="4"/>
        <v>44</v>
      </c>
      <c r="R46" s="20">
        <f t="shared" si="5"/>
        <v>40</v>
      </c>
    </row>
    <row r="47" spans="1:18" ht="18" customHeight="1">
      <c r="A47" s="19">
        <v>41</v>
      </c>
      <c r="B47" s="2" t="s">
        <v>4073</v>
      </c>
      <c r="C47" s="1">
        <v>311220680</v>
      </c>
      <c r="D47" s="3" t="s">
        <v>4074</v>
      </c>
      <c r="E47" s="1" t="s">
        <v>62</v>
      </c>
      <c r="F47" s="10" t="s">
        <v>4006</v>
      </c>
      <c r="G47" s="2">
        <v>21</v>
      </c>
      <c r="H47" s="6">
        <v>48</v>
      </c>
      <c r="I47" s="6">
        <v>84</v>
      </c>
      <c r="J47" s="6">
        <v>64</v>
      </c>
      <c r="K47" s="6">
        <v>44</v>
      </c>
      <c r="L47" s="6">
        <v>20</v>
      </c>
      <c r="M47" s="6">
        <v>28</v>
      </c>
      <c r="N47" s="6">
        <v>40</v>
      </c>
      <c r="O47" s="6">
        <v>20</v>
      </c>
      <c r="P47" s="1">
        <f t="shared" si="3"/>
        <v>348</v>
      </c>
      <c r="Q47" s="14">
        <f t="shared" si="4"/>
        <v>43.5</v>
      </c>
      <c r="R47" s="20">
        <f t="shared" si="5"/>
        <v>41</v>
      </c>
    </row>
    <row r="48" spans="1:18" ht="18" customHeight="1">
      <c r="A48" s="19">
        <v>42</v>
      </c>
      <c r="B48" s="2" t="s">
        <v>4126</v>
      </c>
      <c r="C48" s="1">
        <v>311240443</v>
      </c>
      <c r="D48" s="3" t="s">
        <v>4127</v>
      </c>
      <c r="E48" s="1" t="s">
        <v>65</v>
      </c>
      <c r="F48" s="10" t="s">
        <v>4006</v>
      </c>
      <c r="G48" s="2">
        <v>23</v>
      </c>
      <c r="H48" s="6">
        <v>52</v>
      </c>
      <c r="I48" s="6">
        <v>89</v>
      </c>
      <c r="J48" s="6">
        <v>54</v>
      </c>
      <c r="K48" s="6">
        <v>28</v>
      </c>
      <c r="L48" s="6">
        <v>36</v>
      </c>
      <c r="M48" s="6">
        <v>40</v>
      </c>
      <c r="N48" s="6">
        <v>40</v>
      </c>
      <c r="O48" s="6">
        <v>8</v>
      </c>
      <c r="P48" s="1">
        <f t="shared" si="3"/>
        <v>347</v>
      </c>
      <c r="Q48" s="14">
        <f t="shared" si="4"/>
        <v>43.375</v>
      </c>
      <c r="R48" s="20">
        <f t="shared" si="5"/>
        <v>42</v>
      </c>
    </row>
    <row r="49" spans="1:18" ht="18" customHeight="1">
      <c r="A49" s="19">
        <v>43</v>
      </c>
      <c r="B49" s="2" t="s">
        <v>4045</v>
      </c>
      <c r="C49" s="1">
        <v>311230096</v>
      </c>
      <c r="D49" s="3" t="s">
        <v>4046</v>
      </c>
      <c r="E49" s="1" t="s">
        <v>57</v>
      </c>
      <c r="F49" s="10" t="s">
        <v>4006</v>
      </c>
      <c r="G49" s="2">
        <v>21</v>
      </c>
      <c r="H49" s="6">
        <v>28</v>
      </c>
      <c r="I49" s="6">
        <v>100</v>
      </c>
      <c r="J49" s="6">
        <v>56</v>
      </c>
      <c r="K49" s="6">
        <v>28</v>
      </c>
      <c r="L49" s="6">
        <v>20</v>
      </c>
      <c r="M49" s="6">
        <v>52</v>
      </c>
      <c r="N49" s="6">
        <v>40</v>
      </c>
      <c r="O49" s="6">
        <v>20</v>
      </c>
      <c r="P49" s="1">
        <f t="shared" si="3"/>
        <v>344</v>
      </c>
      <c r="Q49" s="14">
        <f t="shared" si="4"/>
        <v>43</v>
      </c>
      <c r="R49" s="20">
        <f t="shared" si="5"/>
        <v>43</v>
      </c>
    </row>
    <row r="50" spans="1:18" ht="18" customHeight="1">
      <c r="A50" s="19">
        <v>44</v>
      </c>
      <c r="B50" s="2" t="s">
        <v>4122</v>
      </c>
      <c r="C50" s="1" t="s">
        <v>4123</v>
      </c>
      <c r="D50" s="3" t="s">
        <v>4124</v>
      </c>
      <c r="E50" s="1" t="s">
        <v>4125</v>
      </c>
      <c r="F50" s="10" t="s">
        <v>4006</v>
      </c>
      <c r="G50" s="2">
        <v>23</v>
      </c>
      <c r="H50" s="6">
        <v>68</v>
      </c>
      <c r="I50" s="6">
        <v>89</v>
      </c>
      <c r="J50" s="6">
        <v>60</v>
      </c>
      <c r="K50" s="6">
        <v>44</v>
      </c>
      <c r="L50" s="6">
        <v>8</v>
      </c>
      <c r="M50" s="6">
        <v>36</v>
      </c>
      <c r="N50" s="6">
        <v>20</v>
      </c>
      <c r="O50" s="6">
        <v>16</v>
      </c>
      <c r="P50" s="1">
        <f t="shared" si="3"/>
        <v>341</v>
      </c>
      <c r="Q50" s="14">
        <f t="shared" si="4"/>
        <v>42.625</v>
      </c>
      <c r="R50" s="20">
        <f t="shared" si="5"/>
        <v>44</v>
      </c>
    </row>
    <row r="51" spans="1:18" ht="18" customHeight="1">
      <c r="A51" s="19">
        <v>45</v>
      </c>
      <c r="B51" s="2" t="s">
        <v>4054</v>
      </c>
      <c r="C51" s="1">
        <v>4232551</v>
      </c>
      <c r="D51" s="3" t="s">
        <v>4055</v>
      </c>
      <c r="E51" s="1" t="s">
        <v>59</v>
      </c>
      <c r="F51" s="10" t="s">
        <v>4006</v>
      </c>
      <c r="G51" s="2">
        <v>21</v>
      </c>
      <c r="H51" s="6">
        <v>88</v>
      </c>
      <c r="I51" s="6">
        <v>100</v>
      </c>
      <c r="J51" s="6">
        <v>48</v>
      </c>
      <c r="K51" s="6">
        <v>12</v>
      </c>
      <c r="L51" s="6">
        <v>12</v>
      </c>
      <c r="M51" s="6">
        <v>44</v>
      </c>
      <c r="N51" s="6">
        <v>32</v>
      </c>
      <c r="O51" s="6">
        <v>4</v>
      </c>
      <c r="P51" s="1">
        <f t="shared" si="3"/>
        <v>340</v>
      </c>
      <c r="Q51" s="14">
        <f t="shared" si="4"/>
        <v>42.5</v>
      </c>
      <c r="R51" s="20">
        <f t="shared" si="5"/>
        <v>45</v>
      </c>
    </row>
    <row r="52" spans="1:18" ht="18" customHeight="1">
      <c r="A52" s="19">
        <v>46</v>
      </c>
      <c r="B52" s="2" t="s">
        <v>4064</v>
      </c>
      <c r="C52" s="1">
        <v>311220743</v>
      </c>
      <c r="D52" s="3" t="s">
        <v>4065</v>
      </c>
      <c r="E52" s="1" t="s">
        <v>61</v>
      </c>
      <c r="F52" s="10" t="s">
        <v>4006</v>
      </c>
      <c r="G52" s="2">
        <v>21</v>
      </c>
      <c r="H52" s="6">
        <v>36</v>
      </c>
      <c r="I52" s="6">
        <v>100</v>
      </c>
      <c r="J52" s="6">
        <v>36</v>
      </c>
      <c r="K52" s="6">
        <v>52</v>
      </c>
      <c r="L52" s="6">
        <v>20</v>
      </c>
      <c r="M52" s="6">
        <v>20</v>
      </c>
      <c r="N52" s="6">
        <v>52</v>
      </c>
      <c r="O52" s="6">
        <v>24</v>
      </c>
      <c r="P52" s="1">
        <f t="shared" si="3"/>
        <v>340</v>
      </c>
      <c r="Q52" s="14">
        <f t="shared" si="4"/>
        <v>42.5</v>
      </c>
      <c r="R52" s="20">
        <f t="shared" si="5"/>
        <v>45</v>
      </c>
    </row>
    <row r="53" spans="1:18" ht="18" customHeight="1">
      <c r="A53" s="19">
        <v>47</v>
      </c>
      <c r="B53" s="2" t="s">
        <v>4118</v>
      </c>
      <c r="C53" s="1">
        <v>311220609</v>
      </c>
      <c r="D53" s="3" t="s">
        <v>4119</v>
      </c>
      <c r="E53" s="1" t="s">
        <v>88</v>
      </c>
      <c r="F53" s="10" t="s">
        <v>4006</v>
      </c>
      <c r="G53" s="2">
        <v>23</v>
      </c>
      <c r="H53" s="6">
        <v>40</v>
      </c>
      <c r="I53" s="6">
        <v>100</v>
      </c>
      <c r="J53" s="6">
        <v>64</v>
      </c>
      <c r="K53" s="6">
        <v>24</v>
      </c>
      <c r="L53" s="6">
        <v>8</v>
      </c>
      <c r="M53" s="6">
        <v>32</v>
      </c>
      <c r="N53" s="6">
        <v>60</v>
      </c>
      <c r="O53" s="6">
        <v>12</v>
      </c>
      <c r="P53" s="1">
        <f t="shared" si="3"/>
        <v>340</v>
      </c>
      <c r="Q53" s="14">
        <f t="shared" si="4"/>
        <v>42.5</v>
      </c>
      <c r="R53" s="20">
        <f t="shared" si="5"/>
        <v>45</v>
      </c>
    </row>
    <row r="54" spans="1:18" ht="18" customHeight="1">
      <c r="A54" s="19">
        <v>48</v>
      </c>
      <c r="B54" s="2" t="s">
        <v>4068</v>
      </c>
      <c r="C54" s="1">
        <v>311220687</v>
      </c>
      <c r="D54" s="3" t="s">
        <v>4069</v>
      </c>
      <c r="E54" s="1" t="s">
        <v>62</v>
      </c>
      <c r="F54" s="10" t="s">
        <v>4006</v>
      </c>
      <c r="G54" s="2">
        <v>21</v>
      </c>
      <c r="H54" s="6">
        <v>40</v>
      </c>
      <c r="I54" s="6">
        <v>84</v>
      </c>
      <c r="J54" s="6">
        <v>32</v>
      </c>
      <c r="K54" s="6">
        <v>28</v>
      </c>
      <c r="L54" s="6">
        <v>16</v>
      </c>
      <c r="M54" s="6">
        <v>60</v>
      </c>
      <c r="N54" s="6">
        <v>36</v>
      </c>
      <c r="O54" s="6">
        <v>40</v>
      </c>
      <c r="P54" s="1">
        <f t="shared" si="3"/>
        <v>336</v>
      </c>
      <c r="Q54" s="14">
        <f t="shared" si="4"/>
        <v>42</v>
      </c>
      <c r="R54" s="20">
        <f t="shared" si="5"/>
        <v>48</v>
      </c>
    </row>
    <row r="55" spans="1:18" ht="18" customHeight="1">
      <c r="A55" s="19">
        <v>49</v>
      </c>
      <c r="B55" s="2" t="s">
        <v>4014</v>
      </c>
      <c r="C55" s="1" t="s">
        <v>4015</v>
      </c>
      <c r="D55" s="3" t="s">
        <v>4016</v>
      </c>
      <c r="E55" s="1" t="s">
        <v>55</v>
      </c>
      <c r="F55" s="10" t="s">
        <v>4006</v>
      </c>
      <c r="G55" s="2">
        <v>20</v>
      </c>
      <c r="H55" s="6">
        <v>52</v>
      </c>
      <c r="I55" s="6">
        <v>100</v>
      </c>
      <c r="J55" s="6">
        <v>72</v>
      </c>
      <c r="K55" s="6">
        <v>4</v>
      </c>
      <c r="L55" s="6">
        <v>12</v>
      </c>
      <c r="M55" s="6">
        <v>24</v>
      </c>
      <c r="N55" s="6">
        <v>28</v>
      </c>
      <c r="O55" s="6">
        <v>32</v>
      </c>
      <c r="P55" s="1">
        <f t="shared" si="3"/>
        <v>324</v>
      </c>
      <c r="Q55" s="14">
        <f t="shared" si="4"/>
        <v>40.5</v>
      </c>
      <c r="R55" s="20">
        <f t="shared" si="5"/>
        <v>49</v>
      </c>
    </row>
    <row r="56" spans="1:18" ht="18" customHeight="1">
      <c r="A56" s="19">
        <v>50</v>
      </c>
      <c r="B56" s="2" t="s">
        <v>4009</v>
      </c>
      <c r="C56" s="1">
        <v>4032557</v>
      </c>
      <c r="D56" s="3" t="s">
        <v>4010</v>
      </c>
      <c r="E56" s="1" t="s">
        <v>64</v>
      </c>
      <c r="F56" s="10" t="s">
        <v>4006</v>
      </c>
      <c r="G56" s="2">
        <v>20</v>
      </c>
      <c r="H56" s="6">
        <v>52</v>
      </c>
      <c r="I56" s="6">
        <v>95</v>
      </c>
      <c r="J56" s="6">
        <v>64</v>
      </c>
      <c r="K56" s="6">
        <v>16</v>
      </c>
      <c r="L56" s="6">
        <v>16</v>
      </c>
      <c r="M56" s="6">
        <v>32</v>
      </c>
      <c r="N56" s="6">
        <v>40</v>
      </c>
      <c r="O56" s="6">
        <v>8</v>
      </c>
      <c r="P56" s="1">
        <f t="shared" si="3"/>
        <v>323</v>
      </c>
      <c r="Q56" s="14">
        <f t="shared" si="4"/>
        <v>40.375</v>
      </c>
      <c r="R56" s="20">
        <f t="shared" si="5"/>
        <v>50</v>
      </c>
    </row>
    <row r="57" spans="1:18" ht="18" customHeight="1">
      <c r="A57" s="19">
        <v>51</v>
      </c>
      <c r="B57" s="2" t="s">
        <v>4160</v>
      </c>
      <c r="C57" s="1">
        <v>311260452</v>
      </c>
      <c r="D57" s="3" t="s">
        <v>4161</v>
      </c>
      <c r="E57" s="1" t="s">
        <v>90</v>
      </c>
      <c r="F57" s="10" t="s">
        <v>4006</v>
      </c>
      <c r="G57" s="2">
        <v>23</v>
      </c>
      <c r="H57" s="6">
        <v>44</v>
      </c>
      <c r="I57" s="6">
        <v>79</v>
      </c>
      <c r="J57" s="6">
        <v>48</v>
      </c>
      <c r="K57" s="6">
        <v>20</v>
      </c>
      <c r="L57" s="6">
        <v>0</v>
      </c>
      <c r="M57" s="6">
        <v>56</v>
      </c>
      <c r="N57" s="6">
        <v>40</v>
      </c>
      <c r="O57" s="6">
        <v>36</v>
      </c>
      <c r="P57" s="1">
        <f t="shared" si="3"/>
        <v>323</v>
      </c>
      <c r="Q57" s="14">
        <f t="shared" si="4"/>
        <v>40.375</v>
      </c>
      <c r="R57" s="20">
        <f t="shared" si="5"/>
        <v>50</v>
      </c>
    </row>
    <row r="58" spans="1:18" ht="18" customHeight="1">
      <c r="A58" s="19">
        <v>52</v>
      </c>
      <c r="B58" s="2" t="s">
        <v>4144</v>
      </c>
      <c r="C58" s="1">
        <v>4232612</v>
      </c>
      <c r="D58" s="3" t="s">
        <v>4145</v>
      </c>
      <c r="E58" s="1" t="s">
        <v>353</v>
      </c>
      <c r="F58" s="10" t="s">
        <v>4006</v>
      </c>
      <c r="G58" s="2">
        <v>23</v>
      </c>
      <c r="H58" s="6">
        <v>16</v>
      </c>
      <c r="I58" s="6">
        <v>84</v>
      </c>
      <c r="J58" s="6">
        <v>68</v>
      </c>
      <c r="K58" s="6">
        <v>0</v>
      </c>
      <c r="L58" s="6">
        <v>24</v>
      </c>
      <c r="M58" s="6">
        <v>60</v>
      </c>
      <c r="N58" s="6">
        <v>48</v>
      </c>
      <c r="O58" s="6">
        <v>16</v>
      </c>
      <c r="P58" s="1">
        <f t="shared" si="3"/>
        <v>316</v>
      </c>
      <c r="Q58" s="14">
        <f t="shared" si="4"/>
        <v>39.5</v>
      </c>
      <c r="R58" s="20">
        <f t="shared" si="5"/>
        <v>52</v>
      </c>
    </row>
    <row r="59" spans="1:18" ht="18" customHeight="1">
      <c r="A59" s="19">
        <v>53</v>
      </c>
      <c r="B59" s="2" t="s">
        <v>4026</v>
      </c>
      <c r="C59" s="1" t="s">
        <v>4027</v>
      </c>
      <c r="D59" s="3" t="s">
        <v>4028</v>
      </c>
      <c r="E59" s="1" t="s">
        <v>57</v>
      </c>
      <c r="F59" s="10" t="s">
        <v>4006</v>
      </c>
      <c r="G59" s="2">
        <v>20</v>
      </c>
      <c r="H59" s="6">
        <v>36</v>
      </c>
      <c r="I59" s="6">
        <v>79</v>
      </c>
      <c r="J59" s="6">
        <v>24</v>
      </c>
      <c r="K59" s="6">
        <v>32</v>
      </c>
      <c r="L59" s="6">
        <v>32</v>
      </c>
      <c r="M59" s="6">
        <v>56</v>
      </c>
      <c r="N59" s="6">
        <v>36</v>
      </c>
      <c r="O59" s="6">
        <v>20</v>
      </c>
      <c r="P59" s="1">
        <f t="shared" si="3"/>
        <v>315</v>
      </c>
      <c r="Q59" s="14">
        <f t="shared" si="4"/>
        <v>39.375</v>
      </c>
      <c r="R59" s="20">
        <f t="shared" si="5"/>
        <v>53</v>
      </c>
    </row>
    <row r="60" spans="1:18" ht="18" customHeight="1">
      <c r="A60" s="19">
        <v>54</v>
      </c>
      <c r="B60" s="2" t="s">
        <v>4059</v>
      </c>
      <c r="C60" s="1" t="s">
        <v>4060</v>
      </c>
      <c r="D60" s="3" t="s">
        <v>4061</v>
      </c>
      <c r="E60" s="1" t="s">
        <v>60</v>
      </c>
      <c r="F60" s="10" t="s">
        <v>4006</v>
      </c>
      <c r="G60" s="2">
        <v>21</v>
      </c>
      <c r="H60" s="6">
        <v>32</v>
      </c>
      <c r="I60" s="6">
        <v>100</v>
      </c>
      <c r="J60" s="6">
        <v>44</v>
      </c>
      <c r="K60" s="6">
        <v>16</v>
      </c>
      <c r="L60" s="6">
        <v>32</v>
      </c>
      <c r="M60" s="6">
        <v>28</v>
      </c>
      <c r="N60" s="6">
        <v>56</v>
      </c>
      <c r="O60" s="6">
        <v>4</v>
      </c>
      <c r="P60" s="1">
        <f t="shared" si="3"/>
        <v>312</v>
      </c>
      <c r="Q60" s="14">
        <f t="shared" si="4"/>
        <v>39</v>
      </c>
      <c r="R60" s="20">
        <f t="shared" si="5"/>
        <v>54</v>
      </c>
    </row>
    <row r="61" spans="1:18" ht="18" customHeight="1">
      <c r="A61" s="19">
        <v>55</v>
      </c>
      <c r="B61" s="2" t="s">
        <v>4070</v>
      </c>
      <c r="C61" s="1" t="s">
        <v>4071</v>
      </c>
      <c r="D61" s="3" t="s">
        <v>4072</v>
      </c>
      <c r="E61" s="1" t="s">
        <v>62</v>
      </c>
      <c r="F61" s="10" t="s">
        <v>4006</v>
      </c>
      <c r="G61" s="2">
        <v>21</v>
      </c>
      <c r="H61" s="6">
        <v>48</v>
      </c>
      <c r="I61" s="6">
        <v>47</v>
      </c>
      <c r="J61" s="6">
        <v>56</v>
      </c>
      <c r="K61" s="6">
        <v>16</v>
      </c>
      <c r="L61" s="6">
        <v>20</v>
      </c>
      <c r="M61" s="6">
        <v>56</v>
      </c>
      <c r="N61" s="6">
        <v>28</v>
      </c>
      <c r="O61" s="6">
        <v>28</v>
      </c>
      <c r="P61" s="1">
        <f t="shared" si="3"/>
        <v>299</v>
      </c>
      <c r="Q61" s="14">
        <f t="shared" si="4"/>
        <v>37.375</v>
      </c>
      <c r="R61" s="20">
        <f t="shared" si="5"/>
        <v>55</v>
      </c>
    </row>
    <row r="62" spans="1:18" ht="18" customHeight="1">
      <c r="A62" s="19">
        <v>56</v>
      </c>
      <c r="B62" s="2" t="s">
        <v>4052</v>
      </c>
      <c r="C62" s="1">
        <v>311220672</v>
      </c>
      <c r="D62" s="3" t="s">
        <v>4053</v>
      </c>
      <c r="E62" s="1" t="s">
        <v>72</v>
      </c>
      <c r="F62" s="10" t="s">
        <v>4006</v>
      </c>
      <c r="G62" s="2">
        <v>21</v>
      </c>
      <c r="H62" s="6">
        <v>36</v>
      </c>
      <c r="I62" s="6">
        <v>84</v>
      </c>
      <c r="J62" s="6">
        <v>48</v>
      </c>
      <c r="K62" s="6">
        <v>20</v>
      </c>
      <c r="L62" s="6">
        <v>20</v>
      </c>
      <c r="M62" s="6">
        <v>32</v>
      </c>
      <c r="N62" s="6">
        <v>24</v>
      </c>
      <c r="O62" s="6">
        <v>20</v>
      </c>
      <c r="P62" s="1">
        <f t="shared" si="3"/>
        <v>284</v>
      </c>
      <c r="Q62" s="14">
        <f t="shared" si="4"/>
        <v>35.5</v>
      </c>
      <c r="R62" s="20">
        <f t="shared" si="5"/>
        <v>56</v>
      </c>
    </row>
    <row r="63" spans="1:18" ht="18" customHeight="1">
      <c r="A63" s="19">
        <v>57</v>
      </c>
      <c r="B63" s="2" t="s">
        <v>4108</v>
      </c>
      <c r="C63" s="1">
        <v>311230115</v>
      </c>
      <c r="D63" s="3" t="s">
        <v>93</v>
      </c>
      <c r="E63" s="1" t="s">
        <v>90</v>
      </c>
      <c r="F63" s="10" t="s">
        <v>4006</v>
      </c>
      <c r="G63" s="2">
        <v>22</v>
      </c>
      <c r="H63" s="6">
        <v>32</v>
      </c>
      <c r="I63" s="6">
        <v>58</v>
      </c>
      <c r="J63" s="6">
        <v>44</v>
      </c>
      <c r="K63" s="6">
        <v>16</v>
      </c>
      <c r="L63" s="6">
        <v>20</v>
      </c>
      <c r="M63" s="6">
        <v>48</v>
      </c>
      <c r="N63" s="6">
        <v>24</v>
      </c>
      <c r="O63" s="6">
        <v>32</v>
      </c>
      <c r="P63" s="1">
        <f t="shared" si="3"/>
        <v>274</v>
      </c>
      <c r="Q63" s="14">
        <f t="shared" si="4"/>
        <v>34.25</v>
      </c>
      <c r="R63" s="20">
        <f t="shared" si="5"/>
        <v>57</v>
      </c>
    </row>
    <row r="64" spans="1:18" ht="18" customHeight="1">
      <c r="A64" s="19">
        <v>58</v>
      </c>
      <c r="B64" s="2" t="s">
        <v>4007</v>
      </c>
      <c r="C64" s="1">
        <v>311220830</v>
      </c>
      <c r="D64" s="3" t="s">
        <v>4008</v>
      </c>
      <c r="E64" s="1" t="s">
        <v>78</v>
      </c>
      <c r="F64" s="10" t="s">
        <v>4006</v>
      </c>
      <c r="G64" s="2">
        <v>20</v>
      </c>
      <c r="H64" s="6">
        <v>36</v>
      </c>
      <c r="I64" s="6">
        <v>68</v>
      </c>
      <c r="J64" s="6">
        <v>48</v>
      </c>
      <c r="K64" s="6">
        <v>24</v>
      </c>
      <c r="L64" s="6">
        <v>12</v>
      </c>
      <c r="M64" s="6">
        <v>32</v>
      </c>
      <c r="N64" s="6">
        <v>12</v>
      </c>
      <c r="O64" s="6">
        <v>32</v>
      </c>
      <c r="P64" s="1">
        <f t="shared" si="3"/>
        <v>264</v>
      </c>
      <c r="Q64" s="14">
        <f t="shared" si="4"/>
        <v>33</v>
      </c>
      <c r="R64" s="20">
        <f t="shared" si="5"/>
        <v>58</v>
      </c>
    </row>
    <row r="65" spans="1:18" ht="18" customHeight="1">
      <c r="A65" s="19">
        <v>59</v>
      </c>
      <c r="B65" s="2" t="s">
        <v>4101</v>
      </c>
      <c r="C65" s="1">
        <v>311230107</v>
      </c>
      <c r="D65" s="3" t="s">
        <v>4102</v>
      </c>
      <c r="E65" s="1" t="s">
        <v>78</v>
      </c>
      <c r="F65" s="10" t="s">
        <v>4006</v>
      </c>
      <c r="G65" s="2">
        <v>22</v>
      </c>
      <c r="H65" s="6">
        <v>20</v>
      </c>
      <c r="I65" s="6">
        <v>100</v>
      </c>
      <c r="J65" s="6">
        <v>24</v>
      </c>
      <c r="K65" s="6">
        <v>32</v>
      </c>
      <c r="L65" s="6">
        <v>8</v>
      </c>
      <c r="M65" s="6">
        <v>40</v>
      </c>
      <c r="N65" s="6">
        <v>24</v>
      </c>
      <c r="O65" s="6">
        <v>16</v>
      </c>
      <c r="P65" s="1">
        <f t="shared" si="3"/>
        <v>264</v>
      </c>
      <c r="Q65" s="14">
        <f t="shared" si="4"/>
        <v>33</v>
      </c>
      <c r="R65" s="20">
        <f t="shared" si="5"/>
        <v>58</v>
      </c>
    </row>
    <row r="66" spans="1:18" ht="18" customHeight="1">
      <c r="A66" s="19">
        <v>60</v>
      </c>
      <c r="B66" s="2" t="s">
        <v>4106</v>
      </c>
      <c r="C66" s="1">
        <v>4232780</v>
      </c>
      <c r="D66" s="3" t="s">
        <v>4107</v>
      </c>
      <c r="E66" s="1" t="s">
        <v>90</v>
      </c>
      <c r="F66" s="10" t="s">
        <v>4006</v>
      </c>
      <c r="G66" s="2">
        <v>22</v>
      </c>
      <c r="H66" s="6">
        <v>40</v>
      </c>
      <c r="I66" s="6">
        <v>95</v>
      </c>
      <c r="J66" s="6"/>
      <c r="K66" s="6">
        <v>20</v>
      </c>
      <c r="L66" s="6"/>
      <c r="M66" s="6">
        <v>40</v>
      </c>
      <c r="N66" s="6">
        <v>36</v>
      </c>
      <c r="O66" s="6">
        <v>28</v>
      </c>
      <c r="P66" s="1">
        <f t="shared" si="3"/>
        <v>259</v>
      </c>
      <c r="Q66" s="14">
        <f t="shared" si="4"/>
        <v>32.375</v>
      </c>
      <c r="R66" s="20">
        <f t="shared" si="5"/>
        <v>60</v>
      </c>
    </row>
    <row r="67" spans="1:18" ht="18" customHeight="1">
      <c r="A67" s="19">
        <v>61</v>
      </c>
      <c r="B67" s="2" t="s">
        <v>4004</v>
      </c>
      <c r="C67" s="1">
        <v>4232873</v>
      </c>
      <c r="D67" s="3" t="s">
        <v>4005</v>
      </c>
      <c r="E67" s="1" t="s">
        <v>56</v>
      </c>
      <c r="F67" s="10" t="s">
        <v>4006</v>
      </c>
      <c r="G67" s="2">
        <v>20</v>
      </c>
      <c r="H67" s="6">
        <v>20</v>
      </c>
      <c r="I67" s="6">
        <v>79</v>
      </c>
      <c r="J67" s="6">
        <v>32</v>
      </c>
      <c r="K67" s="6">
        <v>24</v>
      </c>
      <c r="L67" s="6">
        <v>12</v>
      </c>
      <c r="M67" s="6">
        <v>44</v>
      </c>
      <c r="N67" s="6">
        <v>12</v>
      </c>
      <c r="O67" s="6">
        <v>32</v>
      </c>
      <c r="P67" s="1">
        <f t="shared" si="3"/>
        <v>255</v>
      </c>
      <c r="Q67" s="14">
        <f t="shared" si="4"/>
        <v>31.875</v>
      </c>
      <c r="R67" s="20">
        <f t="shared" si="5"/>
        <v>61</v>
      </c>
    </row>
    <row r="68" spans="1:18" ht="18" customHeight="1">
      <c r="A68" s="19">
        <v>62</v>
      </c>
      <c r="B68" s="2" t="s">
        <v>4031</v>
      </c>
      <c r="C68" s="1">
        <v>4232783</v>
      </c>
      <c r="D68" s="3" t="s">
        <v>4032</v>
      </c>
      <c r="E68" s="1" t="s">
        <v>57</v>
      </c>
      <c r="F68" s="10" t="s">
        <v>4006</v>
      </c>
      <c r="G68" s="2">
        <v>20</v>
      </c>
      <c r="H68" s="6">
        <v>28</v>
      </c>
      <c r="I68" s="6">
        <v>84</v>
      </c>
      <c r="J68" s="6">
        <v>24</v>
      </c>
      <c r="K68" s="6">
        <v>32</v>
      </c>
      <c r="L68" s="6">
        <v>12</v>
      </c>
      <c r="M68" s="6">
        <v>28</v>
      </c>
      <c r="N68" s="6">
        <v>36</v>
      </c>
      <c r="O68" s="6">
        <v>8</v>
      </c>
      <c r="P68" s="1">
        <f t="shared" si="3"/>
        <v>252</v>
      </c>
      <c r="Q68" s="14">
        <f t="shared" si="4"/>
        <v>31.5</v>
      </c>
      <c r="R68" s="20">
        <f t="shared" si="5"/>
        <v>62</v>
      </c>
    </row>
    <row r="69" spans="1:18" ht="18" customHeight="1">
      <c r="A69" s="19">
        <v>63</v>
      </c>
      <c r="B69" s="2" t="s">
        <v>4017</v>
      </c>
      <c r="C69" s="1">
        <v>4232761</v>
      </c>
      <c r="D69" s="3" t="s">
        <v>4018</v>
      </c>
      <c r="E69" s="1" t="s">
        <v>55</v>
      </c>
      <c r="F69" s="10" t="s">
        <v>4006</v>
      </c>
      <c r="G69" s="2">
        <v>20</v>
      </c>
      <c r="H69" s="6">
        <v>20</v>
      </c>
      <c r="I69" s="6">
        <v>79</v>
      </c>
      <c r="J69" s="6">
        <v>12</v>
      </c>
      <c r="K69" s="6">
        <v>12</v>
      </c>
      <c r="L69" s="6">
        <v>16</v>
      </c>
      <c r="M69" s="6">
        <v>28</v>
      </c>
      <c r="N69" s="6">
        <v>26</v>
      </c>
      <c r="O69" s="6">
        <v>8</v>
      </c>
      <c r="P69" s="1">
        <f t="shared" si="3"/>
        <v>201</v>
      </c>
      <c r="Q69" s="14">
        <f t="shared" si="4"/>
        <v>25.125</v>
      </c>
      <c r="R69" s="20">
        <f t="shared" si="5"/>
        <v>63</v>
      </c>
    </row>
    <row r="70" spans="1:18" ht="18" customHeight="1">
      <c r="A70" s="19">
        <v>64</v>
      </c>
      <c r="B70" s="2" t="s">
        <v>4024</v>
      </c>
      <c r="C70" s="1">
        <v>4232639</v>
      </c>
      <c r="D70" s="3" t="s">
        <v>4025</v>
      </c>
      <c r="E70" s="1" t="s">
        <v>56</v>
      </c>
      <c r="F70" s="10" t="s">
        <v>4006</v>
      </c>
      <c r="G70" s="2">
        <v>20</v>
      </c>
      <c r="H70" s="6">
        <v>12</v>
      </c>
      <c r="I70" s="6">
        <v>74</v>
      </c>
      <c r="J70" s="6">
        <v>40</v>
      </c>
      <c r="K70" s="6">
        <v>4</v>
      </c>
      <c r="L70" s="6">
        <v>0</v>
      </c>
      <c r="M70" s="6">
        <v>16</v>
      </c>
      <c r="N70" s="6">
        <v>8</v>
      </c>
      <c r="O70" s="6">
        <v>4</v>
      </c>
      <c r="P70" s="1">
        <f t="shared" si="3"/>
        <v>158</v>
      </c>
      <c r="Q70" s="14">
        <f t="shared" si="4"/>
        <v>19.75</v>
      </c>
      <c r="R70" s="20">
        <f t="shared" si="5"/>
        <v>64</v>
      </c>
    </row>
    <row r="71" spans="1:18" ht="18" customHeight="1">
      <c r="A71" s="19">
        <v>65</v>
      </c>
      <c r="B71" s="2" t="s">
        <v>4134</v>
      </c>
      <c r="C71" s="1" t="s">
        <v>4135</v>
      </c>
      <c r="D71" s="3" t="s">
        <v>4136</v>
      </c>
      <c r="E71" s="1" t="s">
        <v>67</v>
      </c>
      <c r="F71" s="10" t="s">
        <v>4006</v>
      </c>
      <c r="G71" s="2">
        <v>23</v>
      </c>
      <c r="H71" s="6"/>
      <c r="I71" s="6"/>
      <c r="J71" s="6"/>
      <c r="K71" s="6">
        <v>16</v>
      </c>
      <c r="L71" s="6"/>
      <c r="M71" s="6"/>
      <c r="N71" s="6">
        <v>16</v>
      </c>
      <c r="O71" s="6"/>
      <c r="P71" s="1">
        <f t="shared" ref="P71:P72" si="6">SUBTOTAL(9,H71:O71)</f>
        <v>32</v>
      </c>
      <c r="Q71" s="14">
        <f t="shared" ref="Q71:Q72" si="7">P71/8</f>
        <v>4</v>
      </c>
      <c r="R71" s="20">
        <f t="shared" ref="R71:R72" si="8">RANK(Q71,Q$7:Q$274,0)</f>
        <v>65</v>
      </c>
    </row>
    <row r="72" spans="1:18" ht="18" customHeight="1">
      <c r="A72" s="19">
        <v>66</v>
      </c>
      <c r="B72" s="28" t="s">
        <v>4146</v>
      </c>
      <c r="C72" s="29">
        <v>311220954</v>
      </c>
      <c r="D72" s="30" t="s">
        <v>4147</v>
      </c>
      <c r="E72" s="29" t="s">
        <v>353</v>
      </c>
      <c r="F72" s="31" t="s">
        <v>4006</v>
      </c>
      <c r="G72" s="28">
        <v>23</v>
      </c>
      <c r="H72" s="46"/>
      <c r="I72" s="46"/>
      <c r="J72" s="46"/>
      <c r="K72" s="46"/>
      <c r="L72" s="46"/>
      <c r="M72" s="46"/>
      <c r="N72" s="46"/>
      <c r="O72" s="46"/>
      <c r="P72" s="29">
        <f t="shared" si="6"/>
        <v>0</v>
      </c>
      <c r="Q72" s="41">
        <f t="shared" si="7"/>
        <v>0</v>
      </c>
      <c r="R72" s="33">
        <f t="shared" si="8"/>
        <v>66</v>
      </c>
    </row>
  </sheetData>
  <mergeCells count="4">
    <mergeCell ref="A1:P1"/>
    <mergeCell ref="A2:P2"/>
    <mergeCell ref="A3:P3"/>
    <mergeCell ref="A5:B5"/>
  </mergeCells>
  <conditionalFormatting sqref="H7:O7">
    <cfRule type="cellIs" dxfId="3113" priority="327" operator="lessThan">
      <formula>50</formula>
    </cfRule>
    <cfRule type="cellIs" dxfId="3112" priority="328" operator="lessThan">
      <formula>5</formula>
    </cfRule>
    <cfRule type="cellIs" dxfId="3111" priority="329" operator="lessThan">
      <formula>5</formula>
    </cfRule>
    <cfRule type="cellIs" dxfId="3110" priority="330" operator="lessThan">
      <formula>5</formula>
    </cfRule>
  </conditionalFormatting>
  <conditionalFormatting sqref="Q7">
    <cfRule type="cellIs" dxfId="3109" priority="326" operator="lessThan">
      <formula>50</formula>
    </cfRule>
  </conditionalFormatting>
  <conditionalFormatting sqref="H8:O8">
    <cfRule type="cellIs" dxfId="3108" priority="322" operator="lessThan">
      <formula>50</formula>
    </cfRule>
    <cfRule type="cellIs" dxfId="3107" priority="323" operator="lessThan">
      <formula>5</formula>
    </cfRule>
    <cfRule type="cellIs" dxfId="3106" priority="324" operator="lessThan">
      <formula>5</formula>
    </cfRule>
    <cfRule type="cellIs" dxfId="3105" priority="325" operator="lessThan">
      <formula>5</formula>
    </cfRule>
  </conditionalFormatting>
  <conditionalFormatting sqref="Q8">
    <cfRule type="cellIs" dxfId="3104" priority="321" operator="lessThan">
      <formula>50</formula>
    </cfRule>
  </conditionalFormatting>
  <conditionalFormatting sqref="H9:O9">
    <cfRule type="cellIs" dxfId="3103" priority="317" operator="lessThan">
      <formula>50</formula>
    </cfRule>
    <cfRule type="cellIs" dxfId="3102" priority="318" operator="lessThan">
      <formula>5</formula>
    </cfRule>
    <cfRule type="cellIs" dxfId="3101" priority="319" operator="lessThan">
      <formula>5</formula>
    </cfRule>
    <cfRule type="cellIs" dxfId="3100" priority="320" operator="lessThan">
      <formula>5</formula>
    </cfRule>
  </conditionalFormatting>
  <conditionalFormatting sqref="Q9">
    <cfRule type="cellIs" dxfId="3099" priority="316" operator="lessThan">
      <formula>50</formula>
    </cfRule>
  </conditionalFormatting>
  <conditionalFormatting sqref="H10:O10">
    <cfRule type="cellIs" dxfId="3098" priority="312" operator="lessThan">
      <formula>50</formula>
    </cfRule>
    <cfRule type="cellIs" dxfId="3097" priority="313" operator="lessThan">
      <formula>5</formula>
    </cfRule>
    <cfRule type="cellIs" dxfId="3096" priority="314" operator="lessThan">
      <formula>5</formula>
    </cfRule>
    <cfRule type="cellIs" dxfId="3095" priority="315" operator="lessThan">
      <formula>5</formula>
    </cfRule>
  </conditionalFormatting>
  <conditionalFormatting sqref="Q10">
    <cfRule type="cellIs" dxfId="3094" priority="311" operator="lessThan">
      <formula>50</formula>
    </cfRule>
  </conditionalFormatting>
  <conditionalFormatting sqref="H11:O11">
    <cfRule type="cellIs" dxfId="3093" priority="307" operator="lessThan">
      <formula>50</formula>
    </cfRule>
    <cfRule type="cellIs" dxfId="3092" priority="308" operator="lessThan">
      <formula>5</formula>
    </cfRule>
    <cfRule type="cellIs" dxfId="3091" priority="309" operator="lessThan">
      <formula>5</formula>
    </cfRule>
    <cfRule type="cellIs" dxfId="3090" priority="310" operator="lessThan">
      <formula>5</formula>
    </cfRule>
  </conditionalFormatting>
  <conditionalFormatting sqref="Q11">
    <cfRule type="cellIs" dxfId="3089" priority="306" operator="lessThan">
      <formula>50</formula>
    </cfRule>
  </conditionalFormatting>
  <conditionalFormatting sqref="H12:O12">
    <cfRule type="cellIs" dxfId="3088" priority="302" operator="lessThan">
      <formula>50</formula>
    </cfRule>
    <cfRule type="cellIs" dxfId="3087" priority="303" operator="lessThan">
      <formula>5</formula>
    </cfRule>
    <cfRule type="cellIs" dxfId="3086" priority="304" operator="lessThan">
      <formula>5</formula>
    </cfRule>
    <cfRule type="cellIs" dxfId="3085" priority="305" operator="lessThan">
      <formula>5</formula>
    </cfRule>
  </conditionalFormatting>
  <conditionalFormatting sqref="Q12">
    <cfRule type="cellIs" dxfId="3084" priority="301" operator="lessThan">
      <formula>50</formula>
    </cfRule>
  </conditionalFormatting>
  <conditionalFormatting sqref="H13:O13">
    <cfRule type="cellIs" dxfId="3083" priority="297" operator="lessThan">
      <formula>50</formula>
    </cfRule>
    <cfRule type="cellIs" dxfId="3082" priority="298" operator="lessThan">
      <formula>5</formula>
    </cfRule>
    <cfRule type="cellIs" dxfId="3081" priority="299" operator="lessThan">
      <formula>5</formula>
    </cfRule>
    <cfRule type="cellIs" dxfId="3080" priority="300" operator="lessThan">
      <formula>5</formula>
    </cfRule>
  </conditionalFormatting>
  <conditionalFormatting sqref="Q13">
    <cfRule type="cellIs" dxfId="3079" priority="296" operator="lessThan">
      <formula>50</formula>
    </cfRule>
  </conditionalFormatting>
  <conditionalFormatting sqref="H14:O14">
    <cfRule type="cellIs" dxfId="3078" priority="292" operator="lessThan">
      <formula>50</formula>
    </cfRule>
    <cfRule type="cellIs" dxfId="3077" priority="293" operator="lessThan">
      <formula>5</formula>
    </cfRule>
    <cfRule type="cellIs" dxfId="3076" priority="294" operator="lessThan">
      <formula>5</formula>
    </cfRule>
    <cfRule type="cellIs" dxfId="3075" priority="295" operator="lessThan">
      <formula>5</formula>
    </cfRule>
  </conditionalFormatting>
  <conditionalFormatting sqref="Q14">
    <cfRule type="cellIs" dxfId="3074" priority="291" operator="lessThan">
      <formula>50</formula>
    </cfRule>
  </conditionalFormatting>
  <conditionalFormatting sqref="H15:O15">
    <cfRule type="cellIs" dxfId="3073" priority="287" operator="lessThan">
      <formula>50</formula>
    </cfRule>
    <cfRule type="cellIs" dxfId="3072" priority="288" operator="lessThan">
      <formula>5</formula>
    </cfRule>
    <cfRule type="cellIs" dxfId="3071" priority="289" operator="lessThan">
      <formula>5</formula>
    </cfRule>
    <cfRule type="cellIs" dxfId="3070" priority="290" operator="lessThan">
      <formula>5</formula>
    </cfRule>
  </conditionalFormatting>
  <conditionalFormatting sqref="Q15">
    <cfRule type="cellIs" dxfId="3069" priority="286" operator="lessThan">
      <formula>50</formula>
    </cfRule>
  </conditionalFormatting>
  <conditionalFormatting sqref="H16:O16">
    <cfRule type="cellIs" dxfId="3068" priority="282" operator="lessThan">
      <formula>50</formula>
    </cfRule>
    <cfRule type="cellIs" dxfId="3067" priority="283" operator="lessThan">
      <formula>5</formula>
    </cfRule>
    <cfRule type="cellIs" dxfId="3066" priority="284" operator="lessThan">
      <formula>5</formula>
    </cfRule>
    <cfRule type="cellIs" dxfId="3065" priority="285" operator="lessThan">
      <formula>5</formula>
    </cfRule>
  </conditionalFormatting>
  <conditionalFormatting sqref="Q16">
    <cfRule type="cellIs" dxfId="3064" priority="281" operator="lessThan">
      <formula>50</formula>
    </cfRule>
  </conditionalFormatting>
  <conditionalFormatting sqref="H17:O17">
    <cfRule type="cellIs" dxfId="3063" priority="277" operator="lessThan">
      <formula>50</formula>
    </cfRule>
    <cfRule type="cellIs" dxfId="3062" priority="278" operator="lessThan">
      <formula>5</formula>
    </cfRule>
    <cfRule type="cellIs" dxfId="3061" priority="279" operator="lessThan">
      <formula>5</formula>
    </cfRule>
    <cfRule type="cellIs" dxfId="3060" priority="280" operator="lessThan">
      <formula>5</formula>
    </cfRule>
  </conditionalFormatting>
  <conditionalFormatting sqref="Q17">
    <cfRule type="cellIs" dxfId="3059" priority="276" operator="lessThan">
      <formula>50</formula>
    </cfRule>
  </conditionalFormatting>
  <conditionalFormatting sqref="H18:O18">
    <cfRule type="cellIs" dxfId="3058" priority="272" operator="lessThan">
      <formula>50</formula>
    </cfRule>
    <cfRule type="cellIs" dxfId="3057" priority="273" operator="lessThan">
      <formula>5</formula>
    </cfRule>
    <cfRule type="cellIs" dxfId="3056" priority="274" operator="lessThan">
      <formula>5</formula>
    </cfRule>
    <cfRule type="cellIs" dxfId="3055" priority="275" operator="lessThan">
      <formula>5</formula>
    </cfRule>
  </conditionalFormatting>
  <conditionalFormatting sqref="Q18">
    <cfRule type="cellIs" dxfId="3054" priority="271" operator="lessThan">
      <formula>50</formula>
    </cfRule>
  </conditionalFormatting>
  <conditionalFormatting sqref="H19:O19">
    <cfRule type="cellIs" dxfId="3053" priority="267" operator="lessThan">
      <formula>50</formula>
    </cfRule>
    <cfRule type="cellIs" dxfId="3052" priority="268" operator="lessThan">
      <formula>5</formula>
    </cfRule>
    <cfRule type="cellIs" dxfId="3051" priority="269" operator="lessThan">
      <formula>5</formula>
    </cfRule>
    <cfRule type="cellIs" dxfId="3050" priority="270" operator="lessThan">
      <formula>5</formula>
    </cfRule>
  </conditionalFormatting>
  <conditionalFormatting sqref="Q19">
    <cfRule type="cellIs" dxfId="3049" priority="266" operator="lessThan">
      <formula>50</formula>
    </cfRule>
  </conditionalFormatting>
  <conditionalFormatting sqref="H20:O20">
    <cfRule type="cellIs" dxfId="3048" priority="262" operator="lessThan">
      <formula>50</formula>
    </cfRule>
    <cfRule type="cellIs" dxfId="3047" priority="263" operator="lessThan">
      <formula>5</formula>
    </cfRule>
    <cfRule type="cellIs" dxfId="3046" priority="264" operator="lessThan">
      <formula>5</formula>
    </cfRule>
    <cfRule type="cellIs" dxfId="3045" priority="265" operator="lessThan">
      <formula>5</formula>
    </cfRule>
  </conditionalFormatting>
  <conditionalFormatting sqref="Q20">
    <cfRule type="cellIs" dxfId="3044" priority="261" operator="lessThan">
      <formula>50</formula>
    </cfRule>
  </conditionalFormatting>
  <conditionalFormatting sqref="H21:O21">
    <cfRule type="cellIs" dxfId="3043" priority="257" operator="lessThan">
      <formula>50</formula>
    </cfRule>
    <cfRule type="cellIs" dxfId="3042" priority="258" operator="lessThan">
      <formula>5</formula>
    </cfRule>
    <cfRule type="cellIs" dxfId="3041" priority="259" operator="lessThan">
      <formula>5</formula>
    </cfRule>
    <cfRule type="cellIs" dxfId="3040" priority="260" operator="lessThan">
      <formula>5</formula>
    </cfRule>
  </conditionalFormatting>
  <conditionalFormatting sqref="Q21">
    <cfRule type="cellIs" dxfId="3039" priority="256" operator="lessThan">
      <formula>50</formula>
    </cfRule>
  </conditionalFormatting>
  <conditionalFormatting sqref="H22:O22">
    <cfRule type="cellIs" dxfId="3038" priority="252" operator="lessThan">
      <formula>50</formula>
    </cfRule>
    <cfRule type="cellIs" dxfId="3037" priority="253" operator="lessThan">
      <formula>5</formula>
    </cfRule>
    <cfRule type="cellIs" dxfId="3036" priority="254" operator="lessThan">
      <formula>5</formula>
    </cfRule>
    <cfRule type="cellIs" dxfId="3035" priority="255" operator="lessThan">
      <formula>5</formula>
    </cfRule>
  </conditionalFormatting>
  <conditionalFormatting sqref="Q22">
    <cfRule type="cellIs" dxfId="3034" priority="251" operator="lessThan">
      <formula>50</formula>
    </cfRule>
  </conditionalFormatting>
  <conditionalFormatting sqref="H23:O23">
    <cfRule type="cellIs" dxfId="3033" priority="247" operator="lessThan">
      <formula>50</formula>
    </cfRule>
    <cfRule type="cellIs" dxfId="3032" priority="248" operator="lessThan">
      <formula>5</formula>
    </cfRule>
    <cfRule type="cellIs" dxfId="3031" priority="249" operator="lessThan">
      <formula>5</formula>
    </cfRule>
    <cfRule type="cellIs" dxfId="3030" priority="250" operator="lessThan">
      <formula>5</formula>
    </cfRule>
  </conditionalFormatting>
  <conditionalFormatting sqref="Q23">
    <cfRule type="cellIs" dxfId="3029" priority="246" operator="lessThan">
      <formula>50</formula>
    </cfRule>
  </conditionalFormatting>
  <conditionalFormatting sqref="H24:O24">
    <cfRule type="cellIs" dxfId="3028" priority="242" operator="lessThan">
      <formula>50</formula>
    </cfRule>
    <cfRule type="cellIs" dxfId="3027" priority="243" operator="lessThan">
      <formula>5</formula>
    </cfRule>
    <cfRule type="cellIs" dxfId="3026" priority="244" operator="lessThan">
      <formula>5</formula>
    </cfRule>
    <cfRule type="cellIs" dxfId="3025" priority="245" operator="lessThan">
      <formula>5</formula>
    </cfRule>
  </conditionalFormatting>
  <conditionalFormatting sqref="Q24">
    <cfRule type="cellIs" dxfId="3024" priority="241" operator="lessThan">
      <formula>50</formula>
    </cfRule>
  </conditionalFormatting>
  <conditionalFormatting sqref="H25:O25">
    <cfRule type="cellIs" dxfId="3023" priority="237" operator="lessThan">
      <formula>50</formula>
    </cfRule>
    <cfRule type="cellIs" dxfId="3022" priority="238" operator="lessThan">
      <formula>5</formula>
    </cfRule>
    <cfRule type="cellIs" dxfId="3021" priority="239" operator="lessThan">
      <formula>5</formula>
    </cfRule>
    <cfRule type="cellIs" dxfId="3020" priority="240" operator="lessThan">
      <formula>5</formula>
    </cfRule>
  </conditionalFormatting>
  <conditionalFormatting sqref="Q25">
    <cfRule type="cellIs" dxfId="3019" priority="236" operator="lessThan">
      <formula>50</formula>
    </cfRule>
  </conditionalFormatting>
  <conditionalFormatting sqref="H26:O26">
    <cfRule type="cellIs" dxfId="3018" priority="232" operator="lessThan">
      <formula>50</formula>
    </cfRule>
    <cfRule type="cellIs" dxfId="3017" priority="233" operator="lessThan">
      <formula>5</formula>
    </cfRule>
    <cfRule type="cellIs" dxfId="3016" priority="234" operator="lessThan">
      <formula>5</formula>
    </cfRule>
    <cfRule type="cellIs" dxfId="3015" priority="235" operator="lessThan">
      <formula>5</formula>
    </cfRule>
  </conditionalFormatting>
  <conditionalFormatting sqref="Q26">
    <cfRule type="cellIs" dxfId="3014" priority="231" operator="lessThan">
      <formula>50</formula>
    </cfRule>
  </conditionalFormatting>
  <conditionalFormatting sqref="H27:O27">
    <cfRule type="cellIs" dxfId="3013" priority="227" operator="lessThan">
      <formula>50</formula>
    </cfRule>
    <cfRule type="cellIs" dxfId="3012" priority="228" operator="lessThan">
      <formula>5</formula>
    </cfRule>
    <cfRule type="cellIs" dxfId="3011" priority="229" operator="lessThan">
      <formula>5</formula>
    </cfRule>
    <cfRule type="cellIs" dxfId="3010" priority="230" operator="lessThan">
      <formula>5</formula>
    </cfRule>
  </conditionalFormatting>
  <conditionalFormatting sqref="Q27">
    <cfRule type="cellIs" dxfId="3009" priority="226" operator="lessThan">
      <formula>50</formula>
    </cfRule>
  </conditionalFormatting>
  <conditionalFormatting sqref="H28:O28">
    <cfRule type="cellIs" dxfId="3008" priority="222" operator="lessThan">
      <formula>50</formula>
    </cfRule>
    <cfRule type="cellIs" dxfId="3007" priority="223" operator="lessThan">
      <formula>5</formula>
    </cfRule>
    <cfRule type="cellIs" dxfId="3006" priority="224" operator="lessThan">
      <formula>5</formula>
    </cfRule>
    <cfRule type="cellIs" dxfId="3005" priority="225" operator="lessThan">
      <formula>5</formula>
    </cfRule>
  </conditionalFormatting>
  <conditionalFormatting sqref="Q28">
    <cfRule type="cellIs" dxfId="3004" priority="221" operator="lessThan">
      <formula>50</formula>
    </cfRule>
  </conditionalFormatting>
  <conditionalFormatting sqref="H29:O29">
    <cfRule type="cellIs" dxfId="3003" priority="217" operator="lessThan">
      <formula>50</formula>
    </cfRule>
    <cfRule type="cellIs" dxfId="3002" priority="218" operator="lessThan">
      <formula>5</formula>
    </cfRule>
    <cfRule type="cellIs" dxfId="3001" priority="219" operator="lessThan">
      <formula>5</formula>
    </cfRule>
    <cfRule type="cellIs" dxfId="3000" priority="220" operator="lessThan">
      <formula>5</formula>
    </cfRule>
  </conditionalFormatting>
  <conditionalFormatting sqref="Q29">
    <cfRule type="cellIs" dxfId="2999" priority="216" operator="lessThan">
      <formula>50</formula>
    </cfRule>
  </conditionalFormatting>
  <conditionalFormatting sqref="H30:O30">
    <cfRule type="cellIs" dxfId="2998" priority="212" operator="lessThan">
      <formula>50</formula>
    </cfRule>
    <cfRule type="cellIs" dxfId="2997" priority="213" operator="lessThan">
      <formula>5</formula>
    </cfRule>
    <cfRule type="cellIs" dxfId="2996" priority="214" operator="lessThan">
      <formula>5</formula>
    </cfRule>
    <cfRule type="cellIs" dxfId="2995" priority="215" operator="lessThan">
      <formula>5</formula>
    </cfRule>
  </conditionalFormatting>
  <conditionalFormatting sqref="Q30">
    <cfRule type="cellIs" dxfId="2994" priority="211" operator="lessThan">
      <formula>50</formula>
    </cfRule>
  </conditionalFormatting>
  <conditionalFormatting sqref="H31:O31">
    <cfRule type="cellIs" dxfId="2993" priority="207" operator="lessThan">
      <formula>50</formula>
    </cfRule>
    <cfRule type="cellIs" dxfId="2992" priority="208" operator="lessThan">
      <formula>5</formula>
    </cfRule>
    <cfRule type="cellIs" dxfId="2991" priority="209" operator="lessThan">
      <formula>5</formula>
    </cfRule>
    <cfRule type="cellIs" dxfId="2990" priority="210" operator="lessThan">
      <formula>5</formula>
    </cfRule>
  </conditionalFormatting>
  <conditionalFormatting sqref="Q31">
    <cfRule type="cellIs" dxfId="2989" priority="206" operator="lessThan">
      <formula>50</formula>
    </cfRule>
  </conditionalFormatting>
  <conditionalFormatting sqref="H32:O32">
    <cfRule type="cellIs" dxfId="2988" priority="202" operator="lessThan">
      <formula>50</formula>
    </cfRule>
    <cfRule type="cellIs" dxfId="2987" priority="203" operator="lessThan">
      <formula>5</formula>
    </cfRule>
    <cfRule type="cellIs" dxfId="2986" priority="204" operator="lessThan">
      <formula>5</formula>
    </cfRule>
    <cfRule type="cellIs" dxfId="2985" priority="205" operator="lessThan">
      <formula>5</formula>
    </cfRule>
  </conditionalFormatting>
  <conditionalFormatting sqref="Q32">
    <cfRule type="cellIs" dxfId="2984" priority="201" operator="lessThan">
      <formula>50</formula>
    </cfRule>
  </conditionalFormatting>
  <conditionalFormatting sqref="H33:O33">
    <cfRule type="cellIs" dxfId="2983" priority="197" operator="lessThan">
      <formula>50</formula>
    </cfRule>
    <cfRule type="cellIs" dxfId="2982" priority="198" operator="lessThan">
      <formula>5</formula>
    </cfRule>
    <cfRule type="cellIs" dxfId="2981" priority="199" operator="lessThan">
      <formula>5</formula>
    </cfRule>
    <cfRule type="cellIs" dxfId="2980" priority="200" operator="lessThan">
      <formula>5</formula>
    </cfRule>
  </conditionalFormatting>
  <conditionalFormatting sqref="Q33">
    <cfRule type="cellIs" dxfId="2979" priority="196" operator="lessThan">
      <formula>50</formula>
    </cfRule>
  </conditionalFormatting>
  <conditionalFormatting sqref="H34:O34">
    <cfRule type="cellIs" dxfId="2978" priority="192" operator="lessThan">
      <formula>50</formula>
    </cfRule>
    <cfRule type="cellIs" dxfId="2977" priority="193" operator="lessThan">
      <formula>5</formula>
    </cfRule>
    <cfRule type="cellIs" dxfId="2976" priority="194" operator="lessThan">
      <formula>5</formula>
    </cfRule>
    <cfRule type="cellIs" dxfId="2975" priority="195" operator="lessThan">
      <formula>5</formula>
    </cfRule>
  </conditionalFormatting>
  <conditionalFormatting sqref="Q34">
    <cfRule type="cellIs" dxfId="2974" priority="191" operator="lessThan">
      <formula>50</formula>
    </cfRule>
  </conditionalFormatting>
  <conditionalFormatting sqref="H35:O35">
    <cfRule type="cellIs" dxfId="2973" priority="187" operator="lessThan">
      <formula>50</formula>
    </cfRule>
    <cfRule type="cellIs" dxfId="2972" priority="188" operator="lessThan">
      <formula>5</formula>
    </cfRule>
    <cfRule type="cellIs" dxfId="2971" priority="189" operator="lessThan">
      <formula>5</formula>
    </cfRule>
    <cfRule type="cellIs" dxfId="2970" priority="190" operator="lessThan">
      <formula>5</formula>
    </cfRule>
  </conditionalFormatting>
  <conditionalFormatting sqref="Q35">
    <cfRule type="cellIs" dxfId="2969" priority="186" operator="lessThan">
      <formula>50</formula>
    </cfRule>
  </conditionalFormatting>
  <conditionalFormatting sqref="H36:O36">
    <cfRule type="cellIs" dxfId="2968" priority="182" operator="lessThan">
      <formula>50</formula>
    </cfRule>
    <cfRule type="cellIs" dxfId="2967" priority="183" operator="lessThan">
      <formula>5</formula>
    </cfRule>
    <cfRule type="cellIs" dxfId="2966" priority="184" operator="lessThan">
      <formula>5</formula>
    </cfRule>
    <cfRule type="cellIs" dxfId="2965" priority="185" operator="lessThan">
      <formula>5</formula>
    </cfRule>
  </conditionalFormatting>
  <conditionalFormatting sqref="Q36">
    <cfRule type="cellIs" dxfId="2964" priority="181" operator="lessThan">
      <formula>50</formula>
    </cfRule>
  </conditionalFormatting>
  <conditionalFormatting sqref="H37:O37">
    <cfRule type="cellIs" dxfId="2963" priority="177" operator="lessThan">
      <formula>50</formula>
    </cfRule>
    <cfRule type="cellIs" dxfId="2962" priority="178" operator="lessThan">
      <formula>5</formula>
    </cfRule>
    <cfRule type="cellIs" dxfId="2961" priority="179" operator="lessThan">
      <formula>5</formula>
    </cfRule>
    <cfRule type="cellIs" dxfId="2960" priority="180" operator="lessThan">
      <formula>5</formula>
    </cfRule>
  </conditionalFormatting>
  <conditionalFormatting sqref="Q37">
    <cfRule type="cellIs" dxfId="2959" priority="176" operator="lessThan">
      <formula>50</formula>
    </cfRule>
  </conditionalFormatting>
  <conditionalFormatting sqref="H38:O38">
    <cfRule type="cellIs" dxfId="2958" priority="172" operator="lessThan">
      <formula>50</formula>
    </cfRule>
    <cfRule type="cellIs" dxfId="2957" priority="173" operator="lessThan">
      <formula>5</formula>
    </cfRule>
    <cfRule type="cellIs" dxfId="2956" priority="174" operator="lessThan">
      <formula>5</formula>
    </cfRule>
    <cfRule type="cellIs" dxfId="2955" priority="175" operator="lessThan">
      <formula>5</formula>
    </cfRule>
  </conditionalFormatting>
  <conditionalFormatting sqref="Q38">
    <cfRule type="cellIs" dxfId="2954" priority="171" operator="lessThan">
      <formula>50</formula>
    </cfRule>
  </conditionalFormatting>
  <conditionalFormatting sqref="H39:O39">
    <cfRule type="cellIs" dxfId="2953" priority="167" operator="lessThan">
      <formula>50</formula>
    </cfRule>
    <cfRule type="cellIs" dxfId="2952" priority="168" operator="lessThan">
      <formula>5</formula>
    </cfRule>
    <cfRule type="cellIs" dxfId="2951" priority="169" operator="lessThan">
      <formula>5</formula>
    </cfRule>
    <cfRule type="cellIs" dxfId="2950" priority="170" operator="lessThan">
      <formula>5</formula>
    </cfRule>
  </conditionalFormatting>
  <conditionalFormatting sqref="Q39">
    <cfRule type="cellIs" dxfId="2949" priority="166" operator="lessThan">
      <formula>50</formula>
    </cfRule>
  </conditionalFormatting>
  <conditionalFormatting sqref="H40:O40">
    <cfRule type="cellIs" dxfId="2948" priority="162" operator="lessThan">
      <formula>50</formula>
    </cfRule>
    <cfRule type="cellIs" dxfId="2947" priority="163" operator="lessThan">
      <formula>5</formula>
    </cfRule>
    <cfRule type="cellIs" dxfId="2946" priority="164" operator="lessThan">
      <formula>5</formula>
    </cfRule>
    <cfRule type="cellIs" dxfId="2945" priority="165" operator="lessThan">
      <formula>5</formula>
    </cfRule>
  </conditionalFormatting>
  <conditionalFormatting sqref="Q40">
    <cfRule type="cellIs" dxfId="2944" priority="161" operator="lessThan">
      <formula>50</formula>
    </cfRule>
  </conditionalFormatting>
  <conditionalFormatting sqref="H41:O41">
    <cfRule type="cellIs" dxfId="2943" priority="157" operator="lessThan">
      <formula>50</formula>
    </cfRule>
    <cfRule type="cellIs" dxfId="2942" priority="158" operator="lessThan">
      <formula>5</formula>
    </cfRule>
    <cfRule type="cellIs" dxfId="2941" priority="159" operator="lessThan">
      <formula>5</formula>
    </cfRule>
    <cfRule type="cellIs" dxfId="2940" priority="160" operator="lessThan">
      <formula>5</formula>
    </cfRule>
  </conditionalFormatting>
  <conditionalFormatting sqref="Q41">
    <cfRule type="cellIs" dxfId="2939" priority="156" operator="lessThan">
      <formula>50</formula>
    </cfRule>
  </conditionalFormatting>
  <conditionalFormatting sqref="H42:O42">
    <cfRule type="cellIs" dxfId="2938" priority="152" operator="lessThan">
      <formula>50</formula>
    </cfRule>
    <cfRule type="cellIs" dxfId="2937" priority="153" operator="lessThan">
      <formula>5</formula>
    </cfRule>
    <cfRule type="cellIs" dxfId="2936" priority="154" operator="lessThan">
      <formula>5</formula>
    </cfRule>
    <cfRule type="cellIs" dxfId="2935" priority="155" operator="lessThan">
      <formula>5</formula>
    </cfRule>
  </conditionalFormatting>
  <conditionalFormatting sqref="Q42">
    <cfRule type="cellIs" dxfId="2934" priority="151" operator="lessThan">
      <formula>50</formula>
    </cfRule>
  </conditionalFormatting>
  <conditionalFormatting sqref="H43:O43">
    <cfRule type="cellIs" dxfId="2933" priority="147" operator="lessThan">
      <formula>50</formula>
    </cfRule>
    <cfRule type="cellIs" dxfId="2932" priority="148" operator="lessThan">
      <formula>5</formula>
    </cfRule>
    <cfRule type="cellIs" dxfId="2931" priority="149" operator="lessThan">
      <formula>5</formula>
    </cfRule>
    <cfRule type="cellIs" dxfId="2930" priority="150" operator="lessThan">
      <formula>5</formula>
    </cfRule>
  </conditionalFormatting>
  <conditionalFormatting sqref="Q43">
    <cfRule type="cellIs" dxfId="2929" priority="146" operator="lessThan">
      <formula>50</formula>
    </cfRule>
  </conditionalFormatting>
  <conditionalFormatting sqref="H44:O44">
    <cfRule type="cellIs" dxfId="2928" priority="142" operator="lessThan">
      <formula>50</formula>
    </cfRule>
    <cfRule type="cellIs" dxfId="2927" priority="143" operator="lessThan">
      <formula>5</formula>
    </cfRule>
    <cfRule type="cellIs" dxfId="2926" priority="144" operator="lessThan">
      <formula>5</formula>
    </cfRule>
    <cfRule type="cellIs" dxfId="2925" priority="145" operator="lessThan">
      <formula>5</formula>
    </cfRule>
  </conditionalFormatting>
  <conditionalFormatting sqref="Q44">
    <cfRule type="cellIs" dxfId="2924" priority="141" operator="lessThan">
      <formula>50</formula>
    </cfRule>
  </conditionalFormatting>
  <conditionalFormatting sqref="H45:O45">
    <cfRule type="cellIs" dxfId="2923" priority="137" operator="lessThan">
      <formula>50</formula>
    </cfRule>
    <cfRule type="cellIs" dxfId="2922" priority="138" operator="lessThan">
      <formula>5</formula>
    </cfRule>
    <cfRule type="cellIs" dxfId="2921" priority="139" operator="lessThan">
      <formula>5</formula>
    </cfRule>
    <cfRule type="cellIs" dxfId="2920" priority="140" operator="lessThan">
      <formula>5</formula>
    </cfRule>
  </conditionalFormatting>
  <conditionalFormatting sqref="Q45">
    <cfRule type="cellIs" dxfId="2919" priority="136" operator="lessThan">
      <formula>50</formula>
    </cfRule>
  </conditionalFormatting>
  <conditionalFormatting sqref="H46:O46">
    <cfRule type="cellIs" dxfId="2918" priority="132" operator="lessThan">
      <formula>50</formula>
    </cfRule>
    <cfRule type="cellIs" dxfId="2917" priority="133" operator="lessThan">
      <formula>5</formula>
    </cfRule>
    <cfRule type="cellIs" dxfId="2916" priority="134" operator="lessThan">
      <formula>5</formula>
    </cfRule>
    <cfRule type="cellIs" dxfId="2915" priority="135" operator="lessThan">
      <formula>5</formula>
    </cfRule>
  </conditionalFormatting>
  <conditionalFormatting sqref="Q46">
    <cfRule type="cellIs" dxfId="2914" priority="131" operator="lessThan">
      <formula>50</formula>
    </cfRule>
  </conditionalFormatting>
  <conditionalFormatting sqref="H47:O47">
    <cfRule type="cellIs" dxfId="2913" priority="127" operator="lessThan">
      <formula>50</formula>
    </cfRule>
    <cfRule type="cellIs" dxfId="2912" priority="128" operator="lessThan">
      <formula>5</formula>
    </cfRule>
    <cfRule type="cellIs" dxfId="2911" priority="129" operator="lessThan">
      <formula>5</formula>
    </cfRule>
    <cfRule type="cellIs" dxfId="2910" priority="130" operator="lessThan">
      <formula>5</formula>
    </cfRule>
  </conditionalFormatting>
  <conditionalFormatting sqref="Q47">
    <cfRule type="cellIs" dxfId="2909" priority="126" operator="lessThan">
      <formula>50</formula>
    </cfRule>
  </conditionalFormatting>
  <conditionalFormatting sqref="H48:O48">
    <cfRule type="cellIs" dxfId="2908" priority="122" operator="lessThan">
      <formula>50</formula>
    </cfRule>
    <cfRule type="cellIs" dxfId="2907" priority="123" operator="lessThan">
      <formula>5</formula>
    </cfRule>
    <cfRule type="cellIs" dxfId="2906" priority="124" operator="lessThan">
      <formula>5</formula>
    </cfRule>
    <cfRule type="cellIs" dxfId="2905" priority="125" operator="lessThan">
      <formula>5</formula>
    </cfRule>
  </conditionalFormatting>
  <conditionalFormatting sqref="Q48">
    <cfRule type="cellIs" dxfId="2904" priority="121" operator="lessThan">
      <formula>50</formula>
    </cfRule>
  </conditionalFormatting>
  <conditionalFormatting sqref="H49:O49">
    <cfRule type="cellIs" dxfId="2903" priority="117" operator="lessThan">
      <formula>50</formula>
    </cfRule>
    <cfRule type="cellIs" dxfId="2902" priority="118" operator="lessThan">
      <formula>5</formula>
    </cfRule>
    <cfRule type="cellIs" dxfId="2901" priority="119" operator="lessThan">
      <formula>5</formula>
    </cfRule>
    <cfRule type="cellIs" dxfId="2900" priority="120" operator="lessThan">
      <formula>5</formula>
    </cfRule>
  </conditionalFormatting>
  <conditionalFormatting sqref="Q49">
    <cfRule type="cellIs" dxfId="2899" priority="116" operator="lessThan">
      <formula>50</formula>
    </cfRule>
  </conditionalFormatting>
  <conditionalFormatting sqref="H50:O50">
    <cfRule type="cellIs" dxfId="2898" priority="112" operator="lessThan">
      <formula>50</formula>
    </cfRule>
    <cfRule type="cellIs" dxfId="2897" priority="113" operator="lessThan">
      <formula>5</formula>
    </cfRule>
    <cfRule type="cellIs" dxfId="2896" priority="114" operator="lessThan">
      <formula>5</formula>
    </cfRule>
    <cfRule type="cellIs" dxfId="2895" priority="115" operator="lessThan">
      <formula>5</formula>
    </cfRule>
  </conditionalFormatting>
  <conditionalFormatting sqref="Q50">
    <cfRule type="cellIs" dxfId="2894" priority="111" operator="lessThan">
      <formula>50</formula>
    </cfRule>
  </conditionalFormatting>
  <conditionalFormatting sqref="H51:O51">
    <cfRule type="cellIs" dxfId="2893" priority="107" operator="lessThan">
      <formula>50</formula>
    </cfRule>
    <cfRule type="cellIs" dxfId="2892" priority="108" operator="lessThan">
      <formula>5</formula>
    </cfRule>
    <cfRule type="cellIs" dxfId="2891" priority="109" operator="lessThan">
      <formula>5</formula>
    </cfRule>
    <cfRule type="cellIs" dxfId="2890" priority="110" operator="lessThan">
      <formula>5</formula>
    </cfRule>
  </conditionalFormatting>
  <conditionalFormatting sqref="Q51">
    <cfRule type="cellIs" dxfId="2889" priority="106" operator="lessThan">
      <formula>50</formula>
    </cfRule>
  </conditionalFormatting>
  <conditionalFormatting sqref="H52:O52">
    <cfRule type="cellIs" dxfId="2888" priority="102" operator="lessThan">
      <formula>50</formula>
    </cfRule>
    <cfRule type="cellIs" dxfId="2887" priority="103" operator="lessThan">
      <formula>5</formula>
    </cfRule>
    <cfRule type="cellIs" dxfId="2886" priority="104" operator="lessThan">
      <formula>5</formula>
    </cfRule>
    <cfRule type="cellIs" dxfId="2885" priority="105" operator="lessThan">
      <formula>5</formula>
    </cfRule>
  </conditionalFormatting>
  <conditionalFormatting sqref="Q52">
    <cfRule type="cellIs" dxfId="2884" priority="101" operator="lessThan">
      <formula>50</formula>
    </cfRule>
  </conditionalFormatting>
  <conditionalFormatting sqref="H53:O53">
    <cfRule type="cellIs" dxfId="2883" priority="97" operator="lessThan">
      <formula>50</formula>
    </cfRule>
    <cfRule type="cellIs" dxfId="2882" priority="98" operator="lessThan">
      <formula>5</formula>
    </cfRule>
    <cfRule type="cellIs" dxfId="2881" priority="99" operator="lessThan">
      <formula>5</formula>
    </cfRule>
    <cfRule type="cellIs" dxfId="2880" priority="100" operator="lessThan">
      <formula>5</formula>
    </cfRule>
  </conditionalFormatting>
  <conditionalFormatting sqref="Q53">
    <cfRule type="cellIs" dxfId="2879" priority="96" operator="lessThan">
      <formula>50</formula>
    </cfRule>
  </conditionalFormatting>
  <conditionalFormatting sqref="H54:O54">
    <cfRule type="cellIs" dxfId="2878" priority="92" operator="lessThan">
      <formula>50</formula>
    </cfRule>
    <cfRule type="cellIs" dxfId="2877" priority="93" operator="lessThan">
      <formula>5</formula>
    </cfRule>
    <cfRule type="cellIs" dxfId="2876" priority="94" operator="lessThan">
      <formula>5</formula>
    </cfRule>
    <cfRule type="cellIs" dxfId="2875" priority="95" operator="lessThan">
      <formula>5</formula>
    </cfRule>
  </conditionalFormatting>
  <conditionalFormatting sqref="Q54">
    <cfRule type="cellIs" dxfId="2874" priority="91" operator="lessThan">
      <formula>50</formula>
    </cfRule>
  </conditionalFormatting>
  <conditionalFormatting sqref="H55:O55">
    <cfRule type="cellIs" dxfId="2873" priority="87" operator="lessThan">
      <formula>50</formula>
    </cfRule>
    <cfRule type="cellIs" dxfId="2872" priority="88" operator="lessThan">
      <formula>5</formula>
    </cfRule>
    <cfRule type="cellIs" dxfId="2871" priority="89" operator="lessThan">
      <formula>5</formula>
    </cfRule>
    <cfRule type="cellIs" dxfId="2870" priority="90" operator="lessThan">
      <formula>5</formula>
    </cfRule>
  </conditionalFormatting>
  <conditionalFormatting sqref="Q55">
    <cfRule type="cellIs" dxfId="2869" priority="86" operator="lessThan">
      <formula>50</formula>
    </cfRule>
  </conditionalFormatting>
  <conditionalFormatting sqref="H56:O56">
    <cfRule type="cellIs" dxfId="2868" priority="82" operator="lessThan">
      <formula>50</formula>
    </cfRule>
    <cfRule type="cellIs" dxfId="2867" priority="83" operator="lessThan">
      <formula>5</formula>
    </cfRule>
    <cfRule type="cellIs" dxfId="2866" priority="84" operator="lessThan">
      <formula>5</formula>
    </cfRule>
    <cfRule type="cellIs" dxfId="2865" priority="85" operator="lessThan">
      <formula>5</formula>
    </cfRule>
  </conditionalFormatting>
  <conditionalFormatting sqref="Q56">
    <cfRule type="cellIs" dxfId="2864" priority="81" operator="lessThan">
      <formula>50</formula>
    </cfRule>
  </conditionalFormatting>
  <conditionalFormatting sqref="H57:O57">
    <cfRule type="cellIs" dxfId="2863" priority="77" operator="lessThan">
      <formula>50</formula>
    </cfRule>
    <cfRule type="cellIs" dxfId="2862" priority="78" operator="lessThan">
      <formula>5</formula>
    </cfRule>
    <cfRule type="cellIs" dxfId="2861" priority="79" operator="lessThan">
      <formula>5</formula>
    </cfRule>
    <cfRule type="cellIs" dxfId="2860" priority="80" operator="lessThan">
      <formula>5</formula>
    </cfRule>
  </conditionalFormatting>
  <conditionalFormatting sqref="Q57">
    <cfRule type="cellIs" dxfId="2859" priority="76" operator="lessThan">
      <formula>50</formula>
    </cfRule>
  </conditionalFormatting>
  <conditionalFormatting sqref="H58:O58">
    <cfRule type="cellIs" dxfId="2858" priority="72" operator="lessThan">
      <formula>50</formula>
    </cfRule>
    <cfRule type="cellIs" dxfId="2857" priority="73" operator="lessThan">
      <formula>5</formula>
    </cfRule>
    <cfRule type="cellIs" dxfId="2856" priority="74" operator="lessThan">
      <formula>5</formula>
    </cfRule>
    <cfRule type="cellIs" dxfId="2855" priority="75" operator="lessThan">
      <formula>5</formula>
    </cfRule>
  </conditionalFormatting>
  <conditionalFormatting sqref="Q58">
    <cfRule type="cellIs" dxfId="2854" priority="71" operator="lessThan">
      <formula>50</formula>
    </cfRule>
  </conditionalFormatting>
  <conditionalFormatting sqref="H59:O59">
    <cfRule type="cellIs" dxfId="2853" priority="67" operator="lessThan">
      <formula>50</formula>
    </cfRule>
    <cfRule type="cellIs" dxfId="2852" priority="68" operator="lessThan">
      <formula>5</formula>
    </cfRule>
    <cfRule type="cellIs" dxfId="2851" priority="69" operator="lessThan">
      <formula>5</formula>
    </cfRule>
    <cfRule type="cellIs" dxfId="2850" priority="70" operator="lessThan">
      <formula>5</formula>
    </cfRule>
  </conditionalFormatting>
  <conditionalFormatting sqref="Q59">
    <cfRule type="cellIs" dxfId="2849" priority="66" operator="lessThan">
      <formula>50</formula>
    </cfRule>
  </conditionalFormatting>
  <conditionalFormatting sqref="H60:O60">
    <cfRule type="cellIs" dxfId="2848" priority="62" operator="lessThan">
      <formula>50</formula>
    </cfRule>
    <cfRule type="cellIs" dxfId="2847" priority="63" operator="lessThan">
      <formula>5</formula>
    </cfRule>
    <cfRule type="cellIs" dxfId="2846" priority="64" operator="lessThan">
      <formula>5</formula>
    </cfRule>
    <cfRule type="cellIs" dxfId="2845" priority="65" operator="lessThan">
      <formula>5</formula>
    </cfRule>
  </conditionalFormatting>
  <conditionalFormatting sqref="Q60">
    <cfRule type="cellIs" dxfId="2844" priority="61" operator="lessThan">
      <formula>50</formula>
    </cfRule>
  </conditionalFormatting>
  <conditionalFormatting sqref="H61:O61">
    <cfRule type="cellIs" dxfId="2843" priority="57" operator="lessThan">
      <formula>50</formula>
    </cfRule>
    <cfRule type="cellIs" dxfId="2842" priority="58" operator="lessThan">
      <formula>5</formula>
    </cfRule>
    <cfRule type="cellIs" dxfId="2841" priority="59" operator="lessThan">
      <formula>5</formula>
    </cfRule>
    <cfRule type="cellIs" dxfId="2840" priority="60" operator="lessThan">
      <formula>5</formula>
    </cfRule>
  </conditionalFormatting>
  <conditionalFormatting sqref="Q61">
    <cfRule type="cellIs" dxfId="2839" priority="56" operator="lessThan">
      <formula>50</formula>
    </cfRule>
  </conditionalFormatting>
  <conditionalFormatting sqref="H62:O62">
    <cfRule type="cellIs" dxfId="2838" priority="52" operator="lessThan">
      <formula>50</formula>
    </cfRule>
    <cfRule type="cellIs" dxfId="2837" priority="53" operator="lessThan">
      <formula>5</formula>
    </cfRule>
    <cfRule type="cellIs" dxfId="2836" priority="54" operator="lessThan">
      <formula>5</formula>
    </cfRule>
    <cfRule type="cellIs" dxfId="2835" priority="55" operator="lessThan">
      <formula>5</formula>
    </cfRule>
  </conditionalFormatting>
  <conditionalFormatting sqref="Q62">
    <cfRule type="cellIs" dxfId="2834" priority="51" operator="lessThan">
      <formula>50</formula>
    </cfRule>
  </conditionalFormatting>
  <conditionalFormatting sqref="H63:O63">
    <cfRule type="cellIs" dxfId="2833" priority="47" operator="lessThan">
      <formula>50</formula>
    </cfRule>
    <cfRule type="cellIs" dxfId="2832" priority="48" operator="lessThan">
      <formula>5</formula>
    </cfRule>
    <cfRule type="cellIs" dxfId="2831" priority="49" operator="lessThan">
      <formula>5</formula>
    </cfRule>
    <cfRule type="cellIs" dxfId="2830" priority="50" operator="lessThan">
      <formula>5</formula>
    </cfRule>
  </conditionalFormatting>
  <conditionalFormatting sqref="Q63">
    <cfRule type="cellIs" dxfId="2829" priority="46" operator="lessThan">
      <formula>50</formula>
    </cfRule>
  </conditionalFormatting>
  <conditionalFormatting sqref="H64:O64">
    <cfRule type="cellIs" dxfId="2828" priority="42" operator="lessThan">
      <formula>50</formula>
    </cfRule>
    <cfRule type="cellIs" dxfId="2827" priority="43" operator="lessThan">
      <formula>5</formula>
    </cfRule>
    <cfRule type="cellIs" dxfId="2826" priority="44" operator="lessThan">
      <formula>5</formula>
    </cfRule>
    <cfRule type="cellIs" dxfId="2825" priority="45" operator="lessThan">
      <formula>5</formula>
    </cfRule>
  </conditionalFormatting>
  <conditionalFormatting sqref="Q64">
    <cfRule type="cellIs" dxfId="2824" priority="41" operator="lessThan">
      <formula>50</formula>
    </cfRule>
  </conditionalFormatting>
  <conditionalFormatting sqref="H65:O65">
    <cfRule type="cellIs" dxfId="2823" priority="37" operator="lessThan">
      <formula>50</formula>
    </cfRule>
    <cfRule type="cellIs" dxfId="2822" priority="38" operator="lessThan">
      <formula>5</formula>
    </cfRule>
    <cfRule type="cellIs" dxfId="2821" priority="39" operator="lessThan">
      <formula>5</formula>
    </cfRule>
    <cfRule type="cellIs" dxfId="2820" priority="40" operator="lessThan">
      <formula>5</formula>
    </cfRule>
  </conditionalFormatting>
  <conditionalFormatting sqref="Q65">
    <cfRule type="cellIs" dxfId="2819" priority="36" operator="lessThan">
      <formula>50</formula>
    </cfRule>
  </conditionalFormatting>
  <conditionalFormatting sqref="H66:O66">
    <cfRule type="cellIs" dxfId="2818" priority="32" operator="lessThan">
      <formula>50</formula>
    </cfRule>
    <cfRule type="cellIs" dxfId="2817" priority="33" operator="lessThan">
      <formula>5</formula>
    </cfRule>
    <cfRule type="cellIs" dxfId="2816" priority="34" operator="lessThan">
      <formula>5</formula>
    </cfRule>
    <cfRule type="cellIs" dxfId="2815" priority="35" operator="lessThan">
      <formula>5</formula>
    </cfRule>
  </conditionalFormatting>
  <conditionalFormatting sqref="Q66">
    <cfRule type="cellIs" dxfId="2814" priority="31" operator="lessThan">
      <formula>50</formula>
    </cfRule>
  </conditionalFormatting>
  <conditionalFormatting sqref="H67:O67">
    <cfRule type="cellIs" dxfId="2813" priority="27" operator="lessThan">
      <formula>50</formula>
    </cfRule>
    <cfRule type="cellIs" dxfId="2812" priority="28" operator="lessThan">
      <formula>5</formula>
    </cfRule>
    <cfRule type="cellIs" dxfId="2811" priority="29" operator="lessThan">
      <formula>5</formula>
    </cfRule>
    <cfRule type="cellIs" dxfId="2810" priority="30" operator="lessThan">
      <formula>5</formula>
    </cfRule>
  </conditionalFormatting>
  <conditionalFormatting sqref="Q67">
    <cfRule type="cellIs" dxfId="2809" priority="26" operator="lessThan">
      <formula>50</formula>
    </cfRule>
  </conditionalFormatting>
  <conditionalFormatting sqref="H68:O68">
    <cfRule type="cellIs" dxfId="2808" priority="22" operator="lessThan">
      <formula>50</formula>
    </cfRule>
    <cfRule type="cellIs" dxfId="2807" priority="23" operator="lessThan">
      <formula>5</formula>
    </cfRule>
    <cfRule type="cellIs" dxfId="2806" priority="24" operator="lessThan">
      <formula>5</formula>
    </cfRule>
    <cfRule type="cellIs" dxfId="2805" priority="25" operator="lessThan">
      <formula>5</formula>
    </cfRule>
  </conditionalFormatting>
  <conditionalFormatting sqref="Q68">
    <cfRule type="cellIs" dxfId="2804" priority="21" operator="lessThan">
      <formula>50</formula>
    </cfRule>
  </conditionalFormatting>
  <conditionalFormatting sqref="H69:O69">
    <cfRule type="cellIs" dxfId="2803" priority="17" operator="lessThan">
      <formula>50</formula>
    </cfRule>
    <cfRule type="cellIs" dxfId="2802" priority="18" operator="lessThan">
      <formula>5</formula>
    </cfRule>
    <cfRule type="cellIs" dxfId="2801" priority="19" operator="lessThan">
      <formula>5</formula>
    </cfRule>
    <cfRule type="cellIs" dxfId="2800" priority="20" operator="lessThan">
      <formula>5</formula>
    </cfRule>
  </conditionalFormatting>
  <conditionalFormatting sqref="Q69">
    <cfRule type="cellIs" dxfId="2799" priority="16" operator="lessThan">
      <formula>50</formula>
    </cfRule>
  </conditionalFormatting>
  <conditionalFormatting sqref="H70:O70">
    <cfRule type="cellIs" dxfId="2798" priority="12" operator="lessThan">
      <formula>50</formula>
    </cfRule>
    <cfRule type="cellIs" dxfId="2797" priority="13" operator="lessThan">
      <formula>5</formula>
    </cfRule>
    <cfRule type="cellIs" dxfId="2796" priority="14" operator="lessThan">
      <formula>5</formula>
    </cfRule>
    <cfRule type="cellIs" dxfId="2795" priority="15" operator="lessThan">
      <formula>5</formula>
    </cfRule>
  </conditionalFormatting>
  <conditionalFormatting sqref="Q70">
    <cfRule type="cellIs" dxfId="2794" priority="11" operator="lessThan">
      <formula>50</formula>
    </cfRule>
  </conditionalFormatting>
  <conditionalFormatting sqref="H71:O71">
    <cfRule type="cellIs" dxfId="2793" priority="7" operator="lessThan">
      <formula>50</formula>
    </cfRule>
    <cfRule type="cellIs" dxfId="2792" priority="8" operator="lessThan">
      <formula>5</formula>
    </cfRule>
    <cfRule type="cellIs" dxfId="2791" priority="9" operator="lessThan">
      <formula>5</formula>
    </cfRule>
    <cfRule type="cellIs" dxfId="2790" priority="10" operator="lessThan">
      <formula>5</formula>
    </cfRule>
  </conditionalFormatting>
  <conditionalFormatting sqref="Q71">
    <cfRule type="cellIs" dxfId="2789" priority="6" operator="lessThan">
      <formula>50</formula>
    </cfRule>
  </conditionalFormatting>
  <conditionalFormatting sqref="H72:O72">
    <cfRule type="cellIs" dxfId="2788" priority="2" operator="lessThan">
      <formula>50</formula>
    </cfRule>
    <cfRule type="cellIs" dxfId="2787" priority="3" operator="lessThan">
      <formula>5</formula>
    </cfRule>
    <cfRule type="cellIs" dxfId="2786" priority="4" operator="lessThan">
      <formula>5</formula>
    </cfRule>
    <cfRule type="cellIs" dxfId="2785" priority="5" operator="lessThan">
      <formula>5</formula>
    </cfRule>
  </conditionalFormatting>
  <conditionalFormatting sqref="Q72">
    <cfRule type="cellIs" dxfId="2784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7:E7 D10:E13 D15:E15 D18 D27:E27 D30:E30 D33:E39 D42:E42 D46:E49" xr:uid="{0797891D-FD32-44C2-BF82-AE62D320031D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CAB1-F304-40CC-9FAB-47784A1095A9}">
  <sheetPr codeName="Sheet109"/>
  <dimension ref="A1:R61"/>
  <sheetViews>
    <sheetView showGridLines="0" workbookViewId="0">
      <selection activeCell="D27" sqref="D27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5" width="4.7109375" customWidth="1"/>
    <col min="16" max="16" width="6.7109375" customWidth="1"/>
    <col min="17" max="18" width="4.7109375" customWidth="1"/>
  </cols>
  <sheetData>
    <row r="1" spans="1:18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  <c r="R1" s="11"/>
    </row>
    <row r="2" spans="1:18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  <c r="R2" s="11"/>
    </row>
    <row r="3" spans="1:18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  <c r="R3" s="11"/>
    </row>
    <row r="4" spans="1:18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  <c r="R4" s="11"/>
    </row>
    <row r="5" spans="1:18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2"/>
    </row>
    <row r="6" spans="1:18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54" t="s">
        <v>47</v>
      </c>
      <c r="H6" s="39" t="s">
        <v>16</v>
      </c>
      <c r="I6" s="39" t="s">
        <v>3</v>
      </c>
      <c r="J6" s="39" t="s">
        <v>22</v>
      </c>
      <c r="K6" s="39" t="s">
        <v>23</v>
      </c>
      <c r="L6" s="39" t="s">
        <v>24</v>
      </c>
      <c r="M6" s="39" t="s">
        <v>25</v>
      </c>
      <c r="N6" s="39" t="s">
        <v>26</v>
      </c>
      <c r="O6" s="39" t="s">
        <v>27</v>
      </c>
      <c r="P6" s="39" t="s">
        <v>5320</v>
      </c>
      <c r="Q6" s="39" t="s">
        <v>5321</v>
      </c>
      <c r="R6" s="39" t="s">
        <v>5324</v>
      </c>
    </row>
    <row r="7" spans="1:18" ht="18" customHeight="1" thickTop="1">
      <c r="A7" s="19">
        <v>1</v>
      </c>
      <c r="B7" s="2" t="s">
        <v>4188</v>
      </c>
      <c r="C7" s="1">
        <v>4232662</v>
      </c>
      <c r="D7" s="3" t="s">
        <v>4189</v>
      </c>
      <c r="E7" s="1" t="s">
        <v>55</v>
      </c>
      <c r="F7" s="10" t="s">
        <v>4164</v>
      </c>
      <c r="G7" s="5" t="s">
        <v>2729</v>
      </c>
      <c r="H7" s="6">
        <v>88</v>
      </c>
      <c r="I7" s="6">
        <v>85</v>
      </c>
      <c r="J7" s="6">
        <v>100</v>
      </c>
      <c r="K7" s="6">
        <v>84</v>
      </c>
      <c r="L7" s="6">
        <v>100</v>
      </c>
      <c r="M7" s="6">
        <v>100</v>
      </c>
      <c r="N7" s="6">
        <v>98</v>
      </c>
      <c r="O7" s="6">
        <v>100</v>
      </c>
      <c r="P7" s="1">
        <f t="shared" ref="P7:P38" si="0">SUBTOTAL(9,H7:O7)</f>
        <v>755</v>
      </c>
      <c r="Q7" s="14">
        <f t="shared" ref="Q7:Q38" si="1">P7/8</f>
        <v>94.375</v>
      </c>
      <c r="R7" s="20">
        <f t="shared" ref="R7:R38" si="2">RANK(Q7,Q$7:Q$231,0)</f>
        <v>1</v>
      </c>
    </row>
    <row r="8" spans="1:18" ht="18" customHeight="1">
      <c r="A8" s="19">
        <v>2</v>
      </c>
      <c r="B8" s="2" t="s">
        <v>4224</v>
      </c>
      <c r="C8" s="1">
        <v>4232848</v>
      </c>
      <c r="D8" s="3" t="s">
        <v>4225</v>
      </c>
      <c r="E8" s="1" t="s">
        <v>58</v>
      </c>
      <c r="F8" s="10" t="s">
        <v>4164</v>
      </c>
      <c r="G8" s="2">
        <v>10</v>
      </c>
      <c r="H8" s="6">
        <v>68</v>
      </c>
      <c r="I8" s="6">
        <v>100</v>
      </c>
      <c r="J8" s="6">
        <v>92</v>
      </c>
      <c r="K8" s="6">
        <v>100</v>
      </c>
      <c r="L8" s="6">
        <v>92</v>
      </c>
      <c r="M8" s="6">
        <v>88</v>
      </c>
      <c r="N8" s="6">
        <v>100</v>
      </c>
      <c r="O8" s="6">
        <v>100</v>
      </c>
      <c r="P8" s="1">
        <f t="shared" si="0"/>
        <v>740</v>
      </c>
      <c r="Q8" s="14">
        <f t="shared" si="1"/>
        <v>92.5</v>
      </c>
      <c r="R8" s="20">
        <f t="shared" si="2"/>
        <v>2</v>
      </c>
    </row>
    <row r="9" spans="1:18" ht="18" customHeight="1">
      <c r="A9" s="19">
        <v>3</v>
      </c>
      <c r="B9" s="2" t="s">
        <v>4240</v>
      </c>
      <c r="C9" s="1">
        <v>311220852</v>
      </c>
      <c r="D9" s="3" t="s">
        <v>4241</v>
      </c>
      <c r="E9" s="1" t="s">
        <v>84</v>
      </c>
      <c r="F9" s="10" t="s">
        <v>4164</v>
      </c>
      <c r="G9" s="2">
        <v>11</v>
      </c>
      <c r="H9" s="6">
        <v>72</v>
      </c>
      <c r="I9" s="6">
        <v>100</v>
      </c>
      <c r="J9" s="6">
        <v>76</v>
      </c>
      <c r="K9" s="6">
        <v>76</v>
      </c>
      <c r="L9" s="6">
        <v>68</v>
      </c>
      <c r="M9" s="6">
        <v>76</v>
      </c>
      <c r="N9" s="6">
        <v>88</v>
      </c>
      <c r="O9" s="6">
        <v>88</v>
      </c>
      <c r="P9" s="1">
        <f t="shared" si="0"/>
        <v>644</v>
      </c>
      <c r="Q9" s="14">
        <f t="shared" si="1"/>
        <v>80.5</v>
      </c>
      <c r="R9" s="20">
        <f t="shared" si="2"/>
        <v>3</v>
      </c>
    </row>
    <row r="10" spans="1:18" ht="18" customHeight="1">
      <c r="A10" s="19">
        <v>4</v>
      </c>
      <c r="B10" s="2" t="s">
        <v>4268</v>
      </c>
      <c r="C10" s="1" t="s">
        <v>4269</v>
      </c>
      <c r="D10" s="3" t="s">
        <v>94</v>
      </c>
      <c r="E10" s="1" t="s">
        <v>67</v>
      </c>
      <c r="F10" s="10" t="s">
        <v>4164</v>
      </c>
      <c r="G10" s="2">
        <v>12</v>
      </c>
      <c r="H10" s="6">
        <v>80</v>
      </c>
      <c r="I10" s="6">
        <v>100</v>
      </c>
      <c r="J10" s="6">
        <v>76</v>
      </c>
      <c r="K10" s="6">
        <v>88</v>
      </c>
      <c r="L10" s="6">
        <v>72</v>
      </c>
      <c r="M10" s="6">
        <v>88</v>
      </c>
      <c r="N10" s="6">
        <v>84</v>
      </c>
      <c r="O10" s="6">
        <v>56</v>
      </c>
      <c r="P10" s="1">
        <f t="shared" si="0"/>
        <v>644</v>
      </c>
      <c r="Q10" s="14">
        <f t="shared" si="1"/>
        <v>80.5</v>
      </c>
      <c r="R10" s="20">
        <f t="shared" si="2"/>
        <v>3</v>
      </c>
    </row>
    <row r="11" spans="1:18" ht="18" customHeight="1">
      <c r="A11" s="19">
        <v>5</v>
      </c>
      <c r="B11" s="2" t="s">
        <v>4273</v>
      </c>
      <c r="C11" s="1">
        <v>4232770</v>
      </c>
      <c r="D11" s="3" t="s">
        <v>4274</v>
      </c>
      <c r="E11" s="1" t="s">
        <v>353</v>
      </c>
      <c r="F11" s="10" t="s">
        <v>4164</v>
      </c>
      <c r="G11" s="2">
        <v>12</v>
      </c>
      <c r="H11" s="6">
        <v>76</v>
      </c>
      <c r="I11" s="6">
        <v>100</v>
      </c>
      <c r="J11" s="6">
        <v>72</v>
      </c>
      <c r="K11" s="6">
        <v>68</v>
      </c>
      <c r="L11" s="6">
        <v>60</v>
      </c>
      <c r="M11" s="6">
        <v>76</v>
      </c>
      <c r="N11" s="6">
        <v>100</v>
      </c>
      <c r="O11" s="6">
        <v>84</v>
      </c>
      <c r="P11" s="1">
        <f t="shared" si="0"/>
        <v>636</v>
      </c>
      <c r="Q11" s="14">
        <f t="shared" si="1"/>
        <v>79.5</v>
      </c>
      <c r="R11" s="20">
        <f t="shared" si="2"/>
        <v>5</v>
      </c>
    </row>
    <row r="12" spans="1:18" ht="18" customHeight="1">
      <c r="A12" s="19">
        <v>6</v>
      </c>
      <c r="B12" s="2" t="s">
        <v>4250</v>
      </c>
      <c r="C12" s="1">
        <v>311220960</v>
      </c>
      <c r="D12" s="3" t="s">
        <v>4251</v>
      </c>
      <c r="E12" s="1" t="s">
        <v>74</v>
      </c>
      <c r="F12" s="10" t="s">
        <v>4164</v>
      </c>
      <c r="G12" s="2">
        <v>11</v>
      </c>
      <c r="H12" s="6">
        <v>72</v>
      </c>
      <c r="I12" s="6">
        <v>100</v>
      </c>
      <c r="J12" s="6">
        <v>84</v>
      </c>
      <c r="K12" s="6">
        <v>80</v>
      </c>
      <c r="L12" s="6">
        <v>92</v>
      </c>
      <c r="M12" s="6">
        <v>76</v>
      </c>
      <c r="N12" s="6">
        <v>84</v>
      </c>
      <c r="O12" s="6">
        <v>44</v>
      </c>
      <c r="P12" s="1">
        <f t="shared" si="0"/>
        <v>632</v>
      </c>
      <c r="Q12" s="14">
        <f t="shared" si="1"/>
        <v>79</v>
      </c>
      <c r="R12" s="20">
        <f t="shared" si="2"/>
        <v>6</v>
      </c>
    </row>
    <row r="13" spans="1:18" ht="18" customHeight="1">
      <c r="A13" s="19">
        <v>7</v>
      </c>
      <c r="B13" s="2" t="s">
        <v>4190</v>
      </c>
      <c r="C13" s="1" t="s">
        <v>4191</v>
      </c>
      <c r="D13" s="3" t="s">
        <v>4192</v>
      </c>
      <c r="E13" s="1" t="s">
        <v>55</v>
      </c>
      <c r="F13" s="10" t="s">
        <v>4164</v>
      </c>
      <c r="G13" s="2" t="s">
        <v>2729</v>
      </c>
      <c r="H13" s="6">
        <v>64</v>
      </c>
      <c r="I13" s="6">
        <v>100</v>
      </c>
      <c r="J13" s="6">
        <v>88</v>
      </c>
      <c r="K13" s="6">
        <v>80</v>
      </c>
      <c r="L13" s="6">
        <v>92</v>
      </c>
      <c r="M13" s="6">
        <v>72</v>
      </c>
      <c r="N13" s="6">
        <v>52</v>
      </c>
      <c r="O13" s="6">
        <v>80</v>
      </c>
      <c r="P13" s="1">
        <f t="shared" si="0"/>
        <v>628</v>
      </c>
      <c r="Q13" s="14">
        <f t="shared" si="1"/>
        <v>78.5</v>
      </c>
      <c r="R13" s="20">
        <f t="shared" si="2"/>
        <v>7</v>
      </c>
    </row>
    <row r="14" spans="1:18" ht="18" customHeight="1">
      <c r="A14" s="19">
        <v>8</v>
      </c>
      <c r="B14" s="2" t="s">
        <v>4238</v>
      </c>
      <c r="C14" s="1">
        <v>4232647</v>
      </c>
      <c r="D14" s="3" t="s">
        <v>4239</v>
      </c>
      <c r="E14" s="1" t="s">
        <v>84</v>
      </c>
      <c r="F14" s="10" t="s">
        <v>4164</v>
      </c>
      <c r="G14" s="2">
        <v>11</v>
      </c>
      <c r="H14" s="6">
        <v>76</v>
      </c>
      <c r="I14" s="6">
        <v>95</v>
      </c>
      <c r="J14" s="6">
        <v>88</v>
      </c>
      <c r="K14" s="6">
        <v>72</v>
      </c>
      <c r="L14" s="6">
        <v>40</v>
      </c>
      <c r="M14" s="6">
        <v>80</v>
      </c>
      <c r="N14" s="6">
        <v>76</v>
      </c>
      <c r="O14" s="6">
        <v>88</v>
      </c>
      <c r="P14" s="1">
        <f t="shared" si="0"/>
        <v>615</v>
      </c>
      <c r="Q14" s="14">
        <f t="shared" si="1"/>
        <v>76.875</v>
      </c>
      <c r="R14" s="20">
        <f t="shared" si="2"/>
        <v>8</v>
      </c>
    </row>
    <row r="15" spans="1:18" ht="18" customHeight="1">
      <c r="A15" s="19">
        <v>9</v>
      </c>
      <c r="B15" s="2" t="s">
        <v>4228</v>
      </c>
      <c r="C15" s="1">
        <v>311240452</v>
      </c>
      <c r="D15" s="3" t="s">
        <v>4229</v>
      </c>
      <c r="E15" s="1" t="s">
        <v>73</v>
      </c>
      <c r="F15" s="10" t="s">
        <v>4164</v>
      </c>
      <c r="G15" s="2">
        <v>10</v>
      </c>
      <c r="H15" s="6">
        <v>60</v>
      </c>
      <c r="I15" s="6">
        <v>100</v>
      </c>
      <c r="J15" s="6">
        <v>80</v>
      </c>
      <c r="K15" s="6">
        <v>84</v>
      </c>
      <c r="L15" s="6">
        <v>56</v>
      </c>
      <c r="M15" s="6">
        <v>68</v>
      </c>
      <c r="N15" s="6">
        <v>92</v>
      </c>
      <c r="O15" s="6">
        <v>48</v>
      </c>
      <c r="P15" s="1">
        <f t="shared" si="0"/>
        <v>588</v>
      </c>
      <c r="Q15" s="14">
        <f t="shared" si="1"/>
        <v>73.5</v>
      </c>
      <c r="R15" s="20">
        <f t="shared" si="2"/>
        <v>9</v>
      </c>
    </row>
    <row r="16" spans="1:18" ht="18" customHeight="1">
      <c r="A16" s="19">
        <v>10</v>
      </c>
      <c r="B16" s="2" t="s">
        <v>4175</v>
      </c>
      <c r="C16" s="1">
        <v>4232614</v>
      </c>
      <c r="D16" s="3" t="s">
        <v>4176</v>
      </c>
      <c r="E16" s="1" t="s">
        <v>90</v>
      </c>
      <c r="F16" s="10" t="s">
        <v>4164</v>
      </c>
      <c r="G16" s="2" t="s">
        <v>2729</v>
      </c>
      <c r="H16" s="6">
        <v>60</v>
      </c>
      <c r="I16" s="6">
        <v>100</v>
      </c>
      <c r="J16" s="6">
        <v>84</v>
      </c>
      <c r="K16" s="6">
        <v>64</v>
      </c>
      <c r="L16" s="6">
        <v>60</v>
      </c>
      <c r="M16" s="6">
        <v>84</v>
      </c>
      <c r="N16" s="6">
        <v>56</v>
      </c>
      <c r="O16" s="6">
        <v>72</v>
      </c>
      <c r="P16" s="1">
        <f t="shared" si="0"/>
        <v>580</v>
      </c>
      <c r="Q16" s="14">
        <f t="shared" si="1"/>
        <v>72.5</v>
      </c>
      <c r="R16" s="20">
        <f t="shared" si="2"/>
        <v>10</v>
      </c>
    </row>
    <row r="17" spans="1:18" ht="18" customHeight="1">
      <c r="A17" s="19">
        <v>11</v>
      </c>
      <c r="B17" s="2" t="s">
        <v>4242</v>
      </c>
      <c r="C17" s="1">
        <v>4232744</v>
      </c>
      <c r="D17" s="3" t="s">
        <v>4243</v>
      </c>
      <c r="E17" s="1" t="s">
        <v>63</v>
      </c>
      <c r="F17" s="10" t="s">
        <v>4164</v>
      </c>
      <c r="G17" s="2">
        <v>11</v>
      </c>
      <c r="H17" s="6">
        <v>56</v>
      </c>
      <c r="I17" s="6">
        <v>100</v>
      </c>
      <c r="J17" s="6">
        <v>52</v>
      </c>
      <c r="K17" s="6">
        <v>76</v>
      </c>
      <c r="L17" s="6">
        <v>80</v>
      </c>
      <c r="M17" s="6">
        <v>88</v>
      </c>
      <c r="N17" s="6">
        <v>60</v>
      </c>
      <c r="O17" s="6">
        <v>68</v>
      </c>
      <c r="P17" s="1">
        <f t="shared" si="0"/>
        <v>580</v>
      </c>
      <c r="Q17" s="14">
        <f t="shared" si="1"/>
        <v>72.5</v>
      </c>
      <c r="R17" s="20">
        <f t="shared" si="2"/>
        <v>10</v>
      </c>
    </row>
    <row r="18" spans="1:18" ht="18" customHeight="1">
      <c r="A18" s="19">
        <v>12</v>
      </c>
      <c r="B18" s="2" t="s">
        <v>4275</v>
      </c>
      <c r="C18" s="1" t="s">
        <v>4276</v>
      </c>
      <c r="D18" s="3" t="s">
        <v>4277</v>
      </c>
      <c r="E18" s="1" t="s">
        <v>75</v>
      </c>
      <c r="F18" s="10" t="s">
        <v>4164</v>
      </c>
      <c r="G18" s="2">
        <v>12</v>
      </c>
      <c r="H18" s="6">
        <v>60</v>
      </c>
      <c r="I18" s="6">
        <v>100</v>
      </c>
      <c r="J18" s="6">
        <v>56</v>
      </c>
      <c r="K18" s="6">
        <v>72</v>
      </c>
      <c r="L18" s="6">
        <v>64</v>
      </c>
      <c r="M18" s="6">
        <v>88</v>
      </c>
      <c r="N18" s="6">
        <v>72</v>
      </c>
      <c r="O18" s="6">
        <v>68</v>
      </c>
      <c r="P18" s="1">
        <f t="shared" si="0"/>
        <v>580</v>
      </c>
      <c r="Q18" s="14">
        <f t="shared" si="1"/>
        <v>72.5</v>
      </c>
      <c r="R18" s="20">
        <f t="shared" si="2"/>
        <v>10</v>
      </c>
    </row>
    <row r="19" spans="1:18" ht="18" customHeight="1">
      <c r="A19" s="19">
        <v>13</v>
      </c>
      <c r="B19" s="2" t="s">
        <v>4196</v>
      </c>
      <c r="C19" s="1" t="s">
        <v>4197</v>
      </c>
      <c r="D19" s="3" t="s">
        <v>4198</v>
      </c>
      <c r="E19" s="1" t="s">
        <v>57</v>
      </c>
      <c r="F19" s="10" t="s">
        <v>4164</v>
      </c>
      <c r="G19" s="2">
        <v>10</v>
      </c>
      <c r="H19" s="6">
        <v>36</v>
      </c>
      <c r="I19" s="6">
        <v>100</v>
      </c>
      <c r="J19" s="6">
        <v>68</v>
      </c>
      <c r="K19" s="6">
        <v>76</v>
      </c>
      <c r="L19" s="6">
        <v>76</v>
      </c>
      <c r="M19" s="6">
        <v>86</v>
      </c>
      <c r="N19" s="6">
        <v>84</v>
      </c>
      <c r="O19" s="6">
        <v>48</v>
      </c>
      <c r="P19" s="1">
        <f t="shared" si="0"/>
        <v>574</v>
      </c>
      <c r="Q19" s="14">
        <f t="shared" si="1"/>
        <v>71.75</v>
      </c>
      <c r="R19" s="20">
        <f t="shared" si="2"/>
        <v>13</v>
      </c>
    </row>
    <row r="20" spans="1:18" ht="18" customHeight="1">
      <c r="A20" s="19">
        <v>14</v>
      </c>
      <c r="B20" s="2" t="s">
        <v>4230</v>
      </c>
      <c r="C20" s="1">
        <v>4232748</v>
      </c>
      <c r="D20" s="3" t="s">
        <v>4231</v>
      </c>
      <c r="E20" s="1" t="s">
        <v>73</v>
      </c>
      <c r="F20" s="10" t="s">
        <v>4164</v>
      </c>
      <c r="G20" s="2">
        <v>10</v>
      </c>
      <c r="H20" s="6">
        <v>56</v>
      </c>
      <c r="I20" s="6">
        <v>100</v>
      </c>
      <c r="J20" s="6">
        <v>76</v>
      </c>
      <c r="K20" s="6">
        <v>68</v>
      </c>
      <c r="L20" s="6">
        <v>72</v>
      </c>
      <c r="M20" s="6">
        <v>64</v>
      </c>
      <c r="N20" s="6">
        <v>76</v>
      </c>
      <c r="O20" s="6">
        <v>60</v>
      </c>
      <c r="P20" s="1">
        <f t="shared" si="0"/>
        <v>572</v>
      </c>
      <c r="Q20" s="14">
        <f t="shared" si="1"/>
        <v>71.5</v>
      </c>
      <c r="R20" s="20">
        <f t="shared" si="2"/>
        <v>14</v>
      </c>
    </row>
    <row r="21" spans="1:18" ht="18" customHeight="1">
      <c r="A21" s="19">
        <v>15</v>
      </c>
      <c r="B21" s="2" t="s">
        <v>4252</v>
      </c>
      <c r="C21" s="1" t="s">
        <v>4253</v>
      </c>
      <c r="D21" s="3" t="s">
        <v>4254</v>
      </c>
      <c r="E21" s="1" t="s">
        <v>74</v>
      </c>
      <c r="F21" s="10" t="s">
        <v>4164</v>
      </c>
      <c r="G21" s="2">
        <v>11</v>
      </c>
      <c r="H21" s="6">
        <v>60</v>
      </c>
      <c r="I21" s="6">
        <v>100</v>
      </c>
      <c r="J21" s="6">
        <v>60</v>
      </c>
      <c r="K21" s="6">
        <v>48</v>
      </c>
      <c r="L21" s="6">
        <v>88</v>
      </c>
      <c r="M21" s="6">
        <v>88</v>
      </c>
      <c r="N21" s="6">
        <v>76</v>
      </c>
      <c r="O21" s="6">
        <v>44</v>
      </c>
      <c r="P21" s="1">
        <f t="shared" si="0"/>
        <v>564</v>
      </c>
      <c r="Q21" s="14">
        <f t="shared" si="1"/>
        <v>70.5</v>
      </c>
      <c r="R21" s="20">
        <f t="shared" si="2"/>
        <v>15</v>
      </c>
    </row>
    <row r="22" spans="1:18" ht="18" customHeight="1">
      <c r="A22" s="19">
        <v>16</v>
      </c>
      <c r="B22" s="2" t="s">
        <v>4226</v>
      </c>
      <c r="C22" s="1">
        <v>4232887</v>
      </c>
      <c r="D22" s="3" t="s">
        <v>4227</v>
      </c>
      <c r="E22" s="1" t="s">
        <v>73</v>
      </c>
      <c r="F22" s="10" t="s">
        <v>4164</v>
      </c>
      <c r="G22" s="2">
        <v>10</v>
      </c>
      <c r="H22" s="6">
        <v>28</v>
      </c>
      <c r="I22" s="6">
        <v>95</v>
      </c>
      <c r="J22" s="6">
        <v>72</v>
      </c>
      <c r="K22" s="6">
        <v>76</v>
      </c>
      <c r="L22" s="6">
        <v>40</v>
      </c>
      <c r="M22" s="6">
        <v>80</v>
      </c>
      <c r="N22" s="6">
        <v>88</v>
      </c>
      <c r="O22" s="6">
        <v>72</v>
      </c>
      <c r="P22" s="1">
        <f t="shared" si="0"/>
        <v>551</v>
      </c>
      <c r="Q22" s="14">
        <f t="shared" si="1"/>
        <v>68.875</v>
      </c>
      <c r="R22" s="20">
        <f t="shared" si="2"/>
        <v>16</v>
      </c>
    </row>
    <row r="23" spans="1:18" ht="18" customHeight="1">
      <c r="A23" s="19">
        <v>17</v>
      </c>
      <c r="B23" s="2" t="s">
        <v>4202</v>
      </c>
      <c r="C23" s="1" t="s">
        <v>4203</v>
      </c>
      <c r="D23" s="3" t="s">
        <v>4204</v>
      </c>
      <c r="E23" s="1" t="s">
        <v>71</v>
      </c>
      <c r="F23" s="10" t="s">
        <v>4164</v>
      </c>
      <c r="G23" s="2">
        <v>10</v>
      </c>
      <c r="H23" s="6">
        <v>72</v>
      </c>
      <c r="I23" s="6">
        <v>95</v>
      </c>
      <c r="J23" s="6">
        <v>72</v>
      </c>
      <c r="K23" s="6">
        <v>56</v>
      </c>
      <c r="L23" s="6">
        <v>60</v>
      </c>
      <c r="M23" s="6">
        <v>40</v>
      </c>
      <c r="N23" s="6">
        <v>80</v>
      </c>
      <c r="O23" s="6">
        <v>68</v>
      </c>
      <c r="P23" s="1">
        <f t="shared" si="0"/>
        <v>543</v>
      </c>
      <c r="Q23" s="14">
        <f t="shared" si="1"/>
        <v>67.875</v>
      </c>
      <c r="R23" s="20">
        <f t="shared" si="2"/>
        <v>17</v>
      </c>
    </row>
    <row r="24" spans="1:18" ht="18" customHeight="1">
      <c r="A24" s="19">
        <v>18</v>
      </c>
      <c r="B24" s="2" t="s">
        <v>4236</v>
      </c>
      <c r="C24" s="1">
        <v>311220827</v>
      </c>
      <c r="D24" s="3" t="s">
        <v>4237</v>
      </c>
      <c r="E24" s="1" t="s">
        <v>84</v>
      </c>
      <c r="F24" s="10" t="s">
        <v>4164</v>
      </c>
      <c r="G24" s="2">
        <v>11</v>
      </c>
      <c r="H24" s="6">
        <v>80</v>
      </c>
      <c r="I24" s="6">
        <v>100</v>
      </c>
      <c r="J24" s="6">
        <v>56</v>
      </c>
      <c r="K24" s="6">
        <v>64</v>
      </c>
      <c r="L24" s="6">
        <v>62</v>
      </c>
      <c r="M24" s="6">
        <v>50</v>
      </c>
      <c r="N24" s="6">
        <v>72</v>
      </c>
      <c r="O24" s="6">
        <v>56</v>
      </c>
      <c r="P24" s="1">
        <f t="shared" si="0"/>
        <v>540</v>
      </c>
      <c r="Q24" s="14">
        <f t="shared" si="1"/>
        <v>67.5</v>
      </c>
      <c r="R24" s="20">
        <f t="shared" si="2"/>
        <v>18</v>
      </c>
    </row>
    <row r="25" spans="1:18" ht="18" customHeight="1">
      <c r="A25" s="19">
        <v>19</v>
      </c>
      <c r="B25" s="2" t="s">
        <v>4193</v>
      </c>
      <c r="C25" s="1" t="s">
        <v>4194</v>
      </c>
      <c r="D25" s="3" t="s">
        <v>4195</v>
      </c>
      <c r="E25" s="1" t="s">
        <v>55</v>
      </c>
      <c r="F25" s="10" t="s">
        <v>4164</v>
      </c>
      <c r="G25" s="2" t="s">
        <v>2729</v>
      </c>
      <c r="H25" s="6">
        <v>40</v>
      </c>
      <c r="I25" s="6">
        <v>100</v>
      </c>
      <c r="J25" s="6">
        <v>36</v>
      </c>
      <c r="K25" s="6">
        <v>64</v>
      </c>
      <c r="L25" s="6">
        <v>64</v>
      </c>
      <c r="M25" s="6">
        <v>68</v>
      </c>
      <c r="N25" s="6">
        <v>89</v>
      </c>
      <c r="O25" s="6">
        <v>60</v>
      </c>
      <c r="P25" s="1">
        <f t="shared" si="0"/>
        <v>521</v>
      </c>
      <c r="Q25" s="14">
        <f t="shared" si="1"/>
        <v>65.125</v>
      </c>
      <c r="R25" s="20">
        <f t="shared" si="2"/>
        <v>19</v>
      </c>
    </row>
    <row r="26" spans="1:18" ht="18" customHeight="1">
      <c r="A26" s="19">
        <v>20</v>
      </c>
      <c r="B26" s="2" t="s">
        <v>4280</v>
      </c>
      <c r="C26" s="1">
        <v>311260324</v>
      </c>
      <c r="D26" s="3" t="s">
        <v>89</v>
      </c>
      <c r="E26" s="1" t="s">
        <v>90</v>
      </c>
      <c r="F26" s="10" t="s">
        <v>4164</v>
      </c>
      <c r="G26" s="2">
        <v>12</v>
      </c>
      <c r="H26" s="6">
        <v>60</v>
      </c>
      <c r="I26" s="6">
        <v>55</v>
      </c>
      <c r="J26" s="6">
        <v>56</v>
      </c>
      <c r="K26" s="6">
        <v>72</v>
      </c>
      <c r="L26" s="6">
        <v>36</v>
      </c>
      <c r="M26" s="6">
        <v>72</v>
      </c>
      <c r="N26" s="6">
        <v>76</v>
      </c>
      <c r="O26" s="6">
        <v>84</v>
      </c>
      <c r="P26" s="1">
        <f t="shared" si="0"/>
        <v>511</v>
      </c>
      <c r="Q26" s="14">
        <f t="shared" si="1"/>
        <v>63.875</v>
      </c>
      <c r="R26" s="20">
        <f t="shared" si="2"/>
        <v>20</v>
      </c>
    </row>
    <row r="27" spans="1:18" ht="18" customHeight="1">
      <c r="A27" s="19">
        <v>21</v>
      </c>
      <c r="B27" s="2" t="s">
        <v>4283</v>
      </c>
      <c r="C27" s="1">
        <v>311260952</v>
      </c>
      <c r="D27" s="3" t="s">
        <v>4284</v>
      </c>
      <c r="E27" s="1" t="s">
        <v>71</v>
      </c>
      <c r="F27" s="10" t="s">
        <v>4164</v>
      </c>
      <c r="G27" s="2">
        <v>12</v>
      </c>
      <c r="H27" s="6">
        <v>64</v>
      </c>
      <c r="I27" s="6">
        <v>90</v>
      </c>
      <c r="J27" s="6">
        <v>80</v>
      </c>
      <c r="K27" s="6">
        <v>48</v>
      </c>
      <c r="L27" s="6">
        <v>56</v>
      </c>
      <c r="M27" s="6">
        <v>32</v>
      </c>
      <c r="N27" s="6">
        <v>52</v>
      </c>
      <c r="O27" s="6">
        <v>88</v>
      </c>
      <c r="P27" s="1">
        <f t="shared" si="0"/>
        <v>510</v>
      </c>
      <c r="Q27" s="14">
        <f t="shared" si="1"/>
        <v>63.75</v>
      </c>
      <c r="R27" s="20">
        <f t="shared" si="2"/>
        <v>21</v>
      </c>
    </row>
    <row r="28" spans="1:18" ht="18" customHeight="1">
      <c r="A28" s="19">
        <v>22</v>
      </c>
      <c r="B28" s="2" t="s">
        <v>4219</v>
      </c>
      <c r="C28" s="1" t="s">
        <v>4220</v>
      </c>
      <c r="D28" s="3" t="s">
        <v>4221</v>
      </c>
      <c r="E28" s="1" t="s">
        <v>72</v>
      </c>
      <c r="F28" s="10" t="s">
        <v>4164</v>
      </c>
      <c r="G28" s="2">
        <v>10</v>
      </c>
      <c r="H28" s="6">
        <v>32</v>
      </c>
      <c r="I28" s="6">
        <v>85</v>
      </c>
      <c r="J28" s="6">
        <v>64</v>
      </c>
      <c r="K28" s="6">
        <v>52</v>
      </c>
      <c r="L28" s="6">
        <v>60</v>
      </c>
      <c r="M28" s="6">
        <v>48</v>
      </c>
      <c r="N28" s="6">
        <v>92</v>
      </c>
      <c r="O28" s="6">
        <v>72</v>
      </c>
      <c r="P28" s="1">
        <f t="shared" si="0"/>
        <v>505</v>
      </c>
      <c r="Q28" s="14">
        <f t="shared" si="1"/>
        <v>63.125</v>
      </c>
      <c r="R28" s="20">
        <f t="shared" si="2"/>
        <v>22</v>
      </c>
    </row>
    <row r="29" spans="1:18" ht="18" customHeight="1">
      <c r="A29" s="19">
        <v>23</v>
      </c>
      <c r="B29" s="2" t="s">
        <v>4281</v>
      </c>
      <c r="C29" s="1">
        <v>311260453</v>
      </c>
      <c r="D29" s="3" t="s">
        <v>4282</v>
      </c>
      <c r="E29" s="1" t="s">
        <v>90</v>
      </c>
      <c r="F29" s="10" t="s">
        <v>4164</v>
      </c>
      <c r="G29" s="2">
        <v>12</v>
      </c>
      <c r="H29" s="6">
        <v>44</v>
      </c>
      <c r="I29" s="6">
        <v>95</v>
      </c>
      <c r="J29" s="6">
        <v>44</v>
      </c>
      <c r="K29" s="6">
        <v>64</v>
      </c>
      <c r="L29" s="6">
        <v>36</v>
      </c>
      <c r="M29" s="6">
        <v>56</v>
      </c>
      <c r="N29" s="6">
        <v>76</v>
      </c>
      <c r="O29" s="6">
        <v>60</v>
      </c>
      <c r="P29" s="1">
        <f t="shared" si="0"/>
        <v>475</v>
      </c>
      <c r="Q29" s="14">
        <f t="shared" si="1"/>
        <v>59.375</v>
      </c>
      <c r="R29" s="20">
        <f t="shared" si="2"/>
        <v>23</v>
      </c>
    </row>
    <row r="30" spans="1:18" ht="18" customHeight="1">
      <c r="A30" s="19">
        <v>24</v>
      </c>
      <c r="B30" s="2" t="s">
        <v>4179</v>
      </c>
      <c r="C30" s="1">
        <v>311220790</v>
      </c>
      <c r="D30" s="3" t="s">
        <v>4180</v>
      </c>
      <c r="E30" s="1" t="s">
        <v>69</v>
      </c>
      <c r="F30" s="10" t="s">
        <v>4164</v>
      </c>
      <c r="G30" s="2" t="s">
        <v>2729</v>
      </c>
      <c r="H30" s="6">
        <v>28</v>
      </c>
      <c r="I30" s="6">
        <v>80</v>
      </c>
      <c r="J30" s="6">
        <v>40</v>
      </c>
      <c r="K30" s="6">
        <v>76</v>
      </c>
      <c r="L30" s="6">
        <v>64</v>
      </c>
      <c r="M30" s="6">
        <v>32</v>
      </c>
      <c r="N30" s="6">
        <v>84</v>
      </c>
      <c r="O30" s="6">
        <v>56</v>
      </c>
      <c r="P30" s="1">
        <f t="shared" si="0"/>
        <v>460</v>
      </c>
      <c r="Q30" s="14">
        <f t="shared" si="1"/>
        <v>57.5</v>
      </c>
      <c r="R30" s="20">
        <f t="shared" si="2"/>
        <v>24</v>
      </c>
    </row>
    <row r="31" spans="1:18" ht="18" customHeight="1">
      <c r="A31" s="19">
        <v>25</v>
      </c>
      <c r="B31" s="2" t="s">
        <v>4246</v>
      </c>
      <c r="C31" s="1">
        <v>311220789</v>
      </c>
      <c r="D31" s="3" t="s">
        <v>4247</v>
      </c>
      <c r="E31" s="1" t="s">
        <v>74</v>
      </c>
      <c r="F31" s="10" t="s">
        <v>4164</v>
      </c>
      <c r="G31" s="2">
        <v>11</v>
      </c>
      <c r="H31" s="6">
        <v>44</v>
      </c>
      <c r="I31" s="6">
        <v>100</v>
      </c>
      <c r="J31" s="6">
        <v>48</v>
      </c>
      <c r="K31" s="6">
        <v>68</v>
      </c>
      <c r="L31" s="6">
        <v>56</v>
      </c>
      <c r="M31" s="6">
        <v>40</v>
      </c>
      <c r="N31" s="6">
        <v>68</v>
      </c>
      <c r="O31" s="6">
        <v>28</v>
      </c>
      <c r="P31" s="1">
        <f t="shared" si="0"/>
        <v>452</v>
      </c>
      <c r="Q31" s="14">
        <f t="shared" si="1"/>
        <v>56.5</v>
      </c>
      <c r="R31" s="20">
        <f t="shared" si="2"/>
        <v>25</v>
      </c>
    </row>
    <row r="32" spans="1:18" ht="18" customHeight="1">
      <c r="A32" s="19">
        <v>26</v>
      </c>
      <c r="B32" s="2" t="s">
        <v>4265</v>
      </c>
      <c r="C32" s="1" t="s">
        <v>4266</v>
      </c>
      <c r="D32" s="3" t="s">
        <v>4267</v>
      </c>
      <c r="E32" s="1" t="s">
        <v>67</v>
      </c>
      <c r="F32" s="10" t="s">
        <v>4164</v>
      </c>
      <c r="G32" s="2">
        <v>12</v>
      </c>
      <c r="H32" s="6">
        <v>44</v>
      </c>
      <c r="I32" s="6">
        <v>95</v>
      </c>
      <c r="J32" s="6">
        <v>44</v>
      </c>
      <c r="K32" s="6">
        <v>44</v>
      </c>
      <c r="L32" s="6">
        <v>52</v>
      </c>
      <c r="M32" s="6">
        <v>48</v>
      </c>
      <c r="N32" s="6">
        <v>80</v>
      </c>
      <c r="O32" s="6">
        <v>44</v>
      </c>
      <c r="P32" s="1">
        <f t="shared" si="0"/>
        <v>451</v>
      </c>
      <c r="Q32" s="14">
        <f t="shared" si="1"/>
        <v>56.375</v>
      </c>
      <c r="R32" s="20">
        <f t="shared" si="2"/>
        <v>26</v>
      </c>
    </row>
    <row r="33" spans="1:18" ht="18" customHeight="1">
      <c r="A33" s="19">
        <v>27</v>
      </c>
      <c r="B33" s="2" t="s">
        <v>4259</v>
      </c>
      <c r="C33" s="1">
        <v>4232747</v>
      </c>
      <c r="D33" s="3" t="s">
        <v>4260</v>
      </c>
      <c r="E33" s="1" t="s">
        <v>78</v>
      </c>
      <c r="F33" s="10" t="s">
        <v>4164</v>
      </c>
      <c r="G33" s="2">
        <v>11</v>
      </c>
      <c r="H33" s="6">
        <v>60</v>
      </c>
      <c r="I33" s="6">
        <v>95</v>
      </c>
      <c r="J33" s="6">
        <v>56</v>
      </c>
      <c r="K33" s="6">
        <v>84</v>
      </c>
      <c r="L33" s="6">
        <v>40</v>
      </c>
      <c r="M33" s="6">
        <v>20</v>
      </c>
      <c r="N33" s="6">
        <v>68</v>
      </c>
      <c r="O33" s="6">
        <v>24</v>
      </c>
      <c r="P33" s="1">
        <f t="shared" si="0"/>
        <v>447</v>
      </c>
      <c r="Q33" s="14">
        <f t="shared" si="1"/>
        <v>55.875</v>
      </c>
      <c r="R33" s="20">
        <f t="shared" si="2"/>
        <v>27</v>
      </c>
    </row>
    <row r="34" spans="1:18" ht="18" customHeight="1">
      <c r="A34" s="19">
        <v>28</v>
      </c>
      <c r="B34" s="2" t="s">
        <v>4222</v>
      </c>
      <c r="C34" s="1">
        <v>311220798</v>
      </c>
      <c r="D34" s="3" t="s">
        <v>4223</v>
      </c>
      <c r="E34" s="1" t="s">
        <v>72</v>
      </c>
      <c r="F34" s="10" t="s">
        <v>4164</v>
      </c>
      <c r="G34" s="2">
        <v>10</v>
      </c>
      <c r="H34" s="6">
        <v>36</v>
      </c>
      <c r="I34" s="6">
        <v>100</v>
      </c>
      <c r="J34" s="6">
        <v>48</v>
      </c>
      <c r="K34" s="6">
        <v>84</v>
      </c>
      <c r="L34" s="6">
        <v>44</v>
      </c>
      <c r="M34" s="6">
        <v>32</v>
      </c>
      <c r="N34" s="6">
        <v>48</v>
      </c>
      <c r="O34" s="6">
        <v>52</v>
      </c>
      <c r="P34" s="1">
        <f t="shared" si="0"/>
        <v>444</v>
      </c>
      <c r="Q34" s="14">
        <f t="shared" si="1"/>
        <v>55.5</v>
      </c>
      <c r="R34" s="20">
        <f t="shared" si="2"/>
        <v>28</v>
      </c>
    </row>
    <row r="35" spans="1:18" ht="18" customHeight="1">
      <c r="A35" s="19">
        <v>29</v>
      </c>
      <c r="B35" s="2" t="s">
        <v>4186</v>
      </c>
      <c r="C35" s="1">
        <v>4232898</v>
      </c>
      <c r="D35" s="3" t="s">
        <v>4187</v>
      </c>
      <c r="E35" s="1" t="s">
        <v>69</v>
      </c>
      <c r="F35" s="10" t="s">
        <v>4164</v>
      </c>
      <c r="G35" s="2" t="s">
        <v>2729</v>
      </c>
      <c r="H35" s="6">
        <v>36</v>
      </c>
      <c r="I35" s="6">
        <v>95</v>
      </c>
      <c r="J35" s="6">
        <v>48</v>
      </c>
      <c r="K35" s="6">
        <v>56</v>
      </c>
      <c r="L35" s="6">
        <v>28</v>
      </c>
      <c r="M35" s="6">
        <v>64</v>
      </c>
      <c r="N35" s="6">
        <v>76</v>
      </c>
      <c r="O35" s="6">
        <v>24</v>
      </c>
      <c r="P35" s="1">
        <f t="shared" si="0"/>
        <v>427</v>
      </c>
      <c r="Q35" s="14">
        <f t="shared" si="1"/>
        <v>53.375</v>
      </c>
      <c r="R35" s="20">
        <f t="shared" si="2"/>
        <v>29</v>
      </c>
    </row>
    <row r="36" spans="1:18" ht="18" customHeight="1">
      <c r="A36" s="19">
        <v>30</v>
      </c>
      <c r="B36" s="2" t="s">
        <v>4232</v>
      </c>
      <c r="C36" s="1">
        <v>4232838</v>
      </c>
      <c r="D36" s="3" t="s">
        <v>1126</v>
      </c>
      <c r="E36" s="1" t="s">
        <v>77</v>
      </c>
      <c r="F36" s="10" t="s">
        <v>4164</v>
      </c>
      <c r="G36" s="2">
        <v>11</v>
      </c>
      <c r="H36" s="6">
        <v>24</v>
      </c>
      <c r="I36" s="6">
        <v>100</v>
      </c>
      <c r="J36" s="6">
        <v>64</v>
      </c>
      <c r="K36" s="6">
        <v>64</v>
      </c>
      <c r="L36" s="6">
        <v>26</v>
      </c>
      <c r="M36" s="6">
        <v>40</v>
      </c>
      <c r="N36" s="6">
        <v>76</v>
      </c>
      <c r="O36" s="6">
        <v>28</v>
      </c>
      <c r="P36" s="1">
        <f t="shared" si="0"/>
        <v>422</v>
      </c>
      <c r="Q36" s="14">
        <f t="shared" si="1"/>
        <v>52.75</v>
      </c>
      <c r="R36" s="20">
        <f t="shared" si="2"/>
        <v>30</v>
      </c>
    </row>
    <row r="37" spans="1:18" ht="18" customHeight="1">
      <c r="A37" s="19">
        <v>31</v>
      </c>
      <c r="B37" s="2" t="s">
        <v>4270</v>
      </c>
      <c r="C37" s="1" t="s">
        <v>4271</v>
      </c>
      <c r="D37" s="3" t="s">
        <v>4272</v>
      </c>
      <c r="E37" s="1" t="s">
        <v>67</v>
      </c>
      <c r="F37" s="10" t="s">
        <v>4164</v>
      </c>
      <c r="G37" s="2">
        <v>12</v>
      </c>
      <c r="H37" s="6">
        <v>60</v>
      </c>
      <c r="I37" s="6">
        <v>80</v>
      </c>
      <c r="J37" s="6">
        <v>56</v>
      </c>
      <c r="K37" s="6">
        <v>48</v>
      </c>
      <c r="L37" s="6">
        <v>48</v>
      </c>
      <c r="M37" s="6">
        <v>28</v>
      </c>
      <c r="N37" s="6">
        <v>84</v>
      </c>
      <c r="O37" s="6">
        <v>16</v>
      </c>
      <c r="P37" s="1">
        <f t="shared" si="0"/>
        <v>420</v>
      </c>
      <c r="Q37" s="14">
        <f t="shared" si="1"/>
        <v>52.5</v>
      </c>
      <c r="R37" s="20">
        <f t="shared" si="2"/>
        <v>31</v>
      </c>
    </row>
    <row r="38" spans="1:18" ht="18" customHeight="1">
      <c r="A38" s="19">
        <v>32</v>
      </c>
      <c r="B38" s="2" t="s">
        <v>4177</v>
      </c>
      <c r="C38" s="1">
        <v>311220783</v>
      </c>
      <c r="D38" s="3" t="s">
        <v>4178</v>
      </c>
      <c r="E38" s="1" t="s">
        <v>69</v>
      </c>
      <c r="F38" s="10" t="s">
        <v>4164</v>
      </c>
      <c r="G38" s="2" t="s">
        <v>2729</v>
      </c>
      <c r="H38" s="6">
        <v>64</v>
      </c>
      <c r="I38" s="6">
        <v>100</v>
      </c>
      <c r="J38" s="6">
        <v>44</v>
      </c>
      <c r="K38" s="6">
        <v>36</v>
      </c>
      <c r="L38" s="6">
        <v>28</v>
      </c>
      <c r="M38" s="6">
        <v>36</v>
      </c>
      <c r="N38" s="6">
        <v>72</v>
      </c>
      <c r="O38" s="6">
        <v>36</v>
      </c>
      <c r="P38" s="1">
        <f t="shared" si="0"/>
        <v>416</v>
      </c>
      <c r="Q38" s="14">
        <f t="shared" si="1"/>
        <v>52</v>
      </c>
      <c r="R38" s="20">
        <f t="shared" si="2"/>
        <v>32</v>
      </c>
    </row>
    <row r="39" spans="1:18" ht="18" customHeight="1">
      <c r="A39" s="19">
        <v>33</v>
      </c>
      <c r="B39" s="2" t="s">
        <v>4244</v>
      </c>
      <c r="C39" s="1">
        <v>4232756</v>
      </c>
      <c r="D39" s="3" t="s">
        <v>4245</v>
      </c>
      <c r="E39" s="1" t="s">
        <v>63</v>
      </c>
      <c r="F39" s="10" t="s">
        <v>4164</v>
      </c>
      <c r="G39" s="2">
        <v>11</v>
      </c>
      <c r="H39" s="6">
        <v>32</v>
      </c>
      <c r="I39" s="6">
        <v>100</v>
      </c>
      <c r="J39" s="6">
        <v>48</v>
      </c>
      <c r="K39" s="6">
        <v>40</v>
      </c>
      <c r="L39" s="6">
        <v>60</v>
      </c>
      <c r="M39" s="6">
        <v>40</v>
      </c>
      <c r="N39" s="6">
        <v>56</v>
      </c>
      <c r="O39" s="6">
        <v>36</v>
      </c>
      <c r="P39" s="1">
        <f t="shared" ref="P39:P61" si="3">SUBTOTAL(9,H39:O39)</f>
        <v>412</v>
      </c>
      <c r="Q39" s="14">
        <f t="shared" ref="Q39:Q61" si="4">P39/8</f>
        <v>51.5</v>
      </c>
      <c r="R39" s="20">
        <f t="shared" ref="R39:R61" si="5">RANK(Q39,Q$7:Q$231,0)</f>
        <v>33</v>
      </c>
    </row>
    <row r="40" spans="1:18" ht="18" customHeight="1">
      <c r="A40" s="19">
        <v>34</v>
      </c>
      <c r="B40" s="2" t="s">
        <v>4217</v>
      </c>
      <c r="C40" s="1">
        <v>311230098</v>
      </c>
      <c r="D40" s="3" t="s">
        <v>4218</v>
      </c>
      <c r="E40" s="1" t="s">
        <v>72</v>
      </c>
      <c r="F40" s="10" t="s">
        <v>4164</v>
      </c>
      <c r="G40" s="2">
        <v>10</v>
      </c>
      <c r="H40" s="6">
        <v>44</v>
      </c>
      <c r="I40" s="6">
        <v>95</v>
      </c>
      <c r="J40" s="6">
        <v>32</v>
      </c>
      <c r="K40" s="6">
        <v>44</v>
      </c>
      <c r="L40" s="6">
        <v>40</v>
      </c>
      <c r="M40" s="6">
        <v>32</v>
      </c>
      <c r="N40" s="6">
        <v>92</v>
      </c>
      <c r="O40" s="6">
        <v>32</v>
      </c>
      <c r="P40" s="1">
        <f t="shared" si="3"/>
        <v>411</v>
      </c>
      <c r="Q40" s="14">
        <f t="shared" si="4"/>
        <v>51.375</v>
      </c>
      <c r="R40" s="20">
        <f t="shared" si="5"/>
        <v>34</v>
      </c>
    </row>
    <row r="41" spans="1:18" ht="18" customHeight="1">
      <c r="A41" s="19">
        <v>35</v>
      </c>
      <c r="B41" s="2" t="s">
        <v>4181</v>
      </c>
      <c r="C41" s="1">
        <v>4232826</v>
      </c>
      <c r="D41" s="3" t="s">
        <v>4182</v>
      </c>
      <c r="E41" s="1" t="s">
        <v>69</v>
      </c>
      <c r="F41" s="10" t="s">
        <v>4164</v>
      </c>
      <c r="G41" s="2" t="s">
        <v>2729</v>
      </c>
      <c r="H41" s="6">
        <v>56</v>
      </c>
      <c r="I41" s="6">
        <v>95</v>
      </c>
      <c r="J41" s="6">
        <v>40</v>
      </c>
      <c r="K41" s="6">
        <v>44</v>
      </c>
      <c r="L41" s="6">
        <v>28</v>
      </c>
      <c r="M41" s="6">
        <v>32</v>
      </c>
      <c r="N41" s="6">
        <v>76</v>
      </c>
      <c r="O41" s="6">
        <v>32</v>
      </c>
      <c r="P41" s="1">
        <f t="shared" si="3"/>
        <v>403</v>
      </c>
      <c r="Q41" s="14">
        <f t="shared" si="4"/>
        <v>50.375</v>
      </c>
      <c r="R41" s="20">
        <f t="shared" si="5"/>
        <v>35</v>
      </c>
    </row>
    <row r="42" spans="1:18" ht="18" customHeight="1">
      <c r="A42" s="19">
        <v>36</v>
      </c>
      <c r="B42" s="2" t="s">
        <v>4205</v>
      </c>
      <c r="C42" s="1">
        <v>4232637</v>
      </c>
      <c r="D42" s="3" t="s">
        <v>4206</v>
      </c>
      <c r="E42" s="1" t="s">
        <v>71</v>
      </c>
      <c r="F42" s="10" t="s">
        <v>4164</v>
      </c>
      <c r="G42" s="2">
        <v>10</v>
      </c>
      <c r="H42" s="6">
        <v>52</v>
      </c>
      <c r="I42" s="6">
        <v>95</v>
      </c>
      <c r="J42" s="6">
        <v>44</v>
      </c>
      <c r="K42" s="6">
        <v>44</v>
      </c>
      <c r="L42" s="6">
        <v>32</v>
      </c>
      <c r="M42" s="6">
        <v>32</v>
      </c>
      <c r="N42" s="6">
        <v>88</v>
      </c>
      <c r="O42" s="6">
        <v>12</v>
      </c>
      <c r="P42" s="1">
        <f t="shared" si="3"/>
        <v>399</v>
      </c>
      <c r="Q42" s="14">
        <f t="shared" si="4"/>
        <v>49.875</v>
      </c>
      <c r="R42" s="20">
        <f t="shared" si="5"/>
        <v>36</v>
      </c>
    </row>
    <row r="43" spans="1:18" ht="18" customHeight="1">
      <c r="A43" s="19">
        <v>37</v>
      </c>
      <c r="B43" s="2" t="s">
        <v>4278</v>
      </c>
      <c r="C43" s="1">
        <v>311260323</v>
      </c>
      <c r="D43" s="3" t="s">
        <v>4279</v>
      </c>
      <c r="E43" s="1" t="s">
        <v>90</v>
      </c>
      <c r="F43" s="10" t="s">
        <v>4164</v>
      </c>
      <c r="G43" s="2">
        <v>12</v>
      </c>
      <c r="H43" s="6">
        <v>12</v>
      </c>
      <c r="I43" s="6">
        <v>80</v>
      </c>
      <c r="J43" s="6">
        <v>36</v>
      </c>
      <c r="K43" s="6">
        <v>48</v>
      </c>
      <c r="L43" s="6">
        <v>32</v>
      </c>
      <c r="M43" s="6">
        <v>52</v>
      </c>
      <c r="N43" s="6">
        <v>84</v>
      </c>
      <c r="O43" s="6">
        <v>48</v>
      </c>
      <c r="P43" s="1">
        <f t="shared" si="3"/>
        <v>392</v>
      </c>
      <c r="Q43" s="14">
        <f t="shared" si="4"/>
        <v>49</v>
      </c>
      <c r="R43" s="20">
        <f t="shared" si="5"/>
        <v>37</v>
      </c>
    </row>
    <row r="44" spans="1:18" ht="18" customHeight="1">
      <c r="A44" s="19">
        <v>38</v>
      </c>
      <c r="B44" s="2" t="s">
        <v>4233</v>
      </c>
      <c r="C44" s="1" t="s">
        <v>4234</v>
      </c>
      <c r="D44" s="3" t="s">
        <v>645</v>
      </c>
      <c r="E44" s="1" t="s">
        <v>4235</v>
      </c>
      <c r="F44" s="10" t="s">
        <v>4164</v>
      </c>
      <c r="G44" s="2">
        <v>11</v>
      </c>
      <c r="H44" s="6">
        <v>48</v>
      </c>
      <c r="I44" s="6">
        <v>95</v>
      </c>
      <c r="J44" s="6">
        <v>28</v>
      </c>
      <c r="K44" s="6">
        <v>44</v>
      </c>
      <c r="L44" s="6">
        <v>28</v>
      </c>
      <c r="M44" s="6">
        <v>28</v>
      </c>
      <c r="N44" s="6">
        <v>76</v>
      </c>
      <c r="O44" s="6">
        <v>32</v>
      </c>
      <c r="P44" s="1">
        <f t="shared" si="3"/>
        <v>379</v>
      </c>
      <c r="Q44" s="14">
        <f t="shared" si="4"/>
        <v>47.375</v>
      </c>
      <c r="R44" s="20">
        <f t="shared" si="5"/>
        <v>38</v>
      </c>
    </row>
    <row r="45" spans="1:18" ht="18" customHeight="1">
      <c r="A45" s="19">
        <v>39</v>
      </c>
      <c r="B45" s="2" t="s">
        <v>4214</v>
      </c>
      <c r="C45" s="1" t="s">
        <v>4215</v>
      </c>
      <c r="D45" s="3" t="s">
        <v>4216</v>
      </c>
      <c r="E45" s="1" t="s">
        <v>72</v>
      </c>
      <c r="F45" s="10" t="s">
        <v>4164</v>
      </c>
      <c r="G45" s="2">
        <v>10</v>
      </c>
      <c r="H45" s="6">
        <v>28</v>
      </c>
      <c r="I45" s="6">
        <v>100</v>
      </c>
      <c r="J45" s="6">
        <v>44</v>
      </c>
      <c r="K45" s="6">
        <v>48</v>
      </c>
      <c r="L45" s="6">
        <v>40</v>
      </c>
      <c r="M45" s="6">
        <v>32</v>
      </c>
      <c r="N45" s="6">
        <v>48</v>
      </c>
      <c r="O45" s="6">
        <v>28</v>
      </c>
      <c r="P45" s="1">
        <f t="shared" si="3"/>
        <v>368</v>
      </c>
      <c r="Q45" s="14">
        <f t="shared" si="4"/>
        <v>46</v>
      </c>
      <c r="R45" s="20">
        <f t="shared" si="5"/>
        <v>39</v>
      </c>
    </row>
    <row r="46" spans="1:18" ht="18" customHeight="1">
      <c r="A46" s="19">
        <v>40</v>
      </c>
      <c r="B46" s="2" t="s">
        <v>4211</v>
      </c>
      <c r="C46" s="1" t="s">
        <v>4212</v>
      </c>
      <c r="D46" s="3" t="s">
        <v>4213</v>
      </c>
      <c r="E46" s="1" t="s">
        <v>72</v>
      </c>
      <c r="F46" s="10" t="s">
        <v>4164</v>
      </c>
      <c r="G46" s="2">
        <v>10</v>
      </c>
      <c r="H46" s="6">
        <v>34</v>
      </c>
      <c r="I46" s="6">
        <v>100</v>
      </c>
      <c r="J46" s="6">
        <v>40</v>
      </c>
      <c r="K46" s="6">
        <v>44</v>
      </c>
      <c r="L46" s="6">
        <v>28</v>
      </c>
      <c r="M46" s="6">
        <v>28</v>
      </c>
      <c r="N46" s="6">
        <v>64</v>
      </c>
      <c r="O46" s="6">
        <v>28</v>
      </c>
      <c r="P46" s="1">
        <f t="shared" si="3"/>
        <v>366</v>
      </c>
      <c r="Q46" s="14">
        <f t="shared" si="4"/>
        <v>45.75</v>
      </c>
      <c r="R46" s="20">
        <f t="shared" si="5"/>
        <v>40</v>
      </c>
    </row>
    <row r="47" spans="1:18" ht="18" customHeight="1">
      <c r="A47" s="19">
        <v>41</v>
      </c>
      <c r="B47" s="2" t="s">
        <v>4263</v>
      </c>
      <c r="C47" s="1">
        <v>4232782</v>
      </c>
      <c r="D47" s="3" t="s">
        <v>4264</v>
      </c>
      <c r="E47" s="1" t="s">
        <v>66</v>
      </c>
      <c r="F47" s="10" t="s">
        <v>4164</v>
      </c>
      <c r="G47" s="2">
        <v>12</v>
      </c>
      <c r="H47" s="6">
        <v>36</v>
      </c>
      <c r="I47" s="6">
        <v>80</v>
      </c>
      <c r="J47" s="6">
        <v>48</v>
      </c>
      <c r="K47" s="6">
        <v>60</v>
      </c>
      <c r="L47" s="6">
        <v>8</v>
      </c>
      <c r="M47" s="6">
        <v>28</v>
      </c>
      <c r="N47" s="6">
        <v>88</v>
      </c>
      <c r="O47" s="6">
        <v>16</v>
      </c>
      <c r="P47" s="1">
        <f t="shared" si="3"/>
        <v>364</v>
      </c>
      <c r="Q47" s="14">
        <f t="shared" si="4"/>
        <v>45.5</v>
      </c>
      <c r="R47" s="20">
        <f t="shared" si="5"/>
        <v>41</v>
      </c>
    </row>
    <row r="48" spans="1:18" ht="18" customHeight="1">
      <c r="A48" s="19">
        <v>42</v>
      </c>
      <c r="B48" s="2" t="s">
        <v>4209</v>
      </c>
      <c r="C48" s="1">
        <v>4232634</v>
      </c>
      <c r="D48" s="3" t="s">
        <v>4210</v>
      </c>
      <c r="E48" s="1" t="s">
        <v>72</v>
      </c>
      <c r="F48" s="10" t="s">
        <v>4164</v>
      </c>
      <c r="G48" s="2">
        <v>10</v>
      </c>
      <c r="H48" s="6">
        <v>24</v>
      </c>
      <c r="I48" s="6">
        <v>95</v>
      </c>
      <c r="J48" s="6">
        <v>20</v>
      </c>
      <c r="K48" s="6">
        <v>52</v>
      </c>
      <c r="L48" s="6">
        <v>44</v>
      </c>
      <c r="M48" s="6">
        <v>48</v>
      </c>
      <c r="N48" s="6">
        <v>68</v>
      </c>
      <c r="O48" s="6">
        <v>12</v>
      </c>
      <c r="P48" s="1">
        <f t="shared" si="3"/>
        <v>363</v>
      </c>
      <c r="Q48" s="14">
        <f t="shared" si="4"/>
        <v>45.375</v>
      </c>
      <c r="R48" s="20">
        <f t="shared" si="5"/>
        <v>42</v>
      </c>
    </row>
    <row r="49" spans="1:18" ht="18" customHeight="1">
      <c r="A49" s="19">
        <v>43</v>
      </c>
      <c r="B49" s="2" t="s">
        <v>4183</v>
      </c>
      <c r="C49" s="1" t="s">
        <v>4184</v>
      </c>
      <c r="D49" s="3" t="s">
        <v>4185</v>
      </c>
      <c r="E49" s="1" t="s">
        <v>69</v>
      </c>
      <c r="F49" s="10" t="s">
        <v>4164</v>
      </c>
      <c r="G49" s="2" t="s">
        <v>2729</v>
      </c>
      <c r="H49" s="6">
        <v>24</v>
      </c>
      <c r="I49" s="6">
        <v>100</v>
      </c>
      <c r="J49" s="6">
        <v>60</v>
      </c>
      <c r="K49" s="6">
        <v>32</v>
      </c>
      <c r="L49" s="6">
        <v>36</v>
      </c>
      <c r="M49" s="6">
        <v>28</v>
      </c>
      <c r="N49" s="6">
        <v>52</v>
      </c>
      <c r="O49" s="6">
        <v>28</v>
      </c>
      <c r="P49" s="1">
        <f t="shared" si="3"/>
        <v>360</v>
      </c>
      <c r="Q49" s="14">
        <f t="shared" si="4"/>
        <v>45</v>
      </c>
      <c r="R49" s="20">
        <f t="shared" si="5"/>
        <v>43</v>
      </c>
    </row>
    <row r="50" spans="1:18" ht="18" customHeight="1">
      <c r="A50" s="19">
        <v>44</v>
      </c>
      <c r="B50" s="2" t="s">
        <v>4166</v>
      </c>
      <c r="C50" s="1">
        <v>4232948</v>
      </c>
      <c r="D50" s="3" t="s">
        <v>4167</v>
      </c>
      <c r="E50" s="1" t="s">
        <v>77</v>
      </c>
      <c r="F50" s="10" t="s">
        <v>4164</v>
      </c>
      <c r="G50" s="2" t="s">
        <v>2729</v>
      </c>
      <c r="H50" s="6">
        <v>36</v>
      </c>
      <c r="I50" s="6">
        <v>90</v>
      </c>
      <c r="J50" s="6">
        <v>36</v>
      </c>
      <c r="K50" s="6">
        <v>44</v>
      </c>
      <c r="L50" s="6">
        <v>44</v>
      </c>
      <c r="M50" s="6">
        <v>36</v>
      </c>
      <c r="N50" s="6">
        <v>64</v>
      </c>
      <c r="O50" s="6">
        <v>8</v>
      </c>
      <c r="P50" s="1">
        <f t="shared" si="3"/>
        <v>358</v>
      </c>
      <c r="Q50" s="14">
        <f t="shared" si="4"/>
        <v>44.75</v>
      </c>
      <c r="R50" s="20">
        <f t="shared" si="5"/>
        <v>44</v>
      </c>
    </row>
    <row r="51" spans="1:18" ht="18" customHeight="1">
      <c r="A51" s="19">
        <v>45</v>
      </c>
      <c r="B51" s="2" t="s">
        <v>4248</v>
      </c>
      <c r="C51" s="1">
        <v>4031870</v>
      </c>
      <c r="D51" s="3" t="s">
        <v>4249</v>
      </c>
      <c r="E51" s="1" t="s">
        <v>74</v>
      </c>
      <c r="F51" s="10" t="s">
        <v>4164</v>
      </c>
      <c r="G51" s="2">
        <v>11</v>
      </c>
      <c r="H51" s="6">
        <v>24</v>
      </c>
      <c r="I51" s="6">
        <v>100</v>
      </c>
      <c r="J51" s="6">
        <v>16</v>
      </c>
      <c r="K51" s="6">
        <v>32</v>
      </c>
      <c r="L51" s="6">
        <v>84</v>
      </c>
      <c r="M51" s="6">
        <v>20</v>
      </c>
      <c r="N51" s="6">
        <v>76</v>
      </c>
      <c r="O51" s="6">
        <v>4</v>
      </c>
      <c r="P51" s="1">
        <f t="shared" si="3"/>
        <v>356</v>
      </c>
      <c r="Q51" s="14">
        <f t="shared" si="4"/>
        <v>44.5</v>
      </c>
      <c r="R51" s="20">
        <f t="shared" si="5"/>
        <v>45</v>
      </c>
    </row>
    <row r="52" spans="1:18" ht="18" customHeight="1">
      <c r="A52" s="19">
        <v>46</v>
      </c>
      <c r="B52" s="2" t="s">
        <v>4207</v>
      </c>
      <c r="C52" s="1">
        <v>311220811</v>
      </c>
      <c r="D52" s="3" t="s">
        <v>4208</v>
      </c>
      <c r="E52" s="1" t="s">
        <v>72</v>
      </c>
      <c r="F52" s="10" t="s">
        <v>4164</v>
      </c>
      <c r="G52" s="2">
        <v>10</v>
      </c>
      <c r="H52" s="6">
        <v>32</v>
      </c>
      <c r="I52" s="6">
        <v>85</v>
      </c>
      <c r="J52" s="6">
        <v>28</v>
      </c>
      <c r="K52" s="6">
        <v>56</v>
      </c>
      <c r="L52" s="6">
        <v>28</v>
      </c>
      <c r="M52" s="6">
        <v>36</v>
      </c>
      <c r="N52" s="6">
        <v>80</v>
      </c>
      <c r="O52" s="6">
        <v>4</v>
      </c>
      <c r="P52" s="1">
        <f t="shared" si="3"/>
        <v>349</v>
      </c>
      <c r="Q52" s="14">
        <f t="shared" si="4"/>
        <v>43.625</v>
      </c>
      <c r="R52" s="20">
        <f t="shared" si="5"/>
        <v>46</v>
      </c>
    </row>
    <row r="53" spans="1:18" ht="18" customHeight="1">
      <c r="A53" s="19">
        <v>47</v>
      </c>
      <c r="B53" s="2" t="s">
        <v>4255</v>
      </c>
      <c r="C53" s="1">
        <v>4232989</v>
      </c>
      <c r="D53" s="3" t="s">
        <v>4256</v>
      </c>
      <c r="E53" s="1" t="s">
        <v>64</v>
      </c>
      <c r="F53" s="10" t="s">
        <v>4164</v>
      </c>
      <c r="G53" s="2">
        <v>11</v>
      </c>
      <c r="H53" s="6">
        <v>36</v>
      </c>
      <c r="I53" s="6">
        <v>65</v>
      </c>
      <c r="J53" s="6">
        <v>28</v>
      </c>
      <c r="K53" s="6">
        <v>36</v>
      </c>
      <c r="L53" s="6">
        <v>32</v>
      </c>
      <c r="M53" s="6">
        <v>32</v>
      </c>
      <c r="N53" s="6">
        <v>88</v>
      </c>
      <c r="O53" s="6">
        <v>28</v>
      </c>
      <c r="P53" s="1">
        <f t="shared" si="3"/>
        <v>345</v>
      </c>
      <c r="Q53" s="14">
        <f t="shared" si="4"/>
        <v>43.125</v>
      </c>
      <c r="R53" s="20">
        <f t="shared" si="5"/>
        <v>47</v>
      </c>
    </row>
    <row r="54" spans="1:18" ht="18" customHeight="1">
      <c r="A54" s="19">
        <v>48</v>
      </c>
      <c r="B54" s="2" t="s">
        <v>4257</v>
      </c>
      <c r="C54" s="1">
        <v>311220837</v>
      </c>
      <c r="D54" s="3" t="s">
        <v>4258</v>
      </c>
      <c r="E54" s="1" t="s">
        <v>78</v>
      </c>
      <c r="F54" s="10" t="s">
        <v>4164</v>
      </c>
      <c r="G54" s="2">
        <v>11</v>
      </c>
      <c r="H54" s="6">
        <v>40</v>
      </c>
      <c r="I54" s="6">
        <v>90</v>
      </c>
      <c r="J54" s="6">
        <v>40</v>
      </c>
      <c r="K54" s="6">
        <v>56</v>
      </c>
      <c r="L54" s="6">
        <v>20</v>
      </c>
      <c r="M54" s="6">
        <v>16</v>
      </c>
      <c r="N54" s="6">
        <v>48</v>
      </c>
      <c r="O54" s="6">
        <v>28</v>
      </c>
      <c r="P54" s="1">
        <f t="shared" si="3"/>
        <v>338</v>
      </c>
      <c r="Q54" s="14">
        <f t="shared" si="4"/>
        <v>42.25</v>
      </c>
      <c r="R54" s="20">
        <f t="shared" si="5"/>
        <v>48</v>
      </c>
    </row>
    <row r="55" spans="1:18" ht="18" customHeight="1">
      <c r="A55" s="19">
        <v>49</v>
      </c>
      <c r="B55" s="2" t="s">
        <v>4261</v>
      </c>
      <c r="C55" s="1">
        <v>4032562</v>
      </c>
      <c r="D55" s="3" t="s">
        <v>4262</v>
      </c>
      <c r="E55" s="1" t="s">
        <v>82</v>
      </c>
      <c r="F55" s="10" t="s">
        <v>4164</v>
      </c>
      <c r="G55" s="2">
        <v>11</v>
      </c>
      <c r="H55" s="6">
        <v>24</v>
      </c>
      <c r="I55" s="6">
        <v>100</v>
      </c>
      <c r="J55" s="6">
        <v>36</v>
      </c>
      <c r="K55" s="6">
        <v>40</v>
      </c>
      <c r="L55" s="6">
        <v>20</v>
      </c>
      <c r="M55" s="6">
        <v>40</v>
      </c>
      <c r="N55" s="6">
        <v>44</v>
      </c>
      <c r="O55" s="6">
        <v>16</v>
      </c>
      <c r="P55" s="1">
        <f t="shared" si="3"/>
        <v>320</v>
      </c>
      <c r="Q55" s="14">
        <f t="shared" si="4"/>
        <v>40</v>
      </c>
      <c r="R55" s="20">
        <f t="shared" si="5"/>
        <v>49</v>
      </c>
    </row>
    <row r="56" spans="1:18" ht="18" customHeight="1">
      <c r="A56" s="19">
        <v>50</v>
      </c>
      <c r="B56" s="2" t="s">
        <v>4199</v>
      </c>
      <c r="C56" s="1" t="s">
        <v>4200</v>
      </c>
      <c r="D56" s="3" t="s">
        <v>4201</v>
      </c>
      <c r="E56" s="1" t="s">
        <v>57</v>
      </c>
      <c r="F56" s="10" t="s">
        <v>4164</v>
      </c>
      <c r="G56" s="2">
        <v>10</v>
      </c>
      <c r="H56" s="6">
        <v>24</v>
      </c>
      <c r="I56" s="6">
        <v>100</v>
      </c>
      <c r="J56" s="6">
        <v>20</v>
      </c>
      <c r="K56" s="6">
        <v>48</v>
      </c>
      <c r="L56" s="6">
        <v>24</v>
      </c>
      <c r="M56" s="6">
        <v>32</v>
      </c>
      <c r="N56" s="6">
        <v>36</v>
      </c>
      <c r="O56" s="6">
        <v>32</v>
      </c>
      <c r="P56" s="1">
        <f t="shared" si="3"/>
        <v>316</v>
      </c>
      <c r="Q56" s="14">
        <f t="shared" si="4"/>
        <v>39.5</v>
      </c>
      <c r="R56" s="20">
        <f t="shared" si="5"/>
        <v>50</v>
      </c>
    </row>
    <row r="57" spans="1:18" ht="18" customHeight="1">
      <c r="A57" s="19">
        <v>51</v>
      </c>
      <c r="B57" s="2" t="s">
        <v>4172</v>
      </c>
      <c r="C57" s="1" t="s">
        <v>4173</v>
      </c>
      <c r="D57" s="3" t="s">
        <v>4174</v>
      </c>
      <c r="E57" s="1" t="s">
        <v>74</v>
      </c>
      <c r="F57" s="10" t="s">
        <v>4164</v>
      </c>
      <c r="G57" s="2" t="s">
        <v>2729</v>
      </c>
      <c r="H57" s="6">
        <v>28</v>
      </c>
      <c r="I57" s="6">
        <v>70</v>
      </c>
      <c r="J57" s="6">
        <v>24</v>
      </c>
      <c r="K57" s="6">
        <v>52</v>
      </c>
      <c r="L57" s="6">
        <v>28</v>
      </c>
      <c r="M57" s="6">
        <v>16</v>
      </c>
      <c r="N57" s="6">
        <v>56</v>
      </c>
      <c r="O57" s="6">
        <v>20</v>
      </c>
      <c r="P57" s="1">
        <f t="shared" si="3"/>
        <v>294</v>
      </c>
      <c r="Q57" s="14">
        <f t="shared" si="4"/>
        <v>36.75</v>
      </c>
      <c r="R57" s="20">
        <f t="shared" si="5"/>
        <v>51</v>
      </c>
    </row>
    <row r="58" spans="1:18" ht="18" customHeight="1">
      <c r="A58" s="19">
        <v>52</v>
      </c>
      <c r="B58" s="2" t="s">
        <v>4165</v>
      </c>
      <c r="C58" s="1">
        <v>4032539</v>
      </c>
      <c r="D58" s="3" t="s">
        <v>4048</v>
      </c>
      <c r="E58" s="1" t="s">
        <v>71</v>
      </c>
      <c r="F58" s="10" t="s">
        <v>4164</v>
      </c>
      <c r="G58" s="2" t="s">
        <v>2729</v>
      </c>
      <c r="H58" s="6">
        <v>28</v>
      </c>
      <c r="I58" s="6">
        <v>60</v>
      </c>
      <c r="J58" s="6">
        <v>32</v>
      </c>
      <c r="K58" s="6">
        <v>32</v>
      </c>
      <c r="L58" s="6">
        <v>36</v>
      </c>
      <c r="M58" s="6">
        <v>16</v>
      </c>
      <c r="N58" s="6">
        <v>48</v>
      </c>
      <c r="O58" s="6">
        <v>16</v>
      </c>
      <c r="P58" s="1">
        <f t="shared" si="3"/>
        <v>268</v>
      </c>
      <c r="Q58" s="14">
        <f t="shared" si="4"/>
        <v>33.5</v>
      </c>
      <c r="R58" s="20">
        <f t="shared" si="5"/>
        <v>52</v>
      </c>
    </row>
    <row r="59" spans="1:18" ht="18" customHeight="1">
      <c r="A59" s="19">
        <v>53</v>
      </c>
      <c r="B59" s="2" t="s">
        <v>4162</v>
      </c>
      <c r="C59" s="1">
        <v>3931478</v>
      </c>
      <c r="D59" s="3" t="s">
        <v>4163</v>
      </c>
      <c r="E59" s="1" t="s">
        <v>79</v>
      </c>
      <c r="F59" s="10" t="s">
        <v>4164</v>
      </c>
      <c r="G59" s="2" t="s">
        <v>2729</v>
      </c>
      <c r="H59" s="6">
        <v>16</v>
      </c>
      <c r="I59" s="6">
        <v>100</v>
      </c>
      <c r="J59" s="6">
        <v>28</v>
      </c>
      <c r="K59" s="6">
        <v>40</v>
      </c>
      <c r="L59" s="6">
        <v>16</v>
      </c>
      <c r="M59" s="6">
        <v>24</v>
      </c>
      <c r="N59" s="6">
        <v>28</v>
      </c>
      <c r="O59" s="6">
        <v>12</v>
      </c>
      <c r="P59" s="1">
        <f t="shared" si="3"/>
        <v>264</v>
      </c>
      <c r="Q59" s="14">
        <f t="shared" si="4"/>
        <v>33</v>
      </c>
      <c r="R59" s="20">
        <f t="shared" si="5"/>
        <v>53</v>
      </c>
    </row>
    <row r="60" spans="1:18" ht="18" customHeight="1">
      <c r="A60" s="19">
        <v>54</v>
      </c>
      <c r="B60" s="2" t="s">
        <v>4170</v>
      </c>
      <c r="C60" s="1">
        <v>4232646</v>
      </c>
      <c r="D60" s="3" t="s">
        <v>4171</v>
      </c>
      <c r="E60" s="1" t="s">
        <v>59</v>
      </c>
      <c r="F60" s="10" t="s">
        <v>4164</v>
      </c>
      <c r="G60" s="2" t="s">
        <v>2729</v>
      </c>
      <c r="H60" s="6">
        <v>16</v>
      </c>
      <c r="I60" s="6">
        <v>95</v>
      </c>
      <c r="J60" s="6">
        <v>24</v>
      </c>
      <c r="K60" s="6">
        <v>0</v>
      </c>
      <c r="L60" s="6">
        <v>32</v>
      </c>
      <c r="M60" s="6">
        <v>16</v>
      </c>
      <c r="N60" s="6">
        <v>52</v>
      </c>
      <c r="O60" s="6">
        <v>8</v>
      </c>
      <c r="P60" s="1">
        <f t="shared" si="3"/>
        <v>243</v>
      </c>
      <c r="Q60" s="14">
        <f t="shared" si="4"/>
        <v>30.375</v>
      </c>
      <c r="R60" s="20">
        <f t="shared" si="5"/>
        <v>54</v>
      </c>
    </row>
    <row r="61" spans="1:18" ht="18" customHeight="1">
      <c r="A61" s="19">
        <v>55</v>
      </c>
      <c r="B61" s="28" t="s">
        <v>4168</v>
      </c>
      <c r="C61" s="29">
        <v>4032609</v>
      </c>
      <c r="D61" s="30" t="s">
        <v>4169</v>
      </c>
      <c r="E61" s="29" t="s">
        <v>79</v>
      </c>
      <c r="F61" s="31" t="s">
        <v>4164</v>
      </c>
      <c r="G61" s="28" t="s">
        <v>2729</v>
      </c>
      <c r="H61" s="46">
        <v>12</v>
      </c>
      <c r="I61" s="46">
        <v>85</v>
      </c>
      <c r="J61" s="46">
        <v>28</v>
      </c>
      <c r="K61" s="46">
        <v>20</v>
      </c>
      <c r="L61" s="46">
        <v>4</v>
      </c>
      <c r="M61" s="46">
        <v>8</v>
      </c>
      <c r="N61" s="46">
        <v>56</v>
      </c>
      <c r="O61" s="46">
        <v>8</v>
      </c>
      <c r="P61" s="29">
        <f t="shared" si="3"/>
        <v>221</v>
      </c>
      <c r="Q61" s="41">
        <f t="shared" si="4"/>
        <v>27.625</v>
      </c>
      <c r="R61" s="33">
        <f t="shared" si="5"/>
        <v>55</v>
      </c>
    </row>
  </sheetData>
  <mergeCells count="4">
    <mergeCell ref="A1:P1"/>
    <mergeCell ref="A2:P2"/>
    <mergeCell ref="A3:P3"/>
    <mergeCell ref="A5:B5"/>
  </mergeCells>
  <conditionalFormatting sqref="H7:L7">
    <cfRule type="cellIs" dxfId="2762" priority="274" operator="lessThan">
      <formula>5</formula>
    </cfRule>
  </conditionalFormatting>
  <conditionalFormatting sqref="M7:O7">
    <cfRule type="cellIs" dxfId="2761" priority="275" operator="lessThan">
      <formula>5</formula>
    </cfRule>
  </conditionalFormatting>
  <conditionalFormatting sqref="H7:O7">
    <cfRule type="expression" dxfId="2760" priority="273">
      <formula>5</formula>
    </cfRule>
  </conditionalFormatting>
  <conditionalFormatting sqref="H7:O7">
    <cfRule type="cellIs" dxfId="2759" priority="272" operator="lessThan">
      <formula>50</formula>
    </cfRule>
  </conditionalFormatting>
  <conditionalFormatting sqref="Q7">
    <cfRule type="cellIs" dxfId="2758" priority="271" operator="lessThan">
      <formula>50</formula>
    </cfRule>
  </conditionalFormatting>
  <conditionalFormatting sqref="H8:L8">
    <cfRule type="cellIs" dxfId="2757" priority="269" operator="lessThan">
      <formula>5</formula>
    </cfRule>
  </conditionalFormatting>
  <conditionalFormatting sqref="M8:O8">
    <cfRule type="cellIs" dxfId="2756" priority="270" operator="lessThan">
      <formula>5</formula>
    </cfRule>
  </conditionalFormatting>
  <conditionalFormatting sqref="H8:O8">
    <cfRule type="expression" dxfId="2755" priority="268">
      <formula>5</formula>
    </cfRule>
  </conditionalFormatting>
  <conditionalFormatting sqref="H8:O8">
    <cfRule type="cellIs" dxfId="2754" priority="267" operator="lessThan">
      <formula>50</formula>
    </cfRule>
  </conditionalFormatting>
  <conditionalFormatting sqref="Q8">
    <cfRule type="cellIs" dxfId="2753" priority="266" operator="lessThan">
      <formula>50</formula>
    </cfRule>
  </conditionalFormatting>
  <conditionalFormatting sqref="H9:L9">
    <cfRule type="cellIs" dxfId="2752" priority="264" operator="lessThan">
      <formula>5</formula>
    </cfRule>
  </conditionalFormatting>
  <conditionalFormatting sqref="M9:O9">
    <cfRule type="cellIs" dxfId="2751" priority="265" operator="lessThan">
      <formula>5</formula>
    </cfRule>
  </conditionalFormatting>
  <conditionalFormatting sqref="H9:O9">
    <cfRule type="expression" dxfId="2750" priority="263">
      <formula>5</formula>
    </cfRule>
  </conditionalFormatting>
  <conditionalFormatting sqref="H9:O9">
    <cfRule type="cellIs" dxfId="2749" priority="262" operator="lessThan">
      <formula>50</formula>
    </cfRule>
  </conditionalFormatting>
  <conditionalFormatting sqref="Q9">
    <cfRule type="cellIs" dxfId="2748" priority="261" operator="lessThan">
      <formula>50</formula>
    </cfRule>
  </conditionalFormatting>
  <conditionalFormatting sqref="H10:L10">
    <cfRule type="cellIs" dxfId="2747" priority="259" operator="lessThan">
      <formula>5</formula>
    </cfRule>
  </conditionalFormatting>
  <conditionalFormatting sqref="M10:O10">
    <cfRule type="cellIs" dxfId="2746" priority="260" operator="lessThan">
      <formula>5</formula>
    </cfRule>
  </conditionalFormatting>
  <conditionalFormatting sqref="H10:O10">
    <cfRule type="expression" dxfId="2745" priority="258">
      <formula>5</formula>
    </cfRule>
  </conditionalFormatting>
  <conditionalFormatting sqref="H10:O10">
    <cfRule type="cellIs" dxfId="2744" priority="257" operator="lessThan">
      <formula>50</formula>
    </cfRule>
  </conditionalFormatting>
  <conditionalFormatting sqref="Q10">
    <cfRule type="cellIs" dxfId="2743" priority="256" operator="lessThan">
      <formula>50</formula>
    </cfRule>
  </conditionalFormatting>
  <conditionalFormatting sqref="H11:L11">
    <cfRule type="cellIs" dxfId="2742" priority="254" operator="lessThan">
      <formula>5</formula>
    </cfRule>
  </conditionalFormatting>
  <conditionalFormatting sqref="M11:O11">
    <cfRule type="cellIs" dxfId="2741" priority="255" operator="lessThan">
      <formula>5</formula>
    </cfRule>
  </conditionalFormatting>
  <conditionalFormatting sqref="H11:O11">
    <cfRule type="expression" dxfId="2740" priority="253">
      <formula>5</formula>
    </cfRule>
  </conditionalFormatting>
  <conditionalFormatting sqref="H11:O11">
    <cfRule type="cellIs" dxfId="2739" priority="252" operator="lessThan">
      <formula>50</formula>
    </cfRule>
  </conditionalFormatting>
  <conditionalFormatting sqref="Q11">
    <cfRule type="cellIs" dxfId="2738" priority="251" operator="lessThan">
      <formula>50</formula>
    </cfRule>
  </conditionalFormatting>
  <conditionalFormatting sqref="H12:L12">
    <cfRule type="cellIs" dxfId="2737" priority="249" operator="lessThan">
      <formula>5</formula>
    </cfRule>
  </conditionalFormatting>
  <conditionalFormatting sqref="M12:O12">
    <cfRule type="cellIs" dxfId="2736" priority="250" operator="lessThan">
      <formula>5</formula>
    </cfRule>
  </conditionalFormatting>
  <conditionalFormatting sqref="H12:O12">
    <cfRule type="expression" dxfId="2735" priority="248">
      <formula>5</formula>
    </cfRule>
  </conditionalFormatting>
  <conditionalFormatting sqref="H12:O12">
    <cfRule type="cellIs" dxfId="2734" priority="247" operator="lessThan">
      <formula>50</formula>
    </cfRule>
  </conditionalFormatting>
  <conditionalFormatting sqref="Q12">
    <cfRule type="cellIs" dxfId="2733" priority="246" operator="lessThan">
      <formula>50</formula>
    </cfRule>
  </conditionalFormatting>
  <conditionalFormatting sqref="H13:L13">
    <cfRule type="cellIs" dxfId="2732" priority="244" operator="lessThan">
      <formula>5</formula>
    </cfRule>
  </conditionalFormatting>
  <conditionalFormatting sqref="M13:O13">
    <cfRule type="cellIs" dxfId="2731" priority="245" operator="lessThan">
      <formula>5</formula>
    </cfRule>
  </conditionalFormatting>
  <conditionalFormatting sqref="H13:O13">
    <cfRule type="expression" dxfId="2730" priority="243">
      <formula>5</formula>
    </cfRule>
  </conditionalFormatting>
  <conditionalFormatting sqref="H13:O13">
    <cfRule type="cellIs" dxfId="2729" priority="242" operator="lessThan">
      <formula>50</formula>
    </cfRule>
  </conditionalFormatting>
  <conditionalFormatting sqref="Q13">
    <cfRule type="cellIs" dxfId="2728" priority="241" operator="lessThan">
      <formula>50</formula>
    </cfRule>
  </conditionalFormatting>
  <conditionalFormatting sqref="H14:L14">
    <cfRule type="cellIs" dxfId="2727" priority="239" operator="lessThan">
      <formula>5</formula>
    </cfRule>
  </conditionalFormatting>
  <conditionalFormatting sqref="M14:O14">
    <cfRule type="cellIs" dxfId="2726" priority="240" operator="lessThan">
      <formula>5</formula>
    </cfRule>
  </conditionalFormatting>
  <conditionalFormatting sqref="H14:O14">
    <cfRule type="expression" dxfId="2725" priority="238">
      <formula>5</formula>
    </cfRule>
  </conditionalFormatting>
  <conditionalFormatting sqref="H14:O14">
    <cfRule type="cellIs" dxfId="2724" priority="237" operator="lessThan">
      <formula>50</formula>
    </cfRule>
  </conditionalFormatting>
  <conditionalFormatting sqref="Q14">
    <cfRule type="cellIs" dxfId="2723" priority="236" operator="lessThan">
      <formula>50</formula>
    </cfRule>
  </conditionalFormatting>
  <conditionalFormatting sqref="H15:L15">
    <cfRule type="cellIs" dxfId="2722" priority="234" operator="lessThan">
      <formula>5</formula>
    </cfRule>
  </conditionalFormatting>
  <conditionalFormatting sqref="M15:O15">
    <cfRule type="cellIs" dxfId="2721" priority="235" operator="lessThan">
      <formula>5</formula>
    </cfRule>
  </conditionalFormatting>
  <conditionalFormatting sqref="H15:O15">
    <cfRule type="expression" dxfId="2720" priority="233">
      <formula>5</formula>
    </cfRule>
  </conditionalFormatting>
  <conditionalFormatting sqref="H15:O15">
    <cfRule type="cellIs" dxfId="2719" priority="232" operator="lessThan">
      <formula>50</formula>
    </cfRule>
  </conditionalFormatting>
  <conditionalFormatting sqref="Q15">
    <cfRule type="cellIs" dxfId="2718" priority="231" operator="lessThan">
      <formula>50</formula>
    </cfRule>
  </conditionalFormatting>
  <conditionalFormatting sqref="H16:L16">
    <cfRule type="cellIs" dxfId="2717" priority="229" operator="lessThan">
      <formula>5</formula>
    </cfRule>
  </conditionalFormatting>
  <conditionalFormatting sqref="M16:O16">
    <cfRule type="cellIs" dxfId="2716" priority="230" operator="lessThan">
      <formula>5</formula>
    </cfRule>
  </conditionalFormatting>
  <conditionalFormatting sqref="H16:O16">
    <cfRule type="expression" dxfId="2715" priority="228">
      <formula>5</formula>
    </cfRule>
  </conditionalFormatting>
  <conditionalFormatting sqref="H16:O16">
    <cfRule type="cellIs" dxfId="2714" priority="227" operator="lessThan">
      <formula>50</formula>
    </cfRule>
  </conditionalFormatting>
  <conditionalFormatting sqref="Q16">
    <cfRule type="cellIs" dxfId="2713" priority="226" operator="lessThan">
      <formula>50</formula>
    </cfRule>
  </conditionalFormatting>
  <conditionalFormatting sqref="H17:L17">
    <cfRule type="cellIs" dxfId="2712" priority="224" operator="lessThan">
      <formula>5</formula>
    </cfRule>
  </conditionalFormatting>
  <conditionalFormatting sqref="M17:O17">
    <cfRule type="cellIs" dxfId="2711" priority="225" operator="lessThan">
      <formula>5</formula>
    </cfRule>
  </conditionalFormatting>
  <conditionalFormatting sqref="H17:O17">
    <cfRule type="expression" dxfId="2710" priority="223">
      <formula>5</formula>
    </cfRule>
  </conditionalFormatting>
  <conditionalFormatting sqref="H17:O17">
    <cfRule type="cellIs" dxfId="2709" priority="222" operator="lessThan">
      <formula>50</formula>
    </cfRule>
  </conditionalFormatting>
  <conditionalFormatting sqref="Q17">
    <cfRule type="cellIs" dxfId="2708" priority="221" operator="lessThan">
      <formula>50</formula>
    </cfRule>
  </conditionalFormatting>
  <conditionalFormatting sqref="H18:L18">
    <cfRule type="cellIs" dxfId="2707" priority="219" operator="lessThan">
      <formula>5</formula>
    </cfRule>
  </conditionalFormatting>
  <conditionalFormatting sqref="M18:O18">
    <cfRule type="cellIs" dxfId="2706" priority="220" operator="lessThan">
      <formula>5</formula>
    </cfRule>
  </conditionalFormatting>
  <conditionalFormatting sqref="H18:O18">
    <cfRule type="expression" dxfId="2705" priority="218">
      <formula>5</formula>
    </cfRule>
  </conditionalFormatting>
  <conditionalFormatting sqref="H18:O18">
    <cfRule type="cellIs" dxfId="2704" priority="217" operator="lessThan">
      <formula>50</formula>
    </cfRule>
  </conditionalFormatting>
  <conditionalFormatting sqref="Q18">
    <cfRule type="cellIs" dxfId="2703" priority="216" operator="lessThan">
      <formula>50</formula>
    </cfRule>
  </conditionalFormatting>
  <conditionalFormatting sqref="H19:L19">
    <cfRule type="cellIs" dxfId="2702" priority="214" operator="lessThan">
      <formula>5</formula>
    </cfRule>
  </conditionalFormatting>
  <conditionalFormatting sqref="M19:O19">
    <cfRule type="cellIs" dxfId="2701" priority="215" operator="lessThan">
      <formula>5</formula>
    </cfRule>
  </conditionalFormatting>
  <conditionalFormatting sqref="H19:O19">
    <cfRule type="expression" dxfId="2700" priority="213">
      <formula>5</formula>
    </cfRule>
  </conditionalFormatting>
  <conditionalFormatting sqref="H19:O19">
    <cfRule type="cellIs" dxfId="2699" priority="212" operator="lessThan">
      <formula>50</formula>
    </cfRule>
  </conditionalFormatting>
  <conditionalFormatting sqref="Q19">
    <cfRule type="cellIs" dxfId="2698" priority="211" operator="lessThan">
      <formula>50</formula>
    </cfRule>
  </conditionalFormatting>
  <conditionalFormatting sqref="H20:L20">
    <cfRule type="cellIs" dxfId="2697" priority="209" operator="lessThan">
      <formula>5</formula>
    </cfRule>
  </conditionalFormatting>
  <conditionalFormatting sqref="M20:O20">
    <cfRule type="cellIs" dxfId="2696" priority="210" operator="lessThan">
      <formula>5</formula>
    </cfRule>
  </conditionalFormatting>
  <conditionalFormatting sqref="H20:O20">
    <cfRule type="expression" dxfId="2695" priority="208">
      <formula>5</formula>
    </cfRule>
  </conditionalFormatting>
  <conditionalFormatting sqref="H20:O20">
    <cfRule type="cellIs" dxfId="2694" priority="207" operator="lessThan">
      <formula>50</formula>
    </cfRule>
  </conditionalFormatting>
  <conditionalFormatting sqref="Q20">
    <cfRule type="cellIs" dxfId="2693" priority="206" operator="lessThan">
      <formula>50</formula>
    </cfRule>
  </conditionalFormatting>
  <conditionalFormatting sqref="H21:L21">
    <cfRule type="cellIs" dxfId="2692" priority="204" operator="lessThan">
      <formula>5</formula>
    </cfRule>
  </conditionalFormatting>
  <conditionalFormatting sqref="M21:O21">
    <cfRule type="cellIs" dxfId="2691" priority="205" operator="lessThan">
      <formula>5</formula>
    </cfRule>
  </conditionalFormatting>
  <conditionalFormatting sqref="H21:O21">
    <cfRule type="expression" dxfId="2690" priority="203">
      <formula>5</formula>
    </cfRule>
  </conditionalFormatting>
  <conditionalFormatting sqref="H21:O21">
    <cfRule type="cellIs" dxfId="2689" priority="202" operator="lessThan">
      <formula>50</formula>
    </cfRule>
  </conditionalFormatting>
  <conditionalFormatting sqref="Q21">
    <cfRule type="cellIs" dxfId="2688" priority="201" operator="lessThan">
      <formula>50</formula>
    </cfRule>
  </conditionalFormatting>
  <conditionalFormatting sqref="H22:L22">
    <cfRule type="cellIs" dxfId="2687" priority="199" operator="lessThan">
      <formula>5</formula>
    </cfRule>
  </conditionalFormatting>
  <conditionalFormatting sqref="M22:O22">
    <cfRule type="cellIs" dxfId="2686" priority="200" operator="lessThan">
      <formula>5</formula>
    </cfRule>
  </conditionalFormatting>
  <conditionalFormatting sqref="H22:O22">
    <cfRule type="expression" dxfId="2685" priority="198">
      <formula>5</formula>
    </cfRule>
  </conditionalFormatting>
  <conditionalFormatting sqref="H22:O22">
    <cfRule type="cellIs" dxfId="2684" priority="197" operator="lessThan">
      <formula>50</formula>
    </cfRule>
  </conditionalFormatting>
  <conditionalFormatting sqref="Q22">
    <cfRule type="cellIs" dxfId="2683" priority="196" operator="lessThan">
      <formula>50</formula>
    </cfRule>
  </conditionalFormatting>
  <conditionalFormatting sqref="H23:L23">
    <cfRule type="cellIs" dxfId="2682" priority="194" operator="lessThan">
      <formula>5</formula>
    </cfRule>
  </conditionalFormatting>
  <conditionalFormatting sqref="M23:O23">
    <cfRule type="cellIs" dxfId="2681" priority="195" operator="lessThan">
      <formula>5</formula>
    </cfRule>
  </conditionalFormatting>
  <conditionalFormatting sqref="H23:O23">
    <cfRule type="expression" dxfId="2680" priority="193">
      <formula>5</formula>
    </cfRule>
  </conditionalFormatting>
  <conditionalFormatting sqref="H23:O23">
    <cfRule type="cellIs" dxfId="2679" priority="192" operator="lessThan">
      <formula>50</formula>
    </cfRule>
  </conditionalFormatting>
  <conditionalFormatting sqref="Q23">
    <cfRule type="cellIs" dxfId="2678" priority="191" operator="lessThan">
      <formula>50</formula>
    </cfRule>
  </conditionalFormatting>
  <conditionalFormatting sqref="H24:L24">
    <cfRule type="cellIs" dxfId="2677" priority="189" operator="lessThan">
      <formula>5</formula>
    </cfRule>
  </conditionalFormatting>
  <conditionalFormatting sqref="M24:O24">
    <cfRule type="cellIs" dxfId="2676" priority="190" operator="lessThan">
      <formula>5</formula>
    </cfRule>
  </conditionalFormatting>
  <conditionalFormatting sqref="H24:O24">
    <cfRule type="expression" dxfId="2675" priority="188">
      <formula>5</formula>
    </cfRule>
  </conditionalFormatting>
  <conditionalFormatting sqref="H24:O24">
    <cfRule type="cellIs" dxfId="2674" priority="187" operator="lessThan">
      <formula>50</formula>
    </cfRule>
  </conditionalFormatting>
  <conditionalFormatting sqref="Q24">
    <cfRule type="cellIs" dxfId="2673" priority="186" operator="lessThan">
      <formula>50</formula>
    </cfRule>
  </conditionalFormatting>
  <conditionalFormatting sqref="H25:L25">
    <cfRule type="cellIs" dxfId="2672" priority="184" operator="lessThan">
      <formula>5</formula>
    </cfRule>
  </conditionalFormatting>
  <conditionalFormatting sqref="M25:O25">
    <cfRule type="cellIs" dxfId="2671" priority="185" operator="lessThan">
      <formula>5</formula>
    </cfRule>
  </conditionalFormatting>
  <conditionalFormatting sqref="H25:O25">
    <cfRule type="expression" dxfId="2670" priority="183">
      <formula>5</formula>
    </cfRule>
  </conditionalFormatting>
  <conditionalFormatting sqref="H25:O25">
    <cfRule type="cellIs" dxfId="2669" priority="182" operator="lessThan">
      <formula>50</formula>
    </cfRule>
  </conditionalFormatting>
  <conditionalFormatting sqref="Q25">
    <cfRule type="cellIs" dxfId="2668" priority="181" operator="lessThan">
      <formula>50</formula>
    </cfRule>
  </conditionalFormatting>
  <conditionalFormatting sqref="H26:L26">
    <cfRule type="cellIs" dxfId="2667" priority="179" operator="lessThan">
      <formula>5</formula>
    </cfRule>
  </conditionalFormatting>
  <conditionalFormatting sqref="M26:O26">
    <cfRule type="cellIs" dxfId="2666" priority="180" operator="lessThan">
      <formula>5</formula>
    </cfRule>
  </conditionalFormatting>
  <conditionalFormatting sqref="H26:O26">
    <cfRule type="expression" dxfId="2665" priority="178">
      <formula>5</formula>
    </cfRule>
  </conditionalFormatting>
  <conditionalFormatting sqref="H26:O26">
    <cfRule type="cellIs" dxfId="2664" priority="177" operator="lessThan">
      <formula>50</formula>
    </cfRule>
  </conditionalFormatting>
  <conditionalFormatting sqref="Q26">
    <cfRule type="cellIs" dxfId="2663" priority="176" operator="lessThan">
      <formula>50</formula>
    </cfRule>
  </conditionalFormatting>
  <conditionalFormatting sqref="H27:L27">
    <cfRule type="cellIs" dxfId="2662" priority="174" operator="lessThan">
      <formula>5</formula>
    </cfRule>
  </conditionalFormatting>
  <conditionalFormatting sqref="M27:O27">
    <cfRule type="cellIs" dxfId="2661" priority="175" operator="lessThan">
      <formula>5</formula>
    </cfRule>
  </conditionalFormatting>
  <conditionalFormatting sqref="H27:O27">
    <cfRule type="expression" dxfId="2660" priority="173">
      <formula>5</formula>
    </cfRule>
  </conditionalFormatting>
  <conditionalFormatting sqref="H27:O27">
    <cfRule type="cellIs" dxfId="2659" priority="172" operator="lessThan">
      <formula>50</formula>
    </cfRule>
  </conditionalFormatting>
  <conditionalFormatting sqref="Q27">
    <cfRule type="cellIs" dxfId="2658" priority="171" operator="lessThan">
      <formula>50</formula>
    </cfRule>
  </conditionalFormatting>
  <conditionalFormatting sqref="H28:L28">
    <cfRule type="cellIs" dxfId="2657" priority="169" operator="lessThan">
      <formula>5</formula>
    </cfRule>
  </conditionalFormatting>
  <conditionalFormatting sqref="M28:O28">
    <cfRule type="cellIs" dxfId="2656" priority="170" operator="lessThan">
      <formula>5</formula>
    </cfRule>
  </conditionalFormatting>
  <conditionalFormatting sqref="H28:O28">
    <cfRule type="expression" dxfId="2655" priority="168">
      <formula>5</formula>
    </cfRule>
  </conditionalFormatting>
  <conditionalFormatting sqref="H28:O28">
    <cfRule type="cellIs" dxfId="2654" priority="167" operator="lessThan">
      <formula>50</formula>
    </cfRule>
  </conditionalFormatting>
  <conditionalFormatting sqref="Q28">
    <cfRule type="cellIs" dxfId="2653" priority="166" operator="lessThan">
      <formula>50</formula>
    </cfRule>
  </conditionalFormatting>
  <conditionalFormatting sqref="H29:L29">
    <cfRule type="cellIs" dxfId="2652" priority="164" operator="lessThan">
      <formula>5</formula>
    </cfRule>
  </conditionalFormatting>
  <conditionalFormatting sqref="M29:O29">
    <cfRule type="cellIs" dxfId="2651" priority="165" operator="lessThan">
      <formula>5</formula>
    </cfRule>
  </conditionalFormatting>
  <conditionalFormatting sqref="H29:O29">
    <cfRule type="expression" dxfId="2650" priority="163">
      <formula>5</formula>
    </cfRule>
  </conditionalFormatting>
  <conditionalFormatting sqref="H29:O29">
    <cfRule type="cellIs" dxfId="2649" priority="162" operator="lessThan">
      <formula>50</formula>
    </cfRule>
  </conditionalFormatting>
  <conditionalFormatting sqref="Q29">
    <cfRule type="cellIs" dxfId="2648" priority="161" operator="lessThan">
      <formula>50</formula>
    </cfRule>
  </conditionalFormatting>
  <conditionalFormatting sqref="H30:L30">
    <cfRule type="cellIs" dxfId="2647" priority="159" operator="lessThan">
      <formula>5</formula>
    </cfRule>
  </conditionalFormatting>
  <conditionalFormatting sqref="M30:O30">
    <cfRule type="cellIs" dxfId="2646" priority="160" operator="lessThan">
      <formula>5</formula>
    </cfRule>
  </conditionalFormatting>
  <conditionalFormatting sqref="H30:O30">
    <cfRule type="expression" dxfId="2645" priority="158">
      <formula>5</formula>
    </cfRule>
  </conditionalFormatting>
  <conditionalFormatting sqref="H30:O30">
    <cfRule type="cellIs" dxfId="2644" priority="157" operator="lessThan">
      <formula>50</formula>
    </cfRule>
  </conditionalFormatting>
  <conditionalFormatting sqref="Q30">
    <cfRule type="cellIs" dxfId="2643" priority="156" operator="lessThan">
      <formula>50</formula>
    </cfRule>
  </conditionalFormatting>
  <conditionalFormatting sqref="H31:L31">
    <cfRule type="cellIs" dxfId="2642" priority="154" operator="lessThan">
      <formula>5</formula>
    </cfRule>
  </conditionalFormatting>
  <conditionalFormatting sqref="M31:O31">
    <cfRule type="cellIs" dxfId="2641" priority="155" operator="lessThan">
      <formula>5</formula>
    </cfRule>
  </conditionalFormatting>
  <conditionalFormatting sqref="H31:O31">
    <cfRule type="expression" dxfId="2640" priority="153">
      <formula>5</formula>
    </cfRule>
  </conditionalFormatting>
  <conditionalFormatting sqref="H31:O31">
    <cfRule type="cellIs" dxfId="2639" priority="152" operator="lessThan">
      <formula>50</formula>
    </cfRule>
  </conditionalFormatting>
  <conditionalFormatting sqref="Q31">
    <cfRule type="cellIs" dxfId="2638" priority="151" operator="lessThan">
      <formula>50</formula>
    </cfRule>
  </conditionalFormatting>
  <conditionalFormatting sqref="H32:L32">
    <cfRule type="cellIs" dxfId="2637" priority="149" operator="lessThan">
      <formula>5</formula>
    </cfRule>
  </conditionalFormatting>
  <conditionalFormatting sqref="M32:O32">
    <cfRule type="cellIs" dxfId="2636" priority="150" operator="lessThan">
      <formula>5</formula>
    </cfRule>
  </conditionalFormatting>
  <conditionalFormatting sqref="H32:O32">
    <cfRule type="expression" dxfId="2635" priority="148">
      <formula>5</formula>
    </cfRule>
  </conditionalFormatting>
  <conditionalFormatting sqref="H32:O32">
    <cfRule type="cellIs" dxfId="2634" priority="147" operator="lessThan">
      <formula>50</formula>
    </cfRule>
  </conditionalFormatting>
  <conditionalFormatting sqref="Q32">
    <cfRule type="cellIs" dxfId="2633" priority="146" operator="lessThan">
      <formula>50</formula>
    </cfRule>
  </conditionalFormatting>
  <conditionalFormatting sqref="H33:L33">
    <cfRule type="cellIs" dxfId="2632" priority="144" operator="lessThan">
      <formula>5</formula>
    </cfRule>
  </conditionalFormatting>
  <conditionalFormatting sqref="M33:O33">
    <cfRule type="cellIs" dxfId="2631" priority="145" operator="lessThan">
      <formula>5</formula>
    </cfRule>
  </conditionalFormatting>
  <conditionalFormatting sqref="H33:O33">
    <cfRule type="expression" dxfId="2630" priority="143">
      <formula>5</formula>
    </cfRule>
  </conditionalFormatting>
  <conditionalFormatting sqref="H33:O33">
    <cfRule type="cellIs" dxfId="2629" priority="142" operator="lessThan">
      <formula>50</formula>
    </cfRule>
  </conditionalFormatting>
  <conditionalFormatting sqref="Q33">
    <cfRule type="cellIs" dxfId="2628" priority="141" operator="lessThan">
      <formula>50</formula>
    </cfRule>
  </conditionalFormatting>
  <conditionalFormatting sqref="H34:L34">
    <cfRule type="cellIs" dxfId="2627" priority="139" operator="lessThan">
      <formula>5</formula>
    </cfRule>
  </conditionalFormatting>
  <conditionalFormatting sqref="M34:O34">
    <cfRule type="cellIs" dxfId="2626" priority="140" operator="lessThan">
      <formula>5</formula>
    </cfRule>
  </conditionalFormatting>
  <conditionalFormatting sqref="H34:O34">
    <cfRule type="expression" dxfId="2625" priority="138">
      <formula>5</formula>
    </cfRule>
  </conditionalFormatting>
  <conditionalFormatting sqref="H34:O34">
    <cfRule type="cellIs" dxfId="2624" priority="137" operator="lessThan">
      <formula>50</formula>
    </cfRule>
  </conditionalFormatting>
  <conditionalFormatting sqref="Q34">
    <cfRule type="cellIs" dxfId="2623" priority="136" operator="lessThan">
      <formula>50</formula>
    </cfRule>
  </conditionalFormatting>
  <conditionalFormatting sqref="H35:L35">
    <cfRule type="cellIs" dxfId="2622" priority="134" operator="lessThan">
      <formula>5</formula>
    </cfRule>
  </conditionalFormatting>
  <conditionalFormatting sqref="M35:O35">
    <cfRule type="cellIs" dxfId="2621" priority="135" operator="lessThan">
      <formula>5</formula>
    </cfRule>
  </conditionalFormatting>
  <conditionalFormatting sqref="H35:O35">
    <cfRule type="expression" dxfId="2620" priority="133">
      <formula>5</formula>
    </cfRule>
  </conditionalFormatting>
  <conditionalFormatting sqref="H35:O35">
    <cfRule type="cellIs" dxfId="2619" priority="132" operator="lessThan">
      <formula>50</formula>
    </cfRule>
  </conditionalFormatting>
  <conditionalFormatting sqref="Q35">
    <cfRule type="cellIs" dxfId="2618" priority="131" operator="lessThan">
      <formula>50</formula>
    </cfRule>
  </conditionalFormatting>
  <conditionalFormatting sqref="H36:L36">
    <cfRule type="cellIs" dxfId="2617" priority="129" operator="lessThan">
      <formula>5</formula>
    </cfRule>
  </conditionalFormatting>
  <conditionalFormatting sqref="M36:O36">
    <cfRule type="cellIs" dxfId="2616" priority="130" operator="lessThan">
      <formula>5</formula>
    </cfRule>
  </conditionalFormatting>
  <conditionalFormatting sqref="H36:O36">
    <cfRule type="expression" dxfId="2615" priority="128">
      <formula>5</formula>
    </cfRule>
  </conditionalFormatting>
  <conditionalFormatting sqref="H36:O36">
    <cfRule type="cellIs" dxfId="2614" priority="127" operator="lessThan">
      <formula>50</formula>
    </cfRule>
  </conditionalFormatting>
  <conditionalFormatting sqref="Q36">
    <cfRule type="cellIs" dxfId="2613" priority="126" operator="lessThan">
      <formula>50</formula>
    </cfRule>
  </conditionalFormatting>
  <conditionalFormatting sqref="H37:L37">
    <cfRule type="cellIs" dxfId="2612" priority="124" operator="lessThan">
      <formula>5</formula>
    </cfRule>
  </conditionalFormatting>
  <conditionalFormatting sqref="M37:O37">
    <cfRule type="cellIs" dxfId="2611" priority="125" operator="lessThan">
      <formula>5</formula>
    </cfRule>
  </conditionalFormatting>
  <conditionalFormatting sqref="H37:O37">
    <cfRule type="expression" dxfId="2610" priority="123">
      <formula>5</formula>
    </cfRule>
  </conditionalFormatting>
  <conditionalFormatting sqref="H37:O37">
    <cfRule type="cellIs" dxfId="2609" priority="122" operator="lessThan">
      <formula>50</formula>
    </cfRule>
  </conditionalFormatting>
  <conditionalFormatting sqref="Q37">
    <cfRule type="cellIs" dxfId="2608" priority="121" operator="lessThan">
      <formula>50</formula>
    </cfRule>
  </conditionalFormatting>
  <conditionalFormatting sqref="H38:L38">
    <cfRule type="cellIs" dxfId="2607" priority="119" operator="lessThan">
      <formula>5</formula>
    </cfRule>
  </conditionalFormatting>
  <conditionalFormatting sqref="M38:O38">
    <cfRule type="cellIs" dxfId="2606" priority="120" operator="lessThan">
      <formula>5</formula>
    </cfRule>
  </conditionalFormatting>
  <conditionalFormatting sqref="H38:O38">
    <cfRule type="expression" dxfId="2605" priority="118">
      <formula>5</formula>
    </cfRule>
  </conditionalFormatting>
  <conditionalFormatting sqref="H38:O38">
    <cfRule type="cellIs" dxfId="2604" priority="117" operator="lessThan">
      <formula>50</formula>
    </cfRule>
  </conditionalFormatting>
  <conditionalFormatting sqref="Q38">
    <cfRule type="cellIs" dxfId="2603" priority="116" operator="lessThan">
      <formula>50</formula>
    </cfRule>
  </conditionalFormatting>
  <conditionalFormatting sqref="H39:L39">
    <cfRule type="cellIs" dxfId="2602" priority="114" operator="lessThan">
      <formula>5</formula>
    </cfRule>
  </conditionalFormatting>
  <conditionalFormatting sqref="M39:O39">
    <cfRule type="cellIs" dxfId="2601" priority="115" operator="lessThan">
      <formula>5</formula>
    </cfRule>
  </conditionalFormatting>
  <conditionalFormatting sqref="H39:O39">
    <cfRule type="expression" dxfId="2600" priority="113">
      <formula>5</formula>
    </cfRule>
  </conditionalFormatting>
  <conditionalFormatting sqref="H39:O39">
    <cfRule type="cellIs" dxfId="2599" priority="112" operator="lessThan">
      <formula>50</formula>
    </cfRule>
  </conditionalFormatting>
  <conditionalFormatting sqref="Q39">
    <cfRule type="cellIs" dxfId="2598" priority="111" operator="lessThan">
      <formula>50</formula>
    </cfRule>
  </conditionalFormatting>
  <conditionalFormatting sqref="H40:L40">
    <cfRule type="cellIs" dxfId="2597" priority="109" operator="lessThan">
      <formula>5</formula>
    </cfRule>
  </conditionalFormatting>
  <conditionalFormatting sqref="M40:O40">
    <cfRule type="cellIs" dxfId="2596" priority="110" operator="lessThan">
      <formula>5</formula>
    </cfRule>
  </conditionalFormatting>
  <conditionalFormatting sqref="H40:O40">
    <cfRule type="expression" dxfId="2595" priority="108">
      <formula>5</formula>
    </cfRule>
  </conditionalFormatting>
  <conditionalFormatting sqref="H40:O40">
    <cfRule type="cellIs" dxfId="2594" priority="107" operator="lessThan">
      <formula>50</formula>
    </cfRule>
  </conditionalFormatting>
  <conditionalFormatting sqref="Q40">
    <cfRule type="cellIs" dxfId="2593" priority="106" operator="lessThan">
      <formula>50</formula>
    </cfRule>
  </conditionalFormatting>
  <conditionalFormatting sqref="H41:L41">
    <cfRule type="cellIs" dxfId="2592" priority="104" operator="lessThan">
      <formula>5</formula>
    </cfRule>
  </conditionalFormatting>
  <conditionalFormatting sqref="M41:O41">
    <cfRule type="cellIs" dxfId="2591" priority="105" operator="lessThan">
      <formula>5</formula>
    </cfRule>
  </conditionalFormatting>
  <conditionalFormatting sqref="H41:O41">
    <cfRule type="expression" dxfId="2590" priority="103">
      <formula>5</formula>
    </cfRule>
  </conditionalFormatting>
  <conditionalFormatting sqref="H41:O41">
    <cfRule type="cellIs" dxfId="2589" priority="102" operator="lessThan">
      <formula>50</formula>
    </cfRule>
  </conditionalFormatting>
  <conditionalFormatting sqref="Q41">
    <cfRule type="cellIs" dxfId="2588" priority="101" operator="lessThan">
      <formula>50</formula>
    </cfRule>
  </conditionalFormatting>
  <conditionalFormatting sqref="H42:L42">
    <cfRule type="cellIs" dxfId="2587" priority="99" operator="lessThan">
      <formula>5</formula>
    </cfRule>
  </conditionalFormatting>
  <conditionalFormatting sqref="M42:O42">
    <cfRule type="cellIs" dxfId="2586" priority="100" operator="lessThan">
      <formula>5</formula>
    </cfRule>
  </conditionalFormatting>
  <conditionalFormatting sqref="H42:O42">
    <cfRule type="expression" dxfId="2585" priority="98">
      <formula>5</formula>
    </cfRule>
  </conditionalFormatting>
  <conditionalFormatting sqref="H42:O42">
    <cfRule type="cellIs" dxfId="2584" priority="97" operator="lessThan">
      <formula>50</formula>
    </cfRule>
  </conditionalFormatting>
  <conditionalFormatting sqref="Q42">
    <cfRule type="cellIs" dxfId="2583" priority="96" operator="lessThan">
      <formula>50</formula>
    </cfRule>
  </conditionalFormatting>
  <conditionalFormatting sqref="H43:L43">
    <cfRule type="cellIs" dxfId="2582" priority="94" operator="lessThan">
      <formula>5</formula>
    </cfRule>
  </conditionalFormatting>
  <conditionalFormatting sqref="M43:O43">
    <cfRule type="cellIs" dxfId="2581" priority="95" operator="lessThan">
      <formula>5</formula>
    </cfRule>
  </conditionalFormatting>
  <conditionalFormatting sqref="H43:O43">
    <cfRule type="expression" dxfId="2580" priority="93">
      <formula>5</formula>
    </cfRule>
  </conditionalFormatting>
  <conditionalFormatting sqref="H43:O43">
    <cfRule type="cellIs" dxfId="2579" priority="92" operator="lessThan">
      <formula>50</formula>
    </cfRule>
  </conditionalFormatting>
  <conditionalFormatting sqref="Q43">
    <cfRule type="cellIs" dxfId="2578" priority="91" operator="lessThan">
      <formula>50</formula>
    </cfRule>
  </conditionalFormatting>
  <conditionalFormatting sqref="H44:L44">
    <cfRule type="cellIs" dxfId="2577" priority="89" operator="lessThan">
      <formula>5</formula>
    </cfRule>
  </conditionalFormatting>
  <conditionalFormatting sqref="M44:O44">
    <cfRule type="cellIs" dxfId="2576" priority="90" operator="lessThan">
      <formula>5</formula>
    </cfRule>
  </conditionalFormatting>
  <conditionalFormatting sqref="H44:O44">
    <cfRule type="expression" dxfId="2575" priority="88">
      <formula>5</formula>
    </cfRule>
  </conditionalFormatting>
  <conditionalFormatting sqref="H44:O44">
    <cfRule type="cellIs" dxfId="2574" priority="87" operator="lessThan">
      <formula>50</formula>
    </cfRule>
  </conditionalFormatting>
  <conditionalFormatting sqref="Q44">
    <cfRule type="cellIs" dxfId="2573" priority="86" operator="lessThan">
      <formula>50</formula>
    </cfRule>
  </conditionalFormatting>
  <conditionalFormatting sqref="H45:L45">
    <cfRule type="cellIs" dxfId="2572" priority="84" operator="lessThan">
      <formula>5</formula>
    </cfRule>
  </conditionalFormatting>
  <conditionalFormatting sqref="M45:O45">
    <cfRule type="cellIs" dxfId="2571" priority="85" operator="lessThan">
      <formula>5</formula>
    </cfRule>
  </conditionalFormatting>
  <conditionalFormatting sqref="H45:O45">
    <cfRule type="expression" dxfId="2570" priority="83">
      <formula>5</formula>
    </cfRule>
  </conditionalFormatting>
  <conditionalFormatting sqref="H45:O45">
    <cfRule type="cellIs" dxfId="2569" priority="82" operator="lessThan">
      <formula>50</formula>
    </cfRule>
  </conditionalFormatting>
  <conditionalFormatting sqref="Q45">
    <cfRule type="cellIs" dxfId="2568" priority="81" operator="lessThan">
      <formula>50</formula>
    </cfRule>
  </conditionalFormatting>
  <conditionalFormatting sqref="H46:L46">
    <cfRule type="cellIs" dxfId="2567" priority="79" operator="lessThan">
      <formula>5</formula>
    </cfRule>
  </conditionalFormatting>
  <conditionalFormatting sqref="M46:O46">
    <cfRule type="cellIs" dxfId="2566" priority="80" operator="lessThan">
      <formula>5</formula>
    </cfRule>
  </conditionalFormatting>
  <conditionalFormatting sqref="H46:O46">
    <cfRule type="expression" dxfId="2565" priority="78">
      <formula>5</formula>
    </cfRule>
  </conditionalFormatting>
  <conditionalFormatting sqref="H46:O46">
    <cfRule type="cellIs" dxfId="2564" priority="77" operator="lessThan">
      <formula>50</formula>
    </cfRule>
  </conditionalFormatting>
  <conditionalFormatting sqref="Q46">
    <cfRule type="cellIs" dxfId="2563" priority="76" operator="lessThan">
      <formula>50</formula>
    </cfRule>
  </conditionalFormatting>
  <conditionalFormatting sqref="H47:L47">
    <cfRule type="cellIs" dxfId="2562" priority="74" operator="lessThan">
      <formula>5</formula>
    </cfRule>
  </conditionalFormatting>
  <conditionalFormatting sqref="M47:O47">
    <cfRule type="cellIs" dxfId="2561" priority="75" operator="lessThan">
      <formula>5</formula>
    </cfRule>
  </conditionalFormatting>
  <conditionalFormatting sqref="H47:O47">
    <cfRule type="expression" dxfId="2560" priority="73">
      <formula>5</formula>
    </cfRule>
  </conditionalFormatting>
  <conditionalFormatting sqref="H47:O47">
    <cfRule type="cellIs" dxfId="2559" priority="72" operator="lessThan">
      <formula>50</formula>
    </cfRule>
  </conditionalFormatting>
  <conditionalFormatting sqref="Q47">
    <cfRule type="cellIs" dxfId="2558" priority="71" operator="lessThan">
      <formula>50</formula>
    </cfRule>
  </conditionalFormatting>
  <conditionalFormatting sqref="H48:L48">
    <cfRule type="cellIs" dxfId="2557" priority="69" operator="lessThan">
      <formula>5</formula>
    </cfRule>
  </conditionalFormatting>
  <conditionalFormatting sqref="M48:O48">
    <cfRule type="cellIs" dxfId="2556" priority="70" operator="lessThan">
      <formula>5</formula>
    </cfRule>
  </conditionalFormatting>
  <conditionalFormatting sqref="H48:O48">
    <cfRule type="expression" dxfId="2555" priority="68">
      <formula>5</formula>
    </cfRule>
  </conditionalFormatting>
  <conditionalFormatting sqref="H48:O48">
    <cfRule type="cellIs" dxfId="2554" priority="67" operator="lessThan">
      <formula>50</formula>
    </cfRule>
  </conditionalFormatting>
  <conditionalFormatting sqref="Q48">
    <cfRule type="cellIs" dxfId="2553" priority="66" operator="lessThan">
      <formula>50</formula>
    </cfRule>
  </conditionalFormatting>
  <conditionalFormatting sqref="H49:L49">
    <cfRule type="cellIs" dxfId="2552" priority="64" operator="lessThan">
      <formula>5</formula>
    </cfRule>
  </conditionalFormatting>
  <conditionalFormatting sqref="M49:O49">
    <cfRule type="cellIs" dxfId="2551" priority="65" operator="lessThan">
      <formula>5</formula>
    </cfRule>
  </conditionalFormatting>
  <conditionalFormatting sqref="H49:O49">
    <cfRule type="expression" dxfId="2550" priority="63">
      <formula>5</formula>
    </cfRule>
  </conditionalFormatting>
  <conditionalFormatting sqref="H49:O49">
    <cfRule type="cellIs" dxfId="2549" priority="62" operator="lessThan">
      <formula>50</formula>
    </cfRule>
  </conditionalFormatting>
  <conditionalFormatting sqref="Q49">
    <cfRule type="cellIs" dxfId="2548" priority="61" operator="lessThan">
      <formula>50</formula>
    </cfRule>
  </conditionalFormatting>
  <conditionalFormatting sqref="H50:L50">
    <cfRule type="cellIs" dxfId="2547" priority="59" operator="lessThan">
      <formula>5</formula>
    </cfRule>
  </conditionalFormatting>
  <conditionalFormatting sqref="M50:O50">
    <cfRule type="cellIs" dxfId="2546" priority="60" operator="lessThan">
      <formula>5</formula>
    </cfRule>
  </conditionalFormatting>
  <conditionalFormatting sqref="H50:O50">
    <cfRule type="expression" dxfId="2545" priority="58">
      <formula>5</formula>
    </cfRule>
  </conditionalFormatting>
  <conditionalFormatting sqref="H50:O50">
    <cfRule type="cellIs" dxfId="2544" priority="57" operator="lessThan">
      <formula>50</formula>
    </cfRule>
  </conditionalFormatting>
  <conditionalFormatting sqref="Q50">
    <cfRule type="cellIs" dxfId="2543" priority="56" operator="lessThan">
      <formula>50</formula>
    </cfRule>
  </conditionalFormatting>
  <conditionalFormatting sqref="H51:L51">
    <cfRule type="cellIs" dxfId="2542" priority="54" operator="lessThan">
      <formula>5</formula>
    </cfRule>
  </conditionalFormatting>
  <conditionalFormatting sqref="M51:O51">
    <cfRule type="cellIs" dxfId="2541" priority="55" operator="lessThan">
      <formula>5</formula>
    </cfRule>
  </conditionalFormatting>
  <conditionalFormatting sqref="H51:O51">
    <cfRule type="expression" dxfId="2540" priority="53">
      <formula>5</formula>
    </cfRule>
  </conditionalFormatting>
  <conditionalFormatting sqref="H51:O51">
    <cfRule type="cellIs" dxfId="2539" priority="52" operator="lessThan">
      <formula>50</formula>
    </cfRule>
  </conditionalFormatting>
  <conditionalFormatting sqref="Q51">
    <cfRule type="cellIs" dxfId="2538" priority="51" operator="lessThan">
      <formula>50</formula>
    </cfRule>
  </conditionalFormatting>
  <conditionalFormatting sqref="H52:L52">
    <cfRule type="cellIs" dxfId="2537" priority="49" operator="lessThan">
      <formula>5</formula>
    </cfRule>
  </conditionalFormatting>
  <conditionalFormatting sqref="M52:O52">
    <cfRule type="cellIs" dxfId="2536" priority="50" operator="lessThan">
      <formula>5</formula>
    </cfRule>
  </conditionalFormatting>
  <conditionalFormatting sqref="H52:O52">
    <cfRule type="expression" dxfId="2535" priority="48">
      <formula>5</formula>
    </cfRule>
  </conditionalFormatting>
  <conditionalFormatting sqref="H52:O52">
    <cfRule type="cellIs" dxfId="2534" priority="47" operator="lessThan">
      <formula>50</formula>
    </cfRule>
  </conditionalFormatting>
  <conditionalFormatting sqref="Q52">
    <cfRule type="cellIs" dxfId="2533" priority="46" operator="lessThan">
      <formula>50</formula>
    </cfRule>
  </conditionalFormatting>
  <conditionalFormatting sqref="H53:L53">
    <cfRule type="cellIs" dxfId="2532" priority="44" operator="lessThan">
      <formula>5</formula>
    </cfRule>
  </conditionalFormatting>
  <conditionalFormatting sqref="M53:O53">
    <cfRule type="cellIs" dxfId="2531" priority="45" operator="lessThan">
      <formula>5</formula>
    </cfRule>
  </conditionalFormatting>
  <conditionalFormatting sqref="H53:O53">
    <cfRule type="expression" dxfId="2530" priority="43">
      <formula>5</formula>
    </cfRule>
  </conditionalFormatting>
  <conditionalFormatting sqref="H53:O53">
    <cfRule type="cellIs" dxfId="2529" priority="42" operator="lessThan">
      <formula>50</formula>
    </cfRule>
  </conditionalFormatting>
  <conditionalFormatting sqref="Q53">
    <cfRule type="cellIs" dxfId="2528" priority="41" operator="lessThan">
      <formula>50</formula>
    </cfRule>
  </conditionalFormatting>
  <conditionalFormatting sqref="H54:L54">
    <cfRule type="cellIs" dxfId="2527" priority="39" operator="lessThan">
      <formula>5</formula>
    </cfRule>
  </conditionalFormatting>
  <conditionalFormatting sqref="M54:O54">
    <cfRule type="cellIs" dxfId="2526" priority="40" operator="lessThan">
      <formula>5</formula>
    </cfRule>
  </conditionalFormatting>
  <conditionalFormatting sqref="H54:O54">
    <cfRule type="expression" dxfId="2525" priority="38">
      <formula>5</formula>
    </cfRule>
  </conditionalFormatting>
  <conditionalFormatting sqref="H54:O54">
    <cfRule type="cellIs" dxfId="2524" priority="37" operator="lessThan">
      <formula>50</formula>
    </cfRule>
  </conditionalFormatting>
  <conditionalFormatting sqref="Q54">
    <cfRule type="cellIs" dxfId="2523" priority="36" operator="lessThan">
      <formula>50</formula>
    </cfRule>
  </conditionalFormatting>
  <conditionalFormatting sqref="H55:L55">
    <cfRule type="cellIs" dxfId="2522" priority="34" operator="lessThan">
      <formula>5</formula>
    </cfRule>
  </conditionalFormatting>
  <conditionalFormatting sqref="M55:O55">
    <cfRule type="cellIs" dxfId="2521" priority="35" operator="lessThan">
      <formula>5</formula>
    </cfRule>
  </conditionalFormatting>
  <conditionalFormatting sqref="H55:O55">
    <cfRule type="expression" dxfId="2520" priority="33">
      <formula>5</formula>
    </cfRule>
  </conditionalFormatting>
  <conditionalFormatting sqref="H55:O55">
    <cfRule type="cellIs" dxfId="2519" priority="32" operator="lessThan">
      <formula>50</formula>
    </cfRule>
  </conditionalFormatting>
  <conditionalFormatting sqref="Q55">
    <cfRule type="cellIs" dxfId="2518" priority="31" operator="lessThan">
      <formula>50</formula>
    </cfRule>
  </conditionalFormatting>
  <conditionalFormatting sqref="H56:L56">
    <cfRule type="cellIs" dxfId="2517" priority="29" operator="lessThan">
      <formula>5</formula>
    </cfRule>
  </conditionalFormatting>
  <conditionalFormatting sqref="M56:O56">
    <cfRule type="cellIs" dxfId="2516" priority="30" operator="lessThan">
      <formula>5</formula>
    </cfRule>
  </conditionalFormatting>
  <conditionalFormatting sqref="H56:O56">
    <cfRule type="expression" dxfId="2515" priority="28">
      <formula>5</formula>
    </cfRule>
  </conditionalFormatting>
  <conditionalFormatting sqref="H56:O56">
    <cfRule type="cellIs" dxfId="2514" priority="27" operator="lessThan">
      <formula>50</formula>
    </cfRule>
  </conditionalFormatting>
  <conditionalFormatting sqref="Q56">
    <cfRule type="cellIs" dxfId="2513" priority="26" operator="lessThan">
      <formula>50</formula>
    </cfRule>
  </conditionalFormatting>
  <conditionalFormatting sqref="H57:L57">
    <cfRule type="cellIs" dxfId="2512" priority="24" operator="lessThan">
      <formula>5</formula>
    </cfRule>
  </conditionalFormatting>
  <conditionalFormatting sqref="M57:O57">
    <cfRule type="cellIs" dxfId="2511" priority="25" operator="lessThan">
      <formula>5</formula>
    </cfRule>
  </conditionalFormatting>
  <conditionalFormatting sqref="H57:O57">
    <cfRule type="expression" dxfId="2510" priority="23">
      <formula>5</formula>
    </cfRule>
  </conditionalFormatting>
  <conditionalFormatting sqref="H57:O57">
    <cfRule type="cellIs" dxfId="2509" priority="22" operator="lessThan">
      <formula>50</formula>
    </cfRule>
  </conditionalFormatting>
  <conditionalFormatting sqref="Q57">
    <cfRule type="cellIs" dxfId="2508" priority="21" operator="lessThan">
      <formula>50</formula>
    </cfRule>
  </conditionalFormatting>
  <conditionalFormatting sqref="H58:L58">
    <cfRule type="cellIs" dxfId="2507" priority="19" operator="lessThan">
      <formula>5</formula>
    </cfRule>
  </conditionalFormatting>
  <conditionalFormatting sqref="M58:O58">
    <cfRule type="cellIs" dxfId="2506" priority="20" operator="lessThan">
      <formula>5</formula>
    </cfRule>
  </conditionalFormatting>
  <conditionalFormatting sqref="H58:O58">
    <cfRule type="expression" dxfId="2505" priority="18">
      <formula>5</formula>
    </cfRule>
  </conditionalFormatting>
  <conditionalFormatting sqref="H58:O58">
    <cfRule type="cellIs" dxfId="2504" priority="17" operator="lessThan">
      <formula>50</formula>
    </cfRule>
  </conditionalFormatting>
  <conditionalFormatting sqref="Q58">
    <cfRule type="cellIs" dxfId="2503" priority="16" operator="lessThan">
      <formula>50</formula>
    </cfRule>
  </conditionalFormatting>
  <conditionalFormatting sqref="H59:L59">
    <cfRule type="cellIs" dxfId="2502" priority="14" operator="lessThan">
      <formula>5</formula>
    </cfRule>
  </conditionalFormatting>
  <conditionalFormatting sqref="M59:O59">
    <cfRule type="cellIs" dxfId="2501" priority="15" operator="lessThan">
      <formula>5</formula>
    </cfRule>
  </conditionalFormatting>
  <conditionalFormatting sqref="H59:O59">
    <cfRule type="expression" dxfId="2500" priority="13">
      <formula>5</formula>
    </cfRule>
  </conditionalFormatting>
  <conditionalFormatting sqref="H59:O59">
    <cfRule type="cellIs" dxfId="2499" priority="12" operator="lessThan">
      <formula>50</formula>
    </cfRule>
  </conditionalFormatting>
  <conditionalFormatting sqref="Q59">
    <cfRule type="cellIs" dxfId="2498" priority="11" operator="lessThan">
      <formula>50</formula>
    </cfRule>
  </conditionalFormatting>
  <conditionalFormatting sqref="H60:L60">
    <cfRule type="cellIs" dxfId="2497" priority="9" operator="lessThan">
      <formula>5</formula>
    </cfRule>
  </conditionalFormatting>
  <conditionalFormatting sqref="M60:O60">
    <cfRule type="cellIs" dxfId="2496" priority="10" operator="lessThan">
      <formula>5</formula>
    </cfRule>
  </conditionalFormatting>
  <conditionalFormatting sqref="H60:O60">
    <cfRule type="expression" dxfId="2495" priority="8">
      <formula>5</formula>
    </cfRule>
  </conditionalFormatting>
  <conditionalFormatting sqref="H60:O60">
    <cfRule type="cellIs" dxfId="2494" priority="7" operator="lessThan">
      <formula>50</formula>
    </cfRule>
  </conditionalFormatting>
  <conditionalFormatting sqref="Q60">
    <cfRule type="cellIs" dxfId="2493" priority="6" operator="lessThan">
      <formula>50</formula>
    </cfRule>
  </conditionalFormatting>
  <conditionalFormatting sqref="H61:L61">
    <cfRule type="cellIs" dxfId="2492" priority="4" operator="lessThan">
      <formula>5</formula>
    </cfRule>
  </conditionalFormatting>
  <conditionalFormatting sqref="M61:O61">
    <cfRule type="cellIs" dxfId="2491" priority="5" operator="lessThan">
      <formula>5</formula>
    </cfRule>
  </conditionalFormatting>
  <conditionalFormatting sqref="H61:O61">
    <cfRule type="expression" dxfId="2490" priority="3">
      <formula>5</formula>
    </cfRule>
  </conditionalFormatting>
  <conditionalFormatting sqref="H61:O61">
    <cfRule type="cellIs" dxfId="2489" priority="2" operator="lessThan">
      <formula>50</formula>
    </cfRule>
  </conditionalFormatting>
  <conditionalFormatting sqref="Q61">
    <cfRule type="cellIs" dxfId="2488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5:E16 D20:E21 D24:E25 D28:E34 D36:E36 D38:E52 D54:E56 D59" xr:uid="{416B9026-A58A-463B-BA75-CEF7FBAB9411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E12E-0B0C-4BA6-A525-B629FF297203}">
  <sheetPr codeName="Sheet110"/>
  <dimension ref="A1:R61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5" width="4.7109375" customWidth="1"/>
    <col min="16" max="16" width="6.7109375" customWidth="1"/>
    <col min="17" max="18" width="4.7109375" customWidth="1"/>
  </cols>
  <sheetData>
    <row r="1" spans="1:18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  <c r="R1" s="11"/>
    </row>
    <row r="2" spans="1:18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  <c r="R2" s="11"/>
    </row>
    <row r="3" spans="1:18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  <c r="R3" s="11"/>
    </row>
    <row r="4" spans="1:18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  <c r="R4" s="11"/>
    </row>
    <row r="5" spans="1:18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2"/>
    </row>
    <row r="6" spans="1:18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54" t="s">
        <v>47</v>
      </c>
      <c r="H6" s="39" t="s">
        <v>16</v>
      </c>
      <c r="I6" s="39" t="s">
        <v>3</v>
      </c>
      <c r="J6" s="39" t="s">
        <v>22</v>
      </c>
      <c r="K6" s="39" t="s">
        <v>23</v>
      </c>
      <c r="L6" s="39" t="s">
        <v>24</v>
      </c>
      <c r="M6" s="39" t="s">
        <v>25</v>
      </c>
      <c r="N6" s="39" t="s">
        <v>26</v>
      </c>
      <c r="O6" s="39" t="s">
        <v>27</v>
      </c>
      <c r="P6" s="39" t="s">
        <v>5320</v>
      </c>
      <c r="Q6" s="39" t="s">
        <v>5321</v>
      </c>
      <c r="R6" s="39" t="s">
        <v>5324</v>
      </c>
    </row>
    <row r="7" spans="1:18" ht="18" customHeight="1" thickTop="1">
      <c r="A7" s="19">
        <v>1</v>
      </c>
      <c r="B7" s="2" t="s">
        <v>4317</v>
      </c>
      <c r="C7" s="1">
        <v>311220763</v>
      </c>
      <c r="D7" s="3" t="s">
        <v>4318</v>
      </c>
      <c r="E7" s="1" t="s">
        <v>58</v>
      </c>
      <c r="F7" s="10" t="s">
        <v>4287</v>
      </c>
      <c r="G7" s="2">
        <v>13</v>
      </c>
      <c r="H7" s="6">
        <v>84</v>
      </c>
      <c r="I7" s="6">
        <v>100</v>
      </c>
      <c r="J7" s="6">
        <v>88</v>
      </c>
      <c r="K7" s="6">
        <v>92</v>
      </c>
      <c r="L7" s="6">
        <v>84</v>
      </c>
      <c r="M7" s="6">
        <v>84</v>
      </c>
      <c r="N7" s="6">
        <v>88</v>
      </c>
      <c r="O7" s="6">
        <v>96</v>
      </c>
      <c r="P7" s="1">
        <f t="shared" ref="P7:P38" si="0">SUBTOTAL(9,H7:O7)</f>
        <v>716</v>
      </c>
      <c r="Q7" s="14">
        <f t="shared" ref="Q7:Q38" si="1">P7/8</f>
        <v>89.5</v>
      </c>
      <c r="R7" s="20">
        <f t="shared" ref="R7:R38" si="2">RANK(Q7,Q$7:Q$231,0)</f>
        <v>1</v>
      </c>
    </row>
    <row r="8" spans="1:18" ht="18" customHeight="1">
      <c r="A8" s="19">
        <v>2</v>
      </c>
      <c r="B8" s="2" t="s">
        <v>4382</v>
      </c>
      <c r="C8" s="1" t="s">
        <v>4383</v>
      </c>
      <c r="D8" s="3" t="s">
        <v>4384</v>
      </c>
      <c r="E8" s="1" t="s">
        <v>90</v>
      </c>
      <c r="F8" s="10" t="s">
        <v>4287</v>
      </c>
      <c r="G8" s="2">
        <v>15</v>
      </c>
      <c r="H8" s="6">
        <v>72</v>
      </c>
      <c r="I8" s="6">
        <v>100</v>
      </c>
      <c r="J8" s="6">
        <v>76</v>
      </c>
      <c r="K8" s="6">
        <v>88</v>
      </c>
      <c r="L8" s="6">
        <v>68</v>
      </c>
      <c r="M8" s="6">
        <v>72</v>
      </c>
      <c r="N8" s="6">
        <v>92</v>
      </c>
      <c r="O8" s="6">
        <v>68</v>
      </c>
      <c r="P8" s="1">
        <f t="shared" si="0"/>
        <v>636</v>
      </c>
      <c r="Q8" s="14">
        <f t="shared" si="1"/>
        <v>79.5</v>
      </c>
      <c r="R8" s="20">
        <f t="shared" si="2"/>
        <v>2</v>
      </c>
    </row>
    <row r="9" spans="1:18" ht="18" customHeight="1">
      <c r="A9" s="19">
        <v>3</v>
      </c>
      <c r="B9" s="2" t="s">
        <v>4388</v>
      </c>
      <c r="C9" s="1" t="s">
        <v>4389</v>
      </c>
      <c r="D9" s="3" t="s">
        <v>4390</v>
      </c>
      <c r="E9" s="1" t="s">
        <v>90</v>
      </c>
      <c r="F9" s="10" t="s">
        <v>4287</v>
      </c>
      <c r="G9" s="2">
        <v>15</v>
      </c>
      <c r="H9" s="6">
        <v>72</v>
      </c>
      <c r="I9" s="6">
        <v>90</v>
      </c>
      <c r="J9" s="6">
        <v>88</v>
      </c>
      <c r="K9" s="6">
        <v>88</v>
      </c>
      <c r="L9" s="6">
        <v>72</v>
      </c>
      <c r="M9" s="6">
        <v>72</v>
      </c>
      <c r="N9" s="6">
        <v>64</v>
      </c>
      <c r="O9" s="6">
        <v>84</v>
      </c>
      <c r="P9" s="1">
        <f t="shared" si="0"/>
        <v>630</v>
      </c>
      <c r="Q9" s="14">
        <f t="shared" si="1"/>
        <v>78.75</v>
      </c>
      <c r="R9" s="20">
        <f t="shared" si="2"/>
        <v>3</v>
      </c>
    </row>
    <row r="10" spans="1:18" ht="18" customHeight="1">
      <c r="A10" s="19">
        <v>4</v>
      </c>
      <c r="B10" s="2" t="s">
        <v>4357</v>
      </c>
      <c r="C10" s="1">
        <v>311220787</v>
      </c>
      <c r="D10" s="3" t="s">
        <v>4358</v>
      </c>
      <c r="E10" s="1" t="s">
        <v>64</v>
      </c>
      <c r="F10" s="10" t="s">
        <v>4287</v>
      </c>
      <c r="G10" s="2">
        <v>14</v>
      </c>
      <c r="H10" s="6">
        <v>80</v>
      </c>
      <c r="I10" s="6">
        <v>100</v>
      </c>
      <c r="J10" s="6">
        <v>84</v>
      </c>
      <c r="K10" s="6">
        <v>68</v>
      </c>
      <c r="L10" s="6">
        <v>68</v>
      </c>
      <c r="M10" s="6">
        <v>84</v>
      </c>
      <c r="N10" s="6">
        <v>88</v>
      </c>
      <c r="O10" s="6">
        <v>56</v>
      </c>
      <c r="P10" s="1">
        <f t="shared" si="0"/>
        <v>628</v>
      </c>
      <c r="Q10" s="14">
        <f t="shared" si="1"/>
        <v>78.5</v>
      </c>
      <c r="R10" s="20">
        <f t="shared" si="2"/>
        <v>4</v>
      </c>
    </row>
    <row r="11" spans="1:18" ht="18" customHeight="1">
      <c r="A11" s="19">
        <v>5</v>
      </c>
      <c r="B11" s="2" t="s">
        <v>4393</v>
      </c>
      <c r="C11" s="1">
        <v>4232689</v>
      </c>
      <c r="D11" s="3" t="s">
        <v>4394</v>
      </c>
      <c r="E11" s="1" t="s">
        <v>88</v>
      </c>
      <c r="F11" s="10" t="s">
        <v>4287</v>
      </c>
      <c r="G11" s="2">
        <v>15</v>
      </c>
      <c r="H11" s="6">
        <v>76</v>
      </c>
      <c r="I11" s="6">
        <v>95</v>
      </c>
      <c r="J11" s="6">
        <v>88</v>
      </c>
      <c r="K11" s="6">
        <v>80</v>
      </c>
      <c r="L11" s="6">
        <v>60</v>
      </c>
      <c r="M11" s="6">
        <v>64</v>
      </c>
      <c r="N11" s="6">
        <v>60</v>
      </c>
      <c r="O11" s="6">
        <v>48</v>
      </c>
      <c r="P11" s="1">
        <f t="shared" si="0"/>
        <v>571</v>
      </c>
      <c r="Q11" s="14">
        <f t="shared" si="1"/>
        <v>71.375</v>
      </c>
      <c r="R11" s="20">
        <f t="shared" si="2"/>
        <v>5</v>
      </c>
    </row>
    <row r="12" spans="1:18" ht="18" customHeight="1">
      <c r="A12" s="19">
        <v>6</v>
      </c>
      <c r="B12" s="2" t="s">
        <v>4347</v>
      </c>
      <c r="C12" s="1">
        <v>311220834</v>
      </c>
      <c r="D12" s="3" t="s">
        <v>4348</v>
      </c>
      <c r="E12" s="1" t="s">
        <v>62</v>
      </c>
      <c r="F12" s="10" t="s">
        <v>4287</v>
      </c>
      <c r="G12" s="2">
        <v>14</v>
      </c>
      <c r="H12" s="6">
        <v>52</v>
      </c>
      <c r="I12" s="6">
        <v>100</v>
      </c>
      <c r="J12" s="6">
        <v>76</v>
      </c>
      <c r="K12" s="6">
        <v>60</v>
      </c>
      <c r="L12" s="6">
        <v>52</v>
      </c>
      <c r="M12" s="6">
        <v>68</v>
      </c>
      <c r="N12" s="6">
        <v>80</v>
      </c>
      <c r="O12" s="6">
        <v>80</v>
      </c>
      <c r="P12" s="1">
        <f t="shared" si="0"/>
        <v>568</v>
      </c>
      <c r="Q12" s="14">
        <f t="shared" si="1"/>
        <v>71</v>
      </c>
      <c r="R12" s="20">
        <f t="shared" si="2"/>
        <v>6</v>
      </c>
    </row>
    <row r="13" spans="1:18" ht="18" customHeight="1">
      <c r="A13" s="19">
        <v>7</v>
      </c>
      <c r="B13" s="2" t="s">
        <v>4319</v>
      </c>
      <c r="C13" s="1">
        <v>311220812</v>
      </c>
      <c r="D13" s="3" t="s">
        <v>4320</v>
      </c>
      <c r="E13" s="1" t="s">
        <v>58</v>
      </c>
      <c r="F13" s="10" t="s">
        <v>4287</v>
      </c>
      <c r="G13" s="2">
        <v>13</v>
      </c>
      <c r="H13" s="6">
        <v>60</v>
      </c>
      <c r="I13" s="6">
        <v>100</v>
      </c>
      <c r="J13" s="6">
        <v>76</v>
      </c>
      <c r="K13" s="6">
        <v>76</v>
      </c>
      <c r="L13" s="6">
        <v>68</v>
      </c>
      <c r="M13" s="6">
        <v>68</v>
      </c>
      <c r="N13" s="6">
        <v>68</v>
      </c>
      <c r="O13" s="6">
        <v>40</v>
      </c>
      <c r="P13" s="1">
        <f t="shared" si="0"/>
        <v>556</v>
      </c>
      <c r="Q13" s="14">
        <f t="shared" si="1"/>
        <v>69.5</v>
      </c>
      <c r="R13" s="20">
        <f t="shared" si="2"/>
        <v>7</v>
      </c>
    </row>
    <row r="14" spans="1:18" ht="18" customHeight="1">
      <c r="A14" s="19">
        <v>8</v>
      </c>
      <c r="B14" s="2" t="s">
        <v>4337</v>
      </c>
      <c r="C14" s="1" t="s">
        <v>4338</v>
      </c>
      <c r="D14" s="3" t="s">
        <v>4339</v>
      </c>
      <c r="E14" s="1" t="s">
        <v>60</v>
      </c>
      <c r="F14" s="10" t="s">
        <v>4287</v>
      </c>
      <c r="G14" s="2">
        <v>14</v>
      </c>
      <c r="H14" s="6">
        <v>64</v>
      </c>
      <c r="I14" s="6">
        <v>100</v>
      </c>
      <c r="J14" s="6">
        <v>72</v>
      </c>
      <c r="K14" s="6">
        <v>72</v>
      </c>
      <c r="L14" s="6">
        <v>36</v>
      </c>
      <c r="M14" s="6">
        <v>56</v>
      </c>
      <c r="N14" s="6">
        <v>84</v>
      </c>
      <c r="O14" s="6">
        <v>68</v>
      </c>
      <c r="P14" s="1">
        <f t="shared" si="0"/>
        <v>552</v>
      </c>
      <c r="Q14" s="14">
        <f t="shared" si="1"/>
        <v>69</v>
      </c>
      <c r="R14" s="20">
        <f t="shared" si="2"/>
        <v>8</v>
      </c>
    </row>
    <row r="15" spans="1:18" ht="18" customHeight="1">
      <c r="A15" s="19">
        <v>9</v>
      </c>
      <c r="B15" s="2" t="s">
        <v>4302</v>
      </c>
      <c r="C15" s="1" t="s">
        <v>4303</v>
      </c>
      <c r="D15" s="3" t="s">
        <v>4304</v>
      </c>
      <c r="E15" s="1" t="s">
        <v>55</v>
      </c>
      <c r="F15" s="10" t="s">
        <v>4287</v>
      </c>
      <c r="G15" s="2">
        <v>13</v>
      </c>
      <c r="H15" s="6">
        <v>60</v>
      </c>
      <c r="I15" s="6">
        <v>100</v>
      </c>
      <c r="J15" s="6">
        <v>60</v>
      </c>
      <c r="K15" s="6">
        <v>84</v>
      </c>
      <c r="L15" s="6">
        <v>68</v>
      </c>
      <c r="M15" s="6">
        <v>32</v>
      </c>
      <c r="N15" s="6">
        <v>60</v>
      </c>
      <c r="O15" s="6">
        <v>68</v>
      </c>
      <c r="P15" s="1">
        <f t="shared" si="0"/>
        <v>532</v>
      </c>
      <c r="Q15" s="14">
        <f t="shared" si="1"/>
        <v>66.5</v>
      </c>
      <c r="R15" s="20">
        <f t="shared" si="2"/>
        <v>9</v>
      </c>
    </row>
    <row r="16" spans="1:18" ht="18" customHeight="1">
      <c r="A16" s="19">
        <v>10</v>
      </c>
      <c r="B16" s="2" t="s">
        <v>4292</v>
      </c>
      <c r="C16" s="1">
        <v>311220893</v>
      </c>
      <c r="D16" s="3" t="s">
        <v>4293</v>
      </c>
      <c r="E16" s="1" t="s">
        <v>75</v>
      </c>
      <c r="F16" s="10" t="s">
        <v>4287</v>
      </c>
      <c r="G16" s="2">
        <v>12</v>
      </c>
      <c r="H16" s="6">
        <v>60</v>
      </c>
      <c r="I16" s="6">
        <v>100</v>
      </c>
      <c r="J16" s="6">
        <v>92</v>
      </c>
      <c r="K16" s="6">
        <v>92</v>
      </c>
      <c r="L16" s="6">
        <v>12</v>
      </c>
      <c r="M16" s="6">
        <v>60</v>
      </c>
      <c r="N16" s="6">
        <v>80</v>
      </c>
      <c r="O16" s="6">
        <v>28</v>
      </c>
      <c r="P16" s="1">
        <f t="shared" si="0"/>
        <v>524</v>
      </c>
      <c r="Q16" s="14">
        <f t="shared" si="1"/>
        <v>65.5</v>
      </c>
      <c r="R16" s="20">
        <f t="shared" si="2"/>
        <v>10</v>
      </c>
    </row>
    <row r="17" spans="1:18" ht="18" customHeight="1">
      <c r="A17" s="19">
        <v>11</v>
      </c>
      <c r="B17" s="2" t="s">
        <v>4345</v>
      </c>
      <c r="C17" s="1">
        <v>311220807</v>
      </c>
      <c r="D17" s="3" t="s">
        <v>4346</v>
      </c>
      <c r="E17" s="1" t="s">
        <v>62</v>
      </c>
      <c r="F17" s="10" t="s">
        <v>4287</v>
      </c>
      <c r="G17" s="2">
        <v>14</v>
      </c>
      <c r="H17" s="6">
        <v>76</v>
      </c>
      <c r="I17" s="6">
        <v>40</v>
      </c>
      <c r="J17" s="6">
        <v>72</v>
      </c>
      <c r="K17" s="6">
        <v>60</v>
      </c>
      <c r="L17" s="6">
        <v>64</v>
      </c>
      <c r="M17" s="6">
        <v>76</v>
      </c>
      <c r="N17" s="6">
        <v>64</v>
      </c>
      <c r="O17" s="6">
        <v>72</v>
      </c>
      <c r="P17" s="1">
        <f t="shared" si="0"/>
        <v>524</v>
      </c>
      <c r="Q17" s="14">
        <f t="shared" si="1"/>
        <v>65.5</v>
      </c>
      <c r="R17" s="20">
        <f t="shared" si="2"/>
        <v>10</v>
      </c>
    </row>
    <row r="18" spans="1:18" ht="18" customHeight="1">
      <c r="A18" s="19">
        <v>12</v>
      </c>
      <c r="B18" s="2" t="s">
        <v>4391</v>
      </c>
      <c r="C18" s="1">
        <v>311220825</v>
      </c>
      <c r="D18" s="3" t="s">
        <v>4392</v>
      </c>
      <c r="E18" s="1" t="s">
        <v>90</v>
      </c>
      <c r="F18" s="10" t="s">
        <v>4287</v>
      </c>
      <c r="G18" s="2">
        <v>15</v>
      </c>
      <c r="H18" s="6">
        <v>68</v>
      </c>
      <c r="I18" s="6">
        <v>70</v>
      </c>
      <c r="J18" s="6">
        <v>64</v>
      </c>
      <c r="K18" s="6">
        <v>68</v>
      </c>
      <c r="L18" s="6">
        <v>52</v>
      </c>
      <c r="M18" s="6">
        <v>60</v>
      </c>
      <c r="N18" s="6">
        <v>72</v>
      </c>
      <c r="O18" s="6">
        <v>56</v>
      </c>
      <c r="P18" s="1">
        <f t="shared" si="0"/>
        <v>510</v>
      </c>
      <c r="Q18" s="14">
        <f t="shared" si="1"/>
        <v>63.75</v>
      </c>
      <c r="R18" s="20">
        <f t="shared" si="2"/>
        <v>12</v>
      </c>
    </row>
    <row r="19" spans="1:18" ht="18" customHeight="1">
      <c r="A19" s="19">
        <v>13</v>
      </c>
      <c r="B19" s="2" t="s">
        <v>4403</v>
      </c>
      <c r="C19" s="1">
        <v>311220854</v>
      </c>
      <c r="D19" s="3" t="s">
        <v>4404</v>
      </c>
      <c r="E19" s="1" t="s">
        <v>68</v>
      </c>
      <c r="F19" s="10" t="s">
        <v>4287</v>
      </c>
      <c r="G19" s="2">
        <v>16</v>
      </c>
      <c r="H19" s="6">
        <v>46</v>
      </c>
      <c r="I19" s="6">
        <v>100</v>
      </c>
      <c r="J19" s="6">
        <v>76</v>
      </c>
      <c r="K19" s="6">
        <v>52</v>
      </c>
      <c r="L19" s="6">
        <v>48</v>
      </c>
      <c r="M19" s="6">
        <v>76</v>
      </c>
      <c r="N19" s="6">
        <v>56</v>
      </c>
      <c r="O19" s="6">
        <v>52</v>
      </c>
      <c r="P19" s="1">
        <f t="shared" si="0"/>
        <v>506</v>
      </c>
      <c r="Q19" s="14">
        <f t="shared" si="1"/>
        <v>63.25</v>
      </c>
      <c r="R19" s="20">
        <f t="shared" si="2"/>
        <v>13</v>
      </c>
    </row>
    <row r="20" spans="1:18" ht="18" customHeight="1">
      <c r="A20" s="19">
        <v>14</v>
      </c>
      <c r="B20" s="2" t="s">
        <v>4305</v>
      </c>
      <c r="C20" s="1">
        <v>311220752</v>
      </c>
      <c r="D20" s="3" t="s">
        <v>4306</v>
      </c>
      <c r="E20" s="1" t="s">
        <v>55</v>
      </c>
      <c r="F20" s="10" t="s">
        <v>4287</v>
      </c>
      <c r="G20" s="2">
        <v>13</v>
      </c>
      <c r="H20" s="6">
        <v>60</v>
      </c>
      <c r="I20" s="6">
        <v>100</v>
      </c>
      <c r="J20" s="6">
        <v>80</v>
      </c>
      <c r="K20" s="6">
        <v>80</v>
      </c>
      <c r="L20" s="6">
        <v>32</v>
      </c>
      <c r="M20" s="6">
        <v>60</v>
      </c>
      <c r="N20" s="6">
        <v>72</v>
      </c>
      <c r="O20" s="6">
        <v>20</v>
      </c>
      <c r="P20" s="1">
        <f t="shared" si="0"/>
        <v>504</v>
      </c>
      <c r="Q20" s="14">
        <f t="shared" si="1"/>
        <v>63</v>
      </c>
      <c r="R20" s="20">
        <f t="shared" si="2"/>
        <v>14</v>
      </c>
    </row>
    <row r="21" spans="1:18" ht="18" customHeight="1">
      <c r="A21" s="19">
        <v>15</v>
      </c>
      <c r="B21" s="2" t="s">
        <v>4330</v>
      </c>
      <c r="C21" s="1" t="s">
        <v>4331</v>
      </c>
      <c r="D21" s="3" t="s">
        <v>4332</v>
      </c>
      <c r="E21" s="1" t="s">
        <v>59</v>
      </c>
      <c r="F21" s="10" t="s">
        <v>4287</v>
      </c>
      <c r="G21" s="2">
        <v>14</v>
      </c>
      <c r="H21" s="6">
        <v>28</v>
      </c>
      <c r="I21" s="6">
        <v>90</v>
      </c>
      <c r="J21" s="6">
        <v>48</v>
      </c>
      <c r="K21" s="6">
        <v>68</v>
      </c>
      <c r="L21" s="6">
        <v>56</v>
      </c>
      <c r="M21" s="6">
        <v>62</v>
      </c>
      <c r="N21" s="6">
        <v>92</v>
      </c>
      <c r="O21" s="6">
        <v>44</v>
      </c>
      <c r="P21" s="1">
        <f t="shared" si="0"/>
        <v>488</v>
      </c>
      <c r="Q21" s="14">
        <f t="shared" si="1"/>
        <v>61</v>
      </c>
      <c r="R21" s="20">
        <f t="shared" si="2"/>
        <v>15</v>
      </c>
    </row>
    <row r="22" spans="1:18" ht="18" customHeight="1">
      <c r="A22" s="19">
        <v>16</v>
      </c>
      <c r="B22" s="2" t="s">
        <v>4328</v>
      </c>
      <c r="C22" s="1">
        <v>311220795</v>
      </c>
      <c r="D22" s="3" t="s">
        <v>4329</v>
      </c>
      <c r="E22" s="1" t="s">
        <v>59</v>
      </c>
      <c r="F22" s="10" t="s">
        <v>4287</v>
      </c>
      <c r="G22" s="2">
        <v>14</v>
      </c>
      <c r="H22" s="6">
        <v>36</v>
      </c>
      <c r="I22" s="6">
        <v>100</v>
      </c>
      <c r="J22" s="6">
        <v>68</v>
      </c>
      <c r="K22" s="6">
        <v>72</v>
      </c>
      <c r="L22" s="6">
        <v>48</v>
      </c>
      <c r="M22" s="6">
        <v>24</v>
      </c>
      <c r="N22" s="6">
        <v>64</v>
      </c>
      <c r="O22" s="6">
        <v>72</v>
      </c>
      <c r="P22" s="1">
        <f t="shared" si="0"/>
        <v>484</v>
      </c>
      <c r="Q22" s="14">
        <f t="shared" si="1"/>
        <v>60.5</v>
      </c>
      <c r="R22" s="20">
        <f t="shared" si="2"/>
        <v>16</v>
      </c>
    </row>
    <row r="23" spans="1:18" ht="18" customHeight="1">
      <c r="A23" s="19">
        <v>17</v>
      </c>
      <c r="B23" s="2" t="s">
        <v>4324</v>
      </c>
      <c r="C23" s="1">
        <v>311220762</v>
      </c>
      <c r="D23" s="3" t="s">
        <v>4325</v>
      </c>
      <c r="E23" s="1" t="s">
        <v>59</v>
      </c>
      <c r="F23" s="10" t="s">
        <v>4287</v>
      </c>
      <c r="G23" s="2">
        <v>13</v>
      </c>
      <c r="H23" s="6">
        <v>24</v>
      </c>
      <c r="I23" s="6">
        <v>85</v>
      </c>
      <c r="J23" s="6">
        <v>64</v>
      </c>
      <c r="K23" s="6">
        <v>80</v>
      </c>
      <c r="L23" s="6">
        <v>72</v>
      </c>
      <c r="M23" s="6">
        <v>32</v>
      </c>
      <c r="N23" s="6">
        <v>68</v>
      </c>
      <c r="O23" s="6">
        <v>48</v>
      </c>
      <c r="P23" s="1">
        <f t="shared" si="0"/>
        <v>473</v>
      </c>
      <c r="Q23" s="14">
        <f t="shared" si="1"/>
        <v>59.125</v>
      </c>
      <c r="R23" s="20">
        <f t="shared" si="2"/>
        <v>17</v>
      </c>
    </row>
    <row r="24" spans="1:18" ht="18" customHeight="1">
      <c r="A24" s="19">
        <v>18</v>
      </c>
      <c r="B24" s="2" t="s">
        <v>4298</v>
      </c>
      <c r="C24" s="1">
        <v>4232867</v>
      </c>
      <c r="D24" s="3" t="s">
        <v>4299</v>
      </c>
      <c r="E24" s="1" t="s">
        <v>55</v>
      </c>
      <c r="F24" s="10" t="s">
        <v>4287</v>
      </c>
      <c r="G24" s="2">
        <v>13</v>
      </c>
      <c r="H24" s="6">
        <v>52</v>
      </c>
      <c r="I24" s="6">
        <v>95</v>
      </c>
      <c r="J24" s="6">
        <v>48</v>
      </c>
      <c r="K24" s="6">
        <v>80</v>
      </c>
      <c r="L24" s="6">
        <v>28</v>
      </c>
      <c r="M24" s="6">
        <v>68</v>
      </c>
      <c r="N24" s="6">
        <v>80</v>
      </c>
      <c r="O24" s="6">
        <v>20</v>
      </c>
      <c r="P24" s="1">
        <f t="shared" si="0"/>
        <v>471</v>
      </c>
      <c r="Q24" s="14">
        <f t="shared" si="1"/>
        <v>58.875</v>
      </c>
      <c r="R24" s="20">
        <f t="shared" si="2"/>
        <v>18</v>
      </c>
    </row>
    <row r="25" spans="1:18" ht="18" customHeight="1">
      <c r="A25" s="19">
        <v>19</v>
      </c>
      <c r="B25" s="2" t="s">
        <v>4361</v>
      </c>
      <c r="C25" s="1">
        <v>4232686</v>
      </c>
      <c r="D25" s="3" t="s">
        <v>4362</v>
      </c>
      <c r="E25" s="1" t="s">
        <v>78</v>
      </c>
      <c r="F25" s="10" t="s">
        <v>4287</v>
      </c>
      <c r="G25" s="2">
        <v>15</v>
      </c>
      <c r="H25" s="6">
        <v>52</v>
      </c>
      <c r="I25" s="6">
        <v>100</v>
      </c>
      <c r="J25" s="6">
        <v>72</v>
      </c>
      <c r="K25" s="6">
        <v>60</v>
      </c>
      <c r="L25" s="6">
        <v>24</v>
      </c>
      <c r="M25" s="6">
        <v>44</v>
      </c>
      <c r="N25" s="6">
        <v>84</v>
      </c>
      <c r="O25" s="6">
        <v>20</v>
      </c>
      <c r="P25" s="1">
        <f t="shared" si="0"/>
        <v>456</v>
      </c>
      <c r="Q25" s="14">
        <f t="shared" si="1"/>
        <v>57</v>
      </c>
      <c r="R25" s="20">
        <f t="shared" si="2"/>
        <v>19</v>
      </c>
    </row>
    <row r="26" spans="1:18" ht="18" customHeight="1">
      <c r="A26" s="19">
        <v>20</v>
      </c>
      <c r="B26" s="2" t="s">
        <v>4309</v>
      </c>
      <c r="C26" s="1">
        <v>311220759</v>
      </c>
      <c r="D26" s="3" t="s">
        <v>4310</v>
      </c>
      <c r="E26" s="1" t="s">
        <v>79</v>
      </c>
      <c r="F26" s="10" t="s">
        <v>4287</v>
      </c>
      <c r="G26" s="2">
        <v>13</v>
      </c>
      <c r="H26" s="6">
        <v>56</v>
      </c>
      <c r="I26" s="6">
        <v>100</v>
      </c>
      <c r="J26" s="6">
        <v>48</v>
      </c>
      <c r="K26" s="6">
        <v>76</v>
      </c>
      <c r="L26" s="6">
        <v>48</v>
      </c>
      <c r="M26" s="6">
        <v>20</v>
      </c>
      <c r="N26" s="6">
        <v>80</v>
      </c>
      <c r="O26" s="6">
        <v>20</v>
      </c>
      <c r="P26" s="1">
        <f t="shared" si="0"/>
        <v>448</v>
      </c>
      <c r="Q26" s="14">
        <f t="shared" si="1"/>
        <v>56</v>
      </c>
      <c r="R26" s="20">
        <f t="shared" si="2"/>
        <v>20</v>
      </c>
    </row>
    <row r="27" spans="1:18" ht="18" customHeight="1">
      <c r="A27" s="19">
        <v>21</v>
      </c>
      <c r="B27" s="2" t="s">
        <v>4307</v>
      </c>
      <c r="C27" s="1">
        <v>311220980</v>
      </c>
      <c r="D27" s="3" t="s">
        <v>4308</v>
      </c>
      <c r="E27" s="1" t="s">
        <v>55</v>
      </c>
      <c r="F27" s="10" t="s">
        <v>4287</v>
      </c>
      <c r="G27" s="2">
        <v>13</v>
      </c>
      <c r="H27" s="6">
        <v>42</v>
      </c>
      <c r="I27" s="6">
        <v>90</v>
      </c>
      <c r="J27" s="6">
        <v>48</v>
      </c>
      <c r="K27" s="6">
        <v>76</v>
      </c>
      <c r="L27" s="6">
        <v>64</v>
      </c>
      <c r="M27" s="6">
        <v>24</v>
      </c>
      <c r="N27" s="6">
        <v>72</v>
      </c>
      <c r="O27" s="6">
        <v>28</v>
      </c>
      <c r="P27" s="1">
        <f t="shared" si="0"/>
        <v>444</v>
      </c>
      <c r="Q27" s="14">
        <f t="shared" si="1"/>
        <v>55.5</v>
      </c>
      <c r="R27" s="20">
        <f t="shared" si="2"/>
        <v>21</v>
      </c>
    </row>
    <row r="28" spans="1:18" ht="18" customHeight="1">
      <c r="A28" s="19">
        <v>22</v>
      </c>
      <c r="B28" s="2" t="s">
        <v>4294</v>
      </c>
      <c r="C28" s="1">
        <v>311220779</v>
      </c>
      <c r="D28" s="3" t="s">
        <v>4295</v>
      </c>
      <c r="E28" s="1" t="s">
        <v>76</v>
      </c>
      <c r="F28" s="10" t="s">
        <v>4287</v>
      </c>
      <c r="G28" s="2">
        <v>12</v>
      </c>
      <c r="H28" s="6">
        <v>48</v>
      </c>
      <c r="I28" s="6">
        <v>95</v>
      </c>
      <c r="J28" s="6">
        <v>52</v>
      </c>
      <c r="K28" s="6">
        <v>60</v>
      </c>
      <c r="L28" s="6">
        <v>52</v>
      </c>
      <c r="M28" s="6">
        <v>44</v>
      </c>
      <c r="N28" s="6">
        <v>68</v>
      </c>
      <c r="O28" s="6">
        <v>20</v>
      </c>
      <c r="P28" s="1">
        <f t="shared" si="0"/>
        <v>439</v>
      </c>
      <c r="Q28" s="14">
        <f t="shared" si="1"/>
        <v>54.875</v>
      </c>
      <c r="R28" s="20">
        <f t="shared" si="2"/>
        <v>22</v>
      </c>
    </row>
    <row r="29" spans="1:18" ht="18" customHeight="1">
      <c r="A29" s="19">
        <v>23</v>
      </c>
      <c r="B29" s="2" t="s">
        <v>4401</v>
      </c>
      <c r="C29" s="1">
        <v>4232600</v>
      </c>
      <c r="D29" s="3" t="s">
        <v>4402</v>
      </c>
      <c r="E29" s="1" t="s">
        <v>68</v>
      </c>
      <c r="F29" s="10" t="s">
        <v>4287</v>
      </c>
      <c r="G29" s="2">
        <v>16</v>
      </c>
      <c r="H29" s="6">
        <v>44</v>
      </c>
      <c r="I29" s="6">
        <v>100</v>
      </c>
      <c r="J29" s="6">
        <v>52</v>
      </c>
      <c r="K29" s="6">
        <v>44</v>
      </c>
      <c r="L29" s="6">
        <v>40</v>
      </c>
      <c r="M29" s="6">
        <v>44</v>
      </c>
      <c r="N29" s="6">
        <v>80</v>
      </c>
      <c r="O29" s="6">
        <v>32</v>
      </c>
      <c r="P29" s="1">
        <f t="shared" si="0"/>
        <v>436</v>
      </c>
      <c r="Q29" s="14">
        <f t="shared" si="1"/>
        <v>54.5</v>
      </c>
      <c r="R29" s="20">
        <f t="shared" si="2"/>
        <v>23</v>
      </c>
    </row>
    <row r="30" spans="1:18" ht="18" customHeight="1">
      <c r="A30" s="19">
        <v>24</v>
      </c>
      <c r="B30" s="2" t="s">
        <v>4285</v>
      </c>
      <c r="C30" s="1">
        <v>4032283</v>
      </c>
      <c r="D30" s="3" t="s">
        <v>4286</v>
      </c>
      <c r="E30" s="1" t="s">
        <v>58</v>
      </c>
      <c r="F30" s="10" t="s">
        <v>4287</v>
      </c>
      <c r="G30" s="2">
        <v>12</v>
      </c>
      <c r="H30" s="6">
        <v>20</v>
      </c>
      <c r="I30" s="6">
        <v>50</v>
      </c>
      <c r="J30" s="6">
        <v>40</v>
      </c>
      <c r="K30" s="6">
        <v>72</v>
      </c>
      <c r="L30" s="6">
        <v>68</v>
      </c>
      <c r="M30" s="6">
        <v>60</v>
      </c>
      <c r="N30" s="6">
        <v>68</v>
      </c>
      <c r="O30" s="6">
        <v>56</v>
      </c>
      <c r="P30" s="1">
        <f t="shared" si="0"/>
        <v>434</v>
      </c>
      <c r="Q30" s="14">
        <f t="shared" si="1"/>
        <v>54.25</v>
      </c>
      <c r="R30" s="20">
        <f t="shared" si="2"/>
        <v>24</v>
      </c>
    </row>
    <row r="31" spans="1:18" ht="18" customHeight="1">
      <c r="A31" s="19">
        <v>25</v>
      </c>
      <c r="B31" s="2" t="s">
        <v>4333</v>
      </c>
      <c r="C31" s="1">
        <v>4233044</v>
      </c>
      <c r="D31" s="3" t="s">
        <v>1217</v>
      </c>
      <c r="E31" s="1" t="s">
        <v>59</v>
      </c>
      <c r="F31" s="10" t="s">
        <v>4287</v>
      </c>
      <c r="G31" s="2">
        <v>14</v>
      </c>
      <c r="H31" s="6">
        <v>34</v>
      </c>
      <c r="I31" s="6">
        <v>50</v>
      </c>
      <c r="J31" s="6">
        <v>72</v>
      </c>
      <c r="K31" s="6">
        <v>60</v>
      </c>
      <c r="L31" s="6">
        <v>48</v>
      </c>
      <c r="M31" s="6">
        <v>56</v>
      </c>
      <c r="N31" s="6">
        <v>68</v>
      </c>
      <c r="O31" s="6">
        <v>44</v>
      </c>
      <c r="P31" s="1">
        <f t="shared" si="0"/>
        <v>432</v>
      </c>
      <c r="Q31" s="14">
        <f t="shared" si="1"/>
        <v>54</v>
      </c>
      <c r="R31" s="20">
        <f t="shared" si="2"/>
        <v>25</v>
      </c>
    </row>
    <row r="32" spans="1:18" ht="18" customHeight="1">
      <c r="A32" s="19">
        <v>26</v>
      </c>
      <c r="B32" s="2" t="s">
        <v>4349</v>
      </c>
      <c r="C32" s="1">
        <v>4232814</v>
      </c>
      <c r="D32" s="3" t="s">
        <v>4350</v>
      </c>
      <c r="E32" s="1" t="s">
        <v>77</v>
      </c>
      <c r="F32" s="10" t="s">
        <v>4287</v>
      </c>
      <c r="G32" s="2">
        <v>14</v>
      </c>
      <c r="H32" s="6">
        <v>36</v>
      </c>
      <c r="I32" s="6">
        <v>100</v>
      </c>
      <c r="J32" s="6">
        <v>52</v>
      </c>
      <c r="K32" s="6">
        <v>80</v>
      </c>
      <c r="L32" s="6">
        <v>52</v>
      </c>
      <c r="M32" s="6">
        <v>16</v>
      </c>
      <c r="N32" s="6">
        <v>53</v>
      </c>
      <c r="O32" s="6">
        <v>20</v>
      </c>
      <c r="P32" s="1">
        <f t="shared" si="0"/>
        <v>409</v>
      </c>
      <c r="Q32" s="14">
        <f t="shared" si="1"/>
        <v>51.125</v>
      </c>
      <c r="R32" s="20">
        <f t="shared" si="2"/>
        <v>26</v>
      </c>
    </row>
    <row r="33" spans="1:18" ht="18" customHeight="1">
      <c r="A33" s="19">
        <v>27</v>
      </c>
      <c r="B33" s="2" t="s">
        <v>4315</v>
      </c>
      <c r="C33" s="1">
        <v>4232888</v>
      </c>
      <c r="D33" s="3" t="s">
        <v>4316</v>
      </c>
      <c r="E33" s="1" t="s">
        <v>58</v>
      </c>
      <c r="F33" s="10" t="s">
        <v>4287</v>
      </c>
      <c r="G33" s="2">
        <v>13</v>
      </c>
      <c r="H33" s="6">
        <v>48</v>
      </c>
      <c r="I33" s="6">
        <v>85</v>
      </c>
      <c r="J33" s="6">
        <v>60</v>
      </c>
      <c r="K33" s="6">
        <v>64</v>
      </c>
      <c r="L33" s="6">
        <v>40</v>
      </c>
      <c r="M33" s="6">
        <v>24</v>
      </c>
      <c r="N33" s="6">
        <v>52</v>
      </c>
      <c r="O33" s="6">
        <v>32</v>
      </c>
      <c r="P33" s="1">
        <f t="shared" si="0"/>
        <v>405</v>
      </c>
      <c r="Q33" s="14">
        <f t="shared" si="1"/>
        <v>50.625</v>
      </c>
      <c r="R33" s="20">
        <f t="shared" si="2"/>
        <v>27</v>
      </c>
    </row>
    <row r="34" spans="1:18" ht="18" customHeight="1">
      <c r="A34" s="19">
        <v>28</v>
      </c>
      <c r="B34" s="2" t="s">
        <v>4334</v>
      </c>
      <c r="C34" s="1" t="s">
        <v>4335</v>
      </c>
      <c r="D34" s="3" t="s">
        <v>4336</v>
      </c>
      <c r="E34" s="1" t="s">
        <v>60</v>
      </c>
      <c r="F34" s="10" t="s">
        <v>4287</v>
      </c>
      <c r="G34" s="2">
        <v>14</v>
      </c>
      <c r="H34" s="6">
        <v>36</v>
      </c>
      <c r="I34" s="6">
        <v>95</v>
      </c>
      <c r="J34" s="6">
        <v>44</v>
      </c>
      <c r="K34" s="6">
        <v>68</v>
      </c>
      <c r="L34" s="6">
        <v>12</v>
      </c>
      <c r="M34" s="6">
        <v>44</v>
      </c>
      <c r="N34" s="6">
        <v>64</v>
      </c>
      <c r="O34" s="6">
        <v>32</v>
      </c>
      <c r="P34" s="1">
        <f t="shared" si="0"/>
        <v>395</v>
      </c>
      <c r="Q34" s="14">
        <f t="shared" si="1"/>
        <v>49.375</v>
      </c>
      <c r="R34" s="20">
        <f t="shared" si="2"/>
        <v>28</v>
      </c>
    </row>
    <row r="35" spans="1:18" ht="18" customHeight="1">
      <c r="A35" s="19">
        <v>29</v>
      </c>
      <c r="B35" s="2" t="s">
        <v>4343</v>
      </c>
      <c r="C35" s="1">
        <v>311220956</v>
      </c>
      <c r="D35" s="3" t="s">
        <v>4344</v>
      </c>
      <c r="E35" s="1" t="s">
        <v>61</v>
      </c>
      <c r="F35" s="10" t="s">
        <v>4287</v>
      </c>
      <c r="G35" s="2">
        <v>14</v>
      </c>
      <c r="H35" s="6">
        <v>28</v>
      </c>
      <c r="I35" s="6">
        <v>95</v>
      </c>
      <c r="J35" s="6">
        <v>36</v>
      </c>
      <c r="K35" s="6">
        <v>56</v>
      </c>
      <c r="L35" s="6">
        <v>40</v>
      </c>
      <c r="M35" s="6">
        <v>40</v>
      </c>
      <c r="N35" s="6">
        <v>72</v>
      </c>
      <c r="O35" s="6">
        <v>20</v>
      </c>
      <c r="P35" s="1">
        <f t="shared" si="0"/>
        <v>387</v>
      </c>
      <c r="Q35" s="14">
        <f t="shared" si="1"/>
        <v>48.375</v>
      </c>
      <c r="R35" s="20">
        <f t="shared" si="2"/>
        <v>29</v>
      </c>
    </row>
    <row r="36" spans="1:18" ht="18" customHeight="1">
      <c r="A36" s="19">
        <v>30</v>
      </c>
      <c r="B36" s="2" t="s">
        <v>4374</v>
      </c>
      <c r="C36" s="1" t="s">
        <v>4375</v>
      </c>
      <c r="D36" s="3" t="s">
        <v>4376</v>
      </c>
      <c r="E36" s="1" t="s">
        <v>90</v>
      </c>
      <c r="F36" s="10" t="s">
        <v>4287</v>
      </c>
      <c r="G36" s="2">
        <v>15</v>
      </c>
      <c r="H36" s="6">
        <v>56</v>
      </c>
      <c r="I36" s="6">
        <v>95</v>
      </c>
      <c r="J36" s="6">
        <v>40</v>
      </c>
      <c r="K36" s="6">
        <v>40</v>
      </c>
      <c r="L36" s="6">
        <v>36</v>
      </c>
      <c r="M36" s="6">
        <v>20</v>
      </c>
      <c r="N36" s="6">
        <v>40</v>
      </c>
      <c r="O36" s="6">
        <v>60</v>
      </c>
      <c r="P36" s="1">
        <f t="shared" si="0"/>
        <v>387</v>
      </c>
      <c r="Q36" s="14">
        <f t="shared" si="1"/>
        <v>48.375</v>
      </c>
      <c r="R36" s="20">
        <f t="shared" si="2"/>
        <v>29</v>
      </c>
    </row>
    <row r="37" spans="1:18" ht="18" customHeight="1">
      <c r="A37" s="19">
        <v>31</v>
      </c>
      <c r="B37" s="2" t="s">
        <v>4380</v>
      </c>
      <c r="C37" s="1">
        <v>311240453</v>
      </c>
      <c r="D37" s="3" t="s">
        <v>4381</v>
      </c>
      <c r="E37" s="1" t="s">
        <v>90</v>
      </c>
      <c r="F37" s="10" t="s">
        <v>4287</v>
      </c>
      <c r="G37" s="2">
        <v>15</v>
      </c>
      <c r="H37" s="6">
        <v>40</v>
      </c>
      <c r="I37" s="6">
        <v>100</v>
      </c>
      <c r="J37" s="6">
        <v>24</v>
      </c>
      <c r="K37" s="6">
        <v>40</v>
      </c>
      <c r="L37" s="6">
        <v>36</v>
      </c>
      <c r="M37" s="6">
        <v>64</v>
      </c>
      <c r="N37" s="6">
        <v>38</v>
      </c>
      <c r="O37" s="6">
        <v>44</v>
      </c>
      <c r="P37" s="1">
        <f t="shared" si="0"/>
        <v>386</v>
      </c>
      <c r="Q37" s="14">
        <f t="shared" si="1"/>
        <v>48.25</v>
      </c>
      <c r="R37" s="20">
        <f t="shared" si="2"/>
        <v>31</v>
      </c>
    </row>
    <row r="38" spans="1:18" ht="18" customHeight="1">
      <c r="A38" s="19">
        <v>32</v>
      </c>
      <c r="B38" s="2" t="s">
        <v>4288</v>
      </c>
      <c r="C38" s="1">
        <v>4232705</v>
      </c>
      <c r="D38" s="3" t="s">
        <v>4289</v>
      </c>
      <c r="E38" s="1" t="s">
        <v>73</v>
      </c>
      <c r="F38" s="10" t="s">
        <v>4287</v>
      </c>
      <c r="G38" s="2">
        <v>12</v>
      </c>
      <c r="H38" s="6">
        <v>32</v>
      </c>
      <c r="I38" s="6">
        <v>55</v>
      </c>
      <c r="J38" s="6">
        <v>60</v>
      </c>
      <c r="K38" s="6">
        <v>44</v>
      </c>
      <c r="L38" s="6">
        <v>60</v>
      </c>
      <c r="M38" s="6">
        <v>32</v>
      </c>
      <c r="N38" s="6">
        <v>84</v>
      </c>
      <c r="O38" s="6">
        <v>16</v>
      </c>
      <c r="P38" s="1">
        <f t="shared" si="0"/>
        <v>383</v>
      </c>
      <c r="Q38" s="14">
        <f t="shared" si="1"/>
        <v>47.875</v>
      </c>
      <c r="R38" s="20">
        <f t="shared" si="2"/>
        <v>32</v>
      </c>
    </row>
    <row r="39" spans="1:18" ht="18" customHeight="1">
      <c r="A39" s="19">
        <v>33</v>
      </c>
      <c r="B39" s="2" t="s">
        <v>4340</v>
      </c>
      <c r="C39" s="1" t="s">
        <v>4341</v>
      </c>
      <c r="D39" s="3" t="s">
        <v>4342</v>
      </c>
      <c r="E39" s="1" t="s">
        <v>60</v>
      </c>
      <c r="F39" s="10" t="s">
        <v>4287</v>
      </c>
      <c r="G39" s="2">
        <v>14</v>
      </c>
      <c r="H39" s="6">
        <v>60</v>
      </c>
      <c r="I39" s="6">
        <v>95</v>
      </c>
      <c r="J39" s="6">
        <v>48</v>
      </c>
      <c r="K39" s="6">
        <v>48</v>
      </c>
      <c r="L39" s="6">
        <v>24</v>
      </c>
      <c r="M39" s="6">
        <v>24</v>
      </c>
      <c r="N39" s="6">
        <v>68</v>
      </c>
      <c r="O39" s="6">
        <v>16</v>
      </c>
      <c r="P39" s="1">
        <f t="shared" ref="P39:P61" si="3">SUBTOTAL(9,H39:O39)</f>
        <v>383</v>
      </c>
      <c r="Q39" s="14">
        <f t="shared" ref="Q39:Q61" si="4">P39/8</f>
        <v>47.875</v>
      </c>
      <c r="R39" s="20">
        <f t="shared" ref="R39:R61" si="5">RANK(Q39,Q$7:Q$231,0)</f>
        <v>32</v>
      </c>
    </row>
    <row r="40" spans="1:18" ht="18" customHeight="1">
      <c r="A40" s="19">
        <v>34</v>
      </c>
      <c r="B40" s="2" t="s">
        <v>4397</v>
      </c>
      <c r="C40" s="1">
        <v>3931525</v>
      </c>
      <c r="D40" s="3" t="s">
        <v>4398</v>
      </c>
      <c r="E40" s="1" t="s">
        <v>353</v>
      </c>
      <c r="F40" s="10" t="s">
        <v>4287</v>
      </c>
      <c r="G40" s="2">
        <v>15</v>
      </c>
      <c r="H40" s="6">
        <v>44</v>
      </c>
      <c r="I40" s="6">
        <v>90</v>
      </c>
      <c r="J40" s="6">
        <v>36</v>
      </c>
      <c r="K40" s="6">
        <v>52</v>
      </c>
      <c r="L40" s="6">
        <v>12</v>
      </c>
      <c r="M40" s="6">
        <v>36</v>
      </c>
      <c r="N40" s="6">
        <v>84</v>
      </c>
      <c r="O40" s="6">
        <v>28</v>
      </c>
      <c r="P40" s="1">
        <f t="shared" si="3"/>
        <v>382</v>
      </c>
      <c r="Q40" s="14">
        <f t="shared" si="4"/>
        <v>47.75</v>
      </c>
      <c r="R40" s="20">
        <f t="shared" si="5"/>
        <v>34</v>
      </c>
    </row>
    <row r="41" spans="1:18" ht="18" customHeight="1">
      <c r="A41" s="19">
        <v>35</v>
      </c>
      <c r="B41" s="2" t="s">
        <v>4353</v>
      </c>
      <c r="C41" s="1">
        <v>311220957</v>
      </c>
      <c r="D41" s="3" t="s">
        <v>4354</v>
      </c>
      <c r="E41" s="1" t="s">
        <v>84</v>
      </c>
      <c r="F41" s="10" t="s">
        <v>4287</v>
      </c>
      <c r="G41" s="2">
        <v>14</v>
      </c>
      <c r="H41" s="6">
        <v>60</v>
      </c>
      <c r="I41" s="6">
        <v>100</v>
      </c>
      <c r="J41" s="6">
        <v>40</v>
      </c>
      <c r="K41" s="6">
        <v>40</v>
      </c>
      <c r="L41" s="6">
        <v>36</v>
      </c>
      <c r="M41" s="6">
        <v>40</v>
      </c>
      <c r="N41" s="6">
        <v>44</v>
      </c>
      <c r="O41" s="6">
        <v>20</v>
      </c>
      <c r="P41" s="1">
        <f t="shared" si="3"/>
        <v>380</v>
      </c>
      <c r="Q41" s="14">
        <f t="shared" si="4"/>
        <v>47.5</v>
      </c>
      <c r="R41" s="20">
        <f t="shared" si="5"/>
        <v>35</v>
      </c>
    </row>
    <row r="42" spans="1:18" ht="18" customHeight="1">
      <c r="A42" s="19">
        <v>36</v>
      </c>
      <c r="B42" s="2" t="s">
        <v>4321</v>
      </c>
      <c r="C42" s="1" t="s">
        <v>4322</v>
      </c>
      <c r="D42" s="3" t="s">
        <v>4323</v>
      </c>
      <c r="E42" s="1" t="s">
        <v>59</v>
      </c>
      <c r="F42" s="10" t="s">
        <v>4287</v>
      </c>
      <c r="G42" s="2">
        <v>13</v>
      </c>
      <c r="H42" s="6">
        <v>36</v>
      </c>
      <c r="I42" s="6">
        <v>80</v>
      </c>
      <c r="J42" s="6">
        <v>68</v>
      </c>
      <c r="K42" s="6">
        <v>48</v>
      </c>
      <c r="L42" s="6">
        <v>44</v>
      </c>
      <c r="M42" s="6">
        <v>20</v>
      </c>
      <c r="N42" s="6">
        <v>56</v>
      </c>
      <c r="O42" s="6">
        <v>20</v>
      </c>
      <c r="P42" s="1">
        <f t="shared" si="3"/>
        <v>372</v>
      </c>
      <c r="Q42" s="14">
        <f t="shared" si="4"/>
        <v>46.5</v>
      </c>
      <c r="R42" s="20">
        <f t="shared" si="5"/>
        <v>36</v>
      </c>
    </row>
    <row r="43" spans="1:18" ht="18" customHeight="1">
      <c r="A43" s="19">
        <v>37</v>
      </c>
      <c r="B43" s="2" t="s">
        <v>4326</v>
      </c>
      <c r="C43" s="1">
        <v>4232655</v>
      </c>
      <c r="D43" s="3" t="s">
        <v>4327</v>
      </c>
      <c r="E43" s="1" t="s">
        <v>59</v>
      </c>
      <c r="F43" s="10" t="s">
        <v>4287</v>
      </c>
      <c r="G43" s="2">
        <v>13</v>
      </c>
      <c r="H43" s="6">
        <v>44</v>
      </c>
      <c r="I43" s="6">
        <v>75</v>
      </c>
      <c r="J43" s="6">
        <v>40</v>
      </c>
      <c r="K43" s="6">
        <v>44</v>
      </c>
      <c r="L43" s="6">
        <v>28</v>
      </c>
      <c r="M43" s="6">
        <v>60</v>
      </c>
      <c r="N43" s="6">
        <v>68</v>
      </c>
      <c r="O43" s="6">
        <v>8</v>
      </c>
      <c r="P43" s="1">
        <f t="shared" si="3"/>
        <v>367</v>
      </c>
      <c r="Q43" s="14">
        <f t="shared" si="4"/>
        <v>45.875</v>
      </c>
      <c r="R43" s="20">
        <f t="shared" si="5"/>
        <v>37</v>
      </c>
    </row>
    <row r="44" spans="1:18" ht="18" customHeight="1">
      <c r="A44" s="19">
        <v>38</v>
      </c>
      <c r="B44" s="2" t="s">
        <v>4385</v>
      </c>
      <c r="C44" s="1" t="s">
        <v>4386</v>
      </c>
      <c r="D44" s="3" t="s">
        <v>4387</v>
      </c>
      <c r="E44" s="1" t="s">
        <v>90</v>
      </c>
      <c r="F44" s="10" t="s">
        <v>4287</v>
      </c>
      <c r="G44" s="2">
        <v>15</v>
      </c>
      <c r="H44" s="6">
        <v>36</v>
      </c>
      <c r="I44" s="6">
        <v>100</v>
      </c>
      <c r="J44" s="6">
        <v>56</v>
      </c>
      <c r="K44" s="6">
        <v>56</v>
      </c>
      <c r="L44" s="6">
        <v>32</v>
      </c>
      <c r="M44" s="6">
        <v>12</v>
      </c>
      <c r="N44" s="6">
        <v>48</v>
      </c>
      <c r="O44" s="6">
        <v>24</v>
      </c>
      <c r="P44" s="1">
        <f t="shared" si="3"/>
        <v>364</v>
      </c>
      <c r="Q44" s="14">
        <f t="shared" si="4"/>
        <v>45.5</v>
      </c>
      <c r="R44" s="20">
        <f t="shared" si="5"/>
        <v>38</v>
      </c>
    </row>
    <row r="45" spans="1:18" ht="18" customHeight="1">
      <c r="A45" s="19">
        <v>39</v>
      </c>
      <c r="B45" s="2" t="s">
        <v>4405</v>
      </c>
      <c r="C45" s="1">
        <v>311220780</v>
      </c>
      <c r="D45" s="3" t="s">
        <v>4406</v>
      </c>
      <c r="E45" s="1" t="s">
        <v>85</v>
      </c>
      <c r="F45" s="10" t="s">
        <v>4287</v>
      </c>
      <c r="G45" s="2">
        <v>16</v>
      </c>
      <c r="H45" s="6">
        <v>36</v>
      </c>
      <c r="I45" s="6">
        <v>85</v>
      </c>
      <c r="J45" s="6">
        <v>40</v>
      </c>
      <c r="K45" s="6">
        <v>64</v>
      </c>
      <c r="L45" s="6">
        <v>48</v>
      </c>
      <c r="M45" s="6">
        <v>12</v>
      </c>
      <c r="N45" s="6">
        <v>56</v>
      </c>
      <c r="O45" s="6">
        <v>20</v>
      </c>
      <c r="P45" s="1">
        <f t="shared" si="3"/>
        <v>361</v>
      </c>
      <c r="Q45" s="14">
        <f t="shared" si="4"/>
        <v>45.125</v>
      </c>
      <c r="R45" s="20">
        <f t="shared" si="5"/>
        <v>39</v>
      </c>
    </row>
    <row r="46" spans="1:18" ht="18" customHeight="1">
      <c r="A46" s="19">
        <v>40</v>
      </c>
      <c r="B46" s="2" t="s">
        <v>4365</v>
      </c>
      <c r="C46" s="1" t="s">
        <v>4366</v>
      </c>
      <c r="D46" s="3" t="s">
        <v>4367</v>
      </c>
      <c r="E46" s="1" t="s">
        <v>78</v>
      </c>
      <c r="F46" s="10" t="s">
        <v>4287</v>
      </c>
      <c r="G46" s="2">
        <v>15</v>
      </c>
      <c r="H46" s="6">
        <v>8</v>
      </c>
      <c r="I46" s="6">
        <v>85</v>
      </c>
      <c r="J46" s="6">
        <v>40</v>
      </c>
      <c r="K46" s="6">
        <v>64</v>
      </c>
      <c r="L46" s="6">
        <v>28</v>
      </c>
      <c r="M46" s="6">
        <v>44</v>
      </c>
      <c r="N46" s="6">
        <v>76</v>
      </c>
      <c r="O46" s="6">
        <v>12</v>
      </c>
      <c r="P46" s="1">
        <f t="shared" si="3"/>
        <v>357</v>
      </c>
      <c r="Q46" s="14">
        <f t="shared" si="4"/>
        <v>44.625</v>
      </c>
      <c r="R46" s="20">
        <f t="shared" si="5"/>
        <v>40</v>
      </c>
    </row>
    <row r="47" spans="1:18" ht="18" customHeight="1">
      <c r="A47" s="19">
        <v>41</v>
      </c>
      <c r="B47" s="2" t="s">
        <v>4300</v>
      </c>
      <c r="C47" s="1">
        <v>4232762</v>
      </c>
      <c r="D47" s="3" t="s">
        <v>4301</v>
      </c>
      <c r="E47" s="1" t="s">
        <v>55</v>
      </c>
      <c r="F47" s="10" t="s">
        <v>4287</v>
      </c>
      <c r="G47" s="2">
        <v>13</v>
      </c>
      <c r="H47" s="6">
        <v>36</v>
      </c>
      <c r="I47" s="6">
        <v>90</v>
      </c>
      <c r="J47" s="6">
        <v>52</v>
      </c>
      <c r="K47" s="6">
        <v>36</v>
      </c>
      <c r="L47" s="6">
        <v>28</v>
      </c>
      <c r="M47" s="6">
        <v>32</v>
      </c>
      <c r="N47" s="6">
        <v>68</v>
      </c>
      <c r="O47" s="6">
        <v>12</v>
      </c>
      <c r="P47" s="1">
        <f t="shared" si="3"/>
        <v>354</v>
      </c>
      <c r="Q47" s="14">
        <f t="shared" si="4"/>
        <v>44.25</v>
      </c>
      <c r="R47" s="20">
        <f t="shared" si="5"/>
        <v>41</v>
      </c>
    </row>
    <row r="48" spans="1:18" ht="18" customHeight="1">
      <c r="A48" s="19">
        <v>42</v>
      </c>
      <c r="B48" s="2" t="s">
        <v>4296</v>
      </c>
      <c r="C48" s="1">
        <v>4232866</v>
      </c>
      <c r="D48" s="3" t="s">
        <v>4297</v>
      </c>
      <c r="E48" s="1" t="s">
        <v>55</v>
      </c>
      <c r="F48" s="10" t="s">
        <v>4287</v>
      </c>
      <c r="G48" s="2">
        <v>13</v>
      </c>
      <c r="H48" s="6">
        <v>12</v>
      </c>
      <c r="I48" s="6">
        <v>95</v>
      </c>
      <c r="J48" s="6">
        <v>52</v>
      </c>
      <c r="K48" s="6">
        <v>64</v>
      </c>
      <c r="L48" s="6">
        <v>20</v>
      </c>
      <c r="M48" s="6">
        <v>20</v>
      </c>
      <c r="N48" s="6">
        <v>72</v>
      </c>
      <c r="O48" s="6">
        <v>16</v>
      </c>
      <c r="P48" s="1">
        <f t="shared" si="3"/>
        <v>351</v>
      </c>
      <c r="Q48" s="14">
        <f t="shared" si="4"/>
        <v>43.875</v>
      </c>
      <c r="R48" s="20">
        <f t="shared" si="5"/>
        <v>42</v>
      </c>
    </row>
    <row r="49" spans="1:18" ht="18" customHeight="1">
      <c r="A49" s="19">
        <v>43</v>
      </c>
      <c r="B49" s="2" t="s">
        <v>4351</v>
      </c>
      <c r="C49" s="1">
        <v>4232728</v>
      </c>
      <c r="D49" s="3" t="s">
        <v>4352</v>
      </c>
      <c r="E49" s="1" t="s">
        <v>84</v>
      </c>
      <c r="F49" s="10" t="s">
        <v>4287</v>
      </c>
      <c r="G49" s="2">
        <v>14</v>
      </c>
      <c r="H49" s="6">
        <v>16</v>
      </c>
      <c r="I49" s="6">
        <v>95</v>
      </c>
      <c r="J49" s="6">
        <v>24</v>
      </c>
      <c r="K49" s="6">
        <v>44</v>
      </c>
      <c r="L49" s="6">
        <v>40</v>
      </c>
      <c r="M49" s="6">
        <v>40</v>
      </c>
      <c r="N49" s="6">
        <v>64</v>
      </c>
      <c r="O49" s="6">
        <v>28</v>
      </c>
      <c r="P49" s="1">
        <f t="shared" si="3"/>
        <v>351</v>
      </c>
      <c r="Q49" s="14">
        <f t="shared" si="4"/>
        <v>43.875</v>
      </c>
      <c r="R49" s="20">
        <f t="shared" si="5"/>
        <v>42</v>
      </c>
    </row>
    <row r="50" spans="1:18" ht="18" customHeight="1">
      <c r="A50" s="19">
        <v>44</v>
      </c>
      <c r="B50" s="2" t="s">
        <v>4395</v>
      </c>
      <c r="C50" s="1">
        <v>311220879</v>
      </c>
      <c r="D50" s="3" t="s">
        <v>4396</v>
      </c>
      <c r="E50" s="1" t="s">
        <v>65</v>
      </c>
      <c r="F50" s="10" t="s">
        <v>4287</v>
      </c>
      <c r="G50" s="2">
        <v>15</v>
      </c>
      <c r="H50" s="6">
        <v>32</v>
      </c>
      <c r="I50" s="6">
        <v>100</v>
      </c>
      <c r="J50" s="6">
        <v>24</v>
      </c>
      <c r="K50" s="6">
        <v>28</v>
      </c>
      <c r="L50" s="6">
        <v>48</v>
      </c>
      <c r="M50" s="6">
        <v>16</v>
      </c>
      <c r="N50" s="6">
        <v>68</v>
      </c>
      <c r="O50" s="6">
        <v>12</v>
      </c>
      <c r="P50" s="1">
        <f t="shared" si="3"/>
        <v>328</v>
      </c>
      <c r="Q50" s="14">
        <f t="shared" si="4"/>
        <v>41</v>
      </c>
      <c r="R50" s="20">
        <f t="shared" si="5"/>
        <v>44</v>
      </c>
    </row>
    <row r="51" spans="1:18" ht="18" customHeight="1">
      <c r="A51" s="19">
        <v>45</v>
      </c>
      <c r="B51" s="2" t="s">
        <v>4368</v>
      </c>
      <c r="C51" s="1" t="s">
        <v>4369</v>
      </c>
      <c r="D51" s="3" t="s">
        <v>4370</v>
      </c>
      <c r="E51" s="1" t="s">
        <v>78</v>
      </c>
      <c r="F51" s="10" t="s">
        <v>4287</v>
      </c>
      <c r="G51" s="2">
        <v>15</v>
      </c>
      <c r="H51" s="6">
        <v>16</v>
      </c>
      <c r="I51" s="6">
        <v>95</v>
      </c>
      <c r="J51" s="6">
        <v>40</v>
      </c>
      <c r="K51" s="6">
        <v>44</v>
      </c>
      <c r="L51" s="6">
        <v>28</v>
      </c>
      <c r="M51" s="6">
        <v>32</v>
      </c>
      <c r="N51" s="6">
        <v>56</v>
      </c>
      <c r="O51" s="6">
        <v>16</v>
      </c>
      <c r="P51" s="1">
        <f t="shared" si="3"/>
        <v>327</v>
      </c>
      <c r="Q51" s="14">
        <f t="shared" si="4"/>
        <v>40.875</v>
      </c>
      <c r="R51" s="20">
        <f t="shared" si="5"/>
        <v>45</v>
      </c>
    </row>
    <row r="52" spans="1:18" ht="18" customHeight="1">
      <c r="A52" s="19">
        <v>46</v>
      </c>
      <c r="B52" s="2" t="s">
        <v>4371</v>
      </c>
      <c r="C52" s="1" t="s">
        <v>4372</v>
      </c>
      <c r="D52" s="3" t="s">
        <v>4373</v>
      </c>
      <c r="E52" s="1" t="s">
        <v>78</v>
      </c>
      <c r="F52" s="10" t="s">
        <v>4287</v>
      </c>
      <c r="G52" s="2">
        <v>15</v>
      </c>
      <c r="H52" s="6">
        <v>32</v>
      </c>
      <c r="I52" s="6">
        <v>45</v>
      </c>
      <c r="J52" s="6">
        <v>60</v>
      </c>
      <c r="K52" s="6">
        <v>36</v>
      </c>
      <c r="L52" s="6">
        <v>24</v>
      </c>
      <c r="M52" s="6">
        <v>20</v>
      </c>
      <c r="N52" s="6">
        <v>72</v>
      </c>
      <c r="O52" s="6">
        <v>24</v>
      </c>
      <c r="P52" s="1">
        <f t="shared" si="3"/>
        <v>313</v>
      </c>
      <c r="Q52" s="14">
        <f t="shared" si="4"/>
        <v>39.125</v>
      </c>
      <c r="R52" s="20">
        <f t="shared" si="5"/>
        <v>46</v>
      </c>
    </row>
    <row r="53" spans="1:18" ht="18" customHeight="1">
      <c r="A53" s="19">
        <v>47</v>
      </c>
      <c r="B53" s="2" t="s">
        <v>4290</v>
      </c>
      <c r="C53" s="1">
        <v>4232704</v>
      </c>
      <c r="D53" s="3" t="s">
        <v>4291</v>
      </c>
      <c r="E53" s="1" t="s">
        <v>58</v>
      </c>
      <c r="F53" s="10" t="s">
        <v>4287</v>
      </c>
      <c r="G53" s="2">
        <v>12</v>
      </c>
      <c r="H53" s="6">
        <v>8</v>
      </c>
      <c r="I53" s="6">
        <v>50</v>
      </c>
      <c r="J53" s="6">
        <v>16</v>
      </c>
      <c r="K53" s="6">
        <v>20</v>
      </c>
      <c r="L53" s="6">
        <v>44</v>
      </c>
      <c r="M53" s="6">
        <v>36</v>
      </c>
      <c r="N53" s="6">
        <v>68</v>
      </c>
      <c r="O53" s="6">
        <v>56</v>
      </c>
      <c r="P53" s="1">
        <f t="shared" si="3"/>
        <v>298</v>
      </c>
      <c r="Q53" s="14">
        <f t="shared" si="4"/>
        <v>37.25</v>
      </c>
      <c r="R53" s="20">
        <f t="shared" si="5"/>
        <v>47</v>
      </c>
    </row>
    <row r="54" spans="1:18" ht="18" customHeight="1">
      <c r="A54" s="19">
        <v>48</v>
      </c>
      <c r="B54" s="2" t="s">
        <v>4311</v>
      </c>
      <c r="C54" s="1">
        <v>311220903</v>
      </c>
      <c r="D54" s="3" t="s">
        <v>4312</v>
      </c>
      <c r="E54" s="1" t="s">
        <v>70</v>
      </c>
      <c r="F54" s="10" t="s">
        <v>4287</v>
      </c>
      <c r="G54" s="2">
        <v>13</v>
      </c>
      <c r="H54" s="6">
        <v>20</v>
      </c>
      <c r="I54" s="6">
        <v>90</v>
      </c>
      <c r="J54" s="6">
        <v>12</v>
      </c>
      <c r="K54" s="6">
        <v>24</v>
      </c>
      <c r="L54" s="6">
        <v>36</v>
      </c>
      <c r="M54" s="6">
        <v>4</v>
      </c>
      <c r="N54" s="6">
        <v>88</v>
      </c>
      <c r="O54" s="6">
        <v>20</v>
      </c>
      <c r="P54" s="1">
        <f t="shared" si="3"/>
        <v>294</v>
      </c>
      <c r="Q54" s="14">
        <f t="shared" si="4"/>
        <v>36.75</v>
      </c>
      <c r="R54" s="20">
        <f t="shared" si="5"/>
        <v>48</v>
      </c>
    </row>
    <row r="55" spans="1:18" ht="18" customHeight="1">
      <c r="A55" s="19">
        <v>49</v>
      </c>
      <c r="B55" s="2" t="s">
        <v>4313</v>
      </c>
      <c r="C55" s="1">
        <v>4233007</v>
      </c>
      <c r="D55" s="3" t="s">
        <v>4314</v>
      </c>
      <c r="E55" s="1" t="s">
        <v>57</v>
      </c>
      <c r="F55" s="10" t="s">
        <v>4287</v>
      </c>
      <c r="G55" s="2">
        <v>13</v>
      </c>
      <c r="H55" s="6">
        <v>36</v>
      </c>
      <c r="I55" s="6">
        <v>50</v>
      </c>
      <c r="J55" s="6">
        <v>32</v>
      </c>
      <c r="K55" s="6">
        <v>32</v>
      </c>
      <c r="L55" s="6">
        <v>24</v>
      </c>
      <c r="M55" s="6">
        <v>24</v>
      </c>
      <c r="N55" s="6">
        <v>64</v>
      </c>
      <c r="O55" s="6">
        <v>16</v>
      </c>
      <c r="P55" s="1">
        <f t="shared" si="3"/>
        <v>278</v>
      </c>
      <c r="Q55" s="14">
        <f t="shared" si="4"/>
        <v>34.75</v>
      </c>
      <c r="R55" s="20">
        <f t="shared" si="5"/>
        <v>49</v>
      </c>
    </row>
    <row r="56" spans="1:18" ht="18" customHeight="1">
      <c r="A56" s="19">
        <v>50</v>
      </c>
      <c r="B56" s="2" t="s">
        <v>4407</v>
      </c>
      <c r="C56" s="1">
        <v>4232860</v>
      </c>
      <c r="D56" s="3" t="s">
        <v>4408</v>
      </c>
      <c r="E56" s="1" t="s">
        <v>85</v>
      </c>
      <c r="F56" s="10" t="s">
        <v>4287</v>
      </c>
      <c r="G56" s="2">
        <v>16</v>
      </c>
      <c r="H56" s="6">
        <v>16</v>
      </c>
      <c r="I56" s="6">
        <v>100</v>
      </c>
      <c r="J56" s="6">
        <v>32</v>
      </c>
      <c r="K56" s="6">
        <v>8</v>
      </c>
      <c r="L56" s="6">
        <v>16</v>
      </c>
      <c r="M56" s="6">
        <v>28</v>
      </c>
      <c r="N56" s="6">
        <v>52</v>
      </c>
      <c r="O56" s="6">
        <v>20</v>
      </c>
      <c r="P56" s="1">
        <f t="shared" si="3"/>
        <v>272</v>
      </c>
      <c r="Q56" s="14">
        <f t="shared" si="4"/>
        <v>34</v>
      </c>
      <c r="R56" s="20">
        <f t="shared" si="5"/>
        <v>50</v>
      </c>
    </row>
    <row r="57" spans="1:18" ht="18" customHeight="1">
      <c r="A57" s="19">
        <v>51</v>
      </c>
      <c r="B57" s="2" t="s">
        <v>4363</v>
      </c>
      <c r="C57" s="1">
        <v>311220823</v>
      </c>
      <c r="D57" s="3" t="s">
        <v>4364</v>
      </c>
      <c r="E57" s="1" t="s">
        <v>78</v>
      </c>
      <c r="F57" s="10" t="s">
        <v>4287</v>
      </c>
      <c r="G57" s="2">
        <v>15</v>
      </c>
      <c r="H57" s="6">
        <v>20</v>
      </c>
      <c r="I57" s="6">
        <v>65</v>
      </c>
      <c r="J57" s="6">
        <v>40</v>
      </c>
      <c r="K57" s="6">
        <v>44</v>
      </c>
      <c r="L57" s="6">
        <v>8</v>
      </c>
      <c r="M57" s="6">
        <v>24</v>
      </c>
      <c r="N57" s="6">
        <v>44</v>
      </c>
      <c r="O57" s="6">
        <v>12</v>
      </c>
      <c r="P57" s="1">
        <f t="shared" si="3"/>
        <v>257</v>
      </c>
      <c r="Q57" s="14">
        <f t="shared" si="4"/>
        <v>32.125</v>
      </c>
      <c r="R57" s="20">
        <f t="shared" si="5"/>
        <v>51</v>
      </c>
    </row>
    <row r="58" spans="1:18" ht="18" customHeight="1">
      <c r="A58" s="19">
        <v>52</v>
      </c>
      <c r="B58" s="2" t="s">
        <v>4399</v>
      </c>
      <c r="C58" s="1">
        <v>4232576</v>
      </c>
      <c r="D58" s="3" t="s">
        <v>4400</v>
      </c>
      <c r="E58" s="1" t="s">
        <v>75</v>
      </c>
      <c r="F58" s="10" t="s">
        <v>4287</v>
      </c>
      <c r="G58" s="2">
        <v>16</v>
      </c>
      <c r="H58" s="6">
        <v>0</v>
      </c>
      <c r="I58" s="6">
        <v>100</v>
      </c>
      <c r="J58" s="6">
        <v>20</v>
      </c>
      <c r="K58" s="6">
        <v>32</v>
      </c>
      <c r="L58" s="6">
        <v>28</v>
      </c>
      <c r="M58" s="6">
        <v>12</v>
      </c>
      <c r="N58" s="6">
        <v>40</v>
      </c>
      <c r="O58" s="6">
        <v>8</v>
      </c>
      <c r="P58" s="1">
        <f t="shared" si="3"/>
        <v>240</v>
      </c>
      <c r="Q58" s="14">
        <f t="shared" si="4"/>
        <v>30</v>
      </c>
      <c r="R58" s="20">
        <f t="shared" si="5"/>
        <v>52</v>
      </c>
    </row>
    <row r="59" spans="1:18" ht="18" customHeight="1">
      <c r="A59" s="19">
        <v>53</v>
      </c>
      <c r="B59" s="2" t="s">
        <v>4377</v>
      </c>
      <c r="C59" s="1" t="s">
        <v>4378</v>
      </c>
      <c r="D59" s="3" t="s">
        <v>4379</v>
      </c>
      <c r="E59" s="1" t="s">
        <v>90</v>
      </c>
      <c r="F59" s="10" t="s">
        <v>4287</v>
      </c>
      <c r="G59" s="2">
        <v>15</v>
      </c>
      <c r="H59" s="6">
        <v>20</v>
      </c>
      <c r="I59" s="6">
        <v>70</v>
      </c>
      <c r="J59" s="6">
        <v>16</v>
      </c>
      <c r="K59" s="6">
        <v>8</v>
      </c>
      <c r="L59" s="6">
        <v>24</v>
      </c>
      <c r="M59" s="6">
        <v>12</v>
      </c>
      <c r="N59" s="6">
        <v>72</v>
      </c>
      <c r="O59" s="6">
        <v>16</v>
      </c>
      <c r="P59" s="1">
        <f t="shared" si="3"/>
        <v>238</v>
      </c>
      <c r="Q59" s="14">
        <f t="shared" si="4"/>
        <v>29.75</v>
      </c>
      <c r="R59" s="20">
        <f t="shared" si="5"/>
        <v>53</v>
      </c>
    </row>
    <row r="60" spans="1:18" ht="18" customHeight="1">
      <c r="A60" s="19">
        <v>54</v>
      </c>
      <c r="B60" s="2" t="s">
        <v>4359</v>
      </c>
      <c r="C60" s="1">
        <v>4032376</v>
      </c>
      <c r="D60" s="3" t="s">
        <v>4360</v>
      </c>
      <c r="E60" s="1" t="s">
        <v>78</v>
      </c>
      <c r="F60" s="10" t="s">
        <v>4287</v>
      </c>
      <c r="G60" s="2">
        <v>14</v>
      </c>
      <c r="H60" s="6">
        <v>32</v>
      </c>
      <c r="I60" s="6">
        <v>0</v>
      </c>
      <c r="J60" s="6">
        <v>40</v>
      </c>
      <c r="K60" s="6">
        <v>36</v>
      </c>
      <c r="L60" s="6">
        <v>24</v>
      </c>
      <c r="M60" s="6">
        <v>32</v>
      </c>
      <c r="N60" s="6">
        <v>64</v>
      </c>
      <c r="O60" s="6">
        <v>8</v>
      </c>
      <c r="P60" s="1">
        <f t="shared" si="3"/>
        <v>236</v>
      </c>
      <c r="Q60" s="14">
        <f t="shared" si="4"/>
        <v>29.5</v>
      </c>
      <c r="R60" s="20">
        <f t="shared" si="5"/>
        <v>54</v>
      </c>
    </row>
    <row r="61" spans="1:18" ht="18" customHeight="1">
      <c r="A61" s="19">
        <v>55</v>
      </c>
      <c r="B61" s="28" t="s">
        <v>4355</v>
      </c>
      <c r="C61" s="29">
        <v>4032538</v>
      </c>
      <c r="D61" s="30" t="s">
        <v>4356</v>
      </c>
      <c r="E61" s="29" t="s">
        <v>63</v>
      </c>
      <c r="F61" s="31" t="s">
        <v>4287</v>
      </c>
      <c r="G61" s="28">
        <v>14</v>
      </c>
      <c r="H61" s="46"/>
      <c r="I61" s="46"/>
      <c r="J61" s="46"/>
      <c r="K61" s="46"/>
      <c r="L61" s="46"/>
      <c r="M61" s="46"/>
      <c r="N61" s="46"/>
      <c r="O61" s="46"/>
      <c r="P61" s="29">
        <f t="shared" si="3"/>
        <v>0</v>
      </c>
      <c r="Q61" s="41">
        <f t="shared" si="4"/>
        <v>0</v>
      </c>
      <c r="R61" s="33">
        <f t="shared" si="5"/>
        <v>55</v>
      </c>
    </row>
  </sheetData>
  <mergeCells count="4">
    <mergeCell ref="A1:P1"/>
    <mergeCell ref="A2:P2"/>
    <mergeCell ref="A3:P3"/>
    <mergeCell ref="A5:B5"/>
  </mergeCells>
  <conditionalFormatting sqref="H7:L7">
    <cfRule type="cellIs" dxfId="2467" priority="274" operator="lessThan">
      <formula>5</formula>
    </cfRule>
  </conditionalFormatting>
  <conditionalFormatting sqref="M7:O7">
    <cfRule type="cellIs" dxfId="2466" priority="275" operator="lessThan">
      <formula>5</formula>
    </cfRule>
  </conditionalFormatting>
  <conditionalFormatting sqref="H7:O7">
    <cfRule type="expression" dxfId="2465" priority="273">
      <formula>5</formula>
    </cfRule>
  </conditionalFormatting>
  <conditionalFormatting sqref="H7:O7">
    <cfRule type="cellIs" dxfId="2464" priority="272" operator="lessThan">
      <formula>50</formula>
    </cfRule>
  </conditionalFormatting>
  <conditionalFormatting sqref="Q7">
    <cfRule type="cellIs" dxfId="2463" priority="271" operator="lessThan">
      <formula>50</formula>
    </cfRule>
  </conditionalFormatting>
  <conditionalFormatting sqref="H8:L8">
    <cfRule type="cellIs" dxfId="2462" priority="269" operator="lessThan">
      <formula>5</formula>
    </cfRule>
  </conditionalFormatting>
  <conditionalFormatting sqref="M8:O8">
    <cfRule type="cellIs" dxfId="2461" priority="270" operator="lessThan">
      <formula>5</formula>
    </cfRule>
  </conditionalFormatting>
  <conditionalFormatting sqref="H8:O8">
    <cfRule type="expression" dxfId="2460" priority="268">
      <formula>5</formula>
    </cfRule>
  </conditionalFormatting>
  <conditionalFormatting sqref="H8:O8">
    <cfRule type="cellIs" dxfId="2459" priority="267" operator="lessThan">
      <formula>50</formula>
    </cfRule>
  </conditionalFormatting>
  <conditionalFormatting sqref="Q8">
    <cfRule type="cellIs" dxfId="2458" priority="266" operator="lessThan">
      <formula>50</formula>
    </cfRule>
  </conditionalFormatting>
  <conditionalFormatting sqref="H9:L9">
    <cfRule type="cellIs" dxfId="2457" priority="264" operator="lessThan">
      <formula>5</formula>
    </cfRule>
  </conditionalFormatting>
  <conditionalFormatting sqref="M9:O9">
    <cfRule type="cellIs" dxfId="2456" priority="265" operator="lessThan">
      <formula>5</formula>
    </cfRule>
  </conditionalFormatting>
  <conditionalFormatting sqref="H9:O9">
    <cfRule type="expression" dxfId="2455" priority="263">
      <formula>5</formula>
    </cfRule>
  </conditionalFormatting>
  <conditionalFormatting sqref="H9:O9">
    <cfRule type="cellIs" dxfId="2454" priority="262" operator="lessThan">
      <formula>50</formula>
    </cfRule>
  </conditionalFormatting>
  <conditionalFormatting sqref="Q9">
    <cfRule type="cellIs" dxfId="2453" priority="261" operator="lessThan">
      <formula>50</formula>
    </cfRule>
  </conditionalFormatting>
  <conditionalFormatting sqref="H10:L10">
    <cfRule type="cellIs" dxfId="2452" priority="259" operator="lessThan">
      <formula>5</formula>
    </cfRule>
  </conditionalFormatting>
  <conditionalFormatting sqref="M10:O10">
    <cfRule type="cellIs" dxfId="2451" priority="260" operator="lessThan">
      <formula>5</formula>
    </cfRule>
  </conditionalFormatting>
  <conditionalFormatting sqref="H10:O10">
    <cfRule type="expression" dxfId="2450" priority="258">
      <formula>5</formula>
    </cfRule>
  </conditionalFormatting>
  <conditionalFormatting sqref="H10:O10">
    <cfRule type="cellIs" dxfId="2449" priority="257" operator="lessThan">
      <formula>50</formula>
    </cfRule>
  </conditionalFormatting>
  <conditionalFormatting sqref="Q10">
    <cfRule type="cellIs" dxfId="2448" priority="256" operator="lessThan">
      <formula>50</formula>
    </cfRule>
  </conditionalFormatting>
  <conditionalFormatting sqref="H11:L11">
    <cfRule type="cellIs" dxfId="2447" priority="254" operator="lessThan">
      <formula>5</formula>
    </cfRule>
  </conditionalFormatting>
  <conditionalFormatting sqref="M11:O11">
    <cfRule type="cellIs" dxfId="2446" priority="255" operator="lessThan">
      <formula>5</formula>
    </cfRule>
  </conditionalFormatting>
  <conditionalFormatting sqref="H11:O11">
    <cfRule type="expression" dxfId="2445" priority="253">
      <formula>5</formula>
    </cfRule>
  </conditionalFormatting>
  <conditionalFormatting sqref="H11:O11">
    <cfRule type="cellIs" dxfId="2444" priority="252" operator="lessThan">
      <formula>50</formula>
    </cfRule>
  </conditionalFormatting>
  <conditionalFormatting sqref="Q11">
    <cfRule type="cellIs" dxfId="2443" priority="251" operator="lessThan">
      <formula>50</formula>
    </cfRule>
  </conditionalFormatting>
  <conditionalFormatting sqref="H12:L12">
    <cfRule type="cellIs" dxfId="2442" priority="249" operator="lessThan">
      <formula>5</formula>
    </cfRule>
  </conditionalFormatting>
  <conditionalFormatting sqref="M12:O12">
    <cfRule type="cellIs" dxfId="2441" priority="250" operator="lessThan">
      <formula>5</formula>
    </cfRule>
  </conditionalFormatting>
  <conditionalFormatting sqref="H12:O12">
    <cfRule type="expression" dxfId="2440" priority="248">
      <formula>5</formula>
    </cfRule>
  </conditionalFormatting>
  <conditionalFormatting sqref="H12:O12">
    <cfRule type="cellIs" dxfId="2439" priority="247" operator="lessThan">
      <formula>50</formula>
    </cfRule>
  </conditionalFormatting>
  <conditionalFormatting sqref="Q12">
    <cfRule type="cellIs" dxfId="2438" priority="246" operator="lessThan">
      <formula>50</formula>
    </cfRule>
  </conditionalFormatting>
  <conditionalFormatting sqref="H13:L13">
    <cfRule type="cellIs" dxfId="2437" priority="244" operator="lessThan">
      <formula>5</formula>
    </cfRule>
  </conditionalFormatting>
  <conditionalFormatting sqref="M13:O13">
    <cfRule type="cellIs" dxfId="2436" priority="245" operator="lessThan">
      <formula>5</formula>
    </cfRule>
  </conditionalFormatting>
  <conditionalFormatting sqref="H13:O13">
    <cfRule type="expression" dxfId="2435" priority="243">
      <formula>5</formula>
    </cfRule>
  </conditionalFormatting>
  <conditionalFormatting sqref="H13:O13">
    <cfRule type="cellIs" dxfId="2434" priority="242" operator="lessThan">
      <formula>50</formula>
    </cfRule>
  </conditionalFormatting>
  <conditionalFormatting sqref="Q13">
    <cfRule type="cellIs" dxfId="2433" priority="241" operator="lessThan">
      <formula>50</formula>
    </cfRule>
  </conditionalFormatting>
  <conditionalFormatting sqref="H14:L14">
    <cfRule type="cellIs" dxfId="2432" priority="239" operator="lessThan">
      <formula>5</formula>
    </cfRule>
  </conditionalFormatting>
  <conditionalFormatting sqref="M14:O14">
    <cfRule type="cellIs" dxfId="2431" priority="240" operator="lessThan">
      <formula>5</formula>
    </cfRule>
  </conditionalFormatting>
  <conditionalFormatting sqref="H14:O14">
    <cfRule type="expression" dxfId="2430" priority="238">
      <formula>5</formula>
    </cfRule>
  </conditionalFormatting>
  <conditionalFormatting sqref="H14:O14">
    <cfRule type="cellIs" dxfId="2429" priority="237" operator="lessThan">
      <formula>50</formula>
    </cfRule>
  </conditionalFormatting>
  <conditionalFormatting sqref="Q14">
    <cfRule type="cellIs" dxfId="2428" priority="236" operator="lessThan">
      <formula>50</formula>
    </cfRule>
  </conditionalFormatting>
  <conditionalFormatting sqref="H15:L15">
    <cfRule type="cellIs" dxfId="2427" priority="234" operator="lessThan">
      <formula>5</formula>
    </cfRule>
  </conditionalFormatting>
  <conditionalFormatting sqref="M15:O15">
    <cfRule type="cellIs" dxfId="2426" priority="235" operator="lessThan">
      <formula>5</formula>
    </cfRule>
  </conditionalFormatting>
  <conditionalFormatting sqref="H15:O15">
    <cfRule type="expression" dxfId="2425" priority="233">
      <formula>5</formula>
    </cfRule>
  </conditionalFormatting>
  <conditionalFormatting sqref="H15:O15">
    <cfRule type="cellIs" dxfId="2424" priority="232" operator="lessThan">
      <formula>50</formula>
    </cfRule>
  </conditionalFormatting>
  <conditionalFormatting sqref="Q15">
    <cfRule type="cellIs" dxfId="2423" priority="231" operator="lessThan">
      <formula>50</formula>
    </cfRule>
  </conditionalFormatting>
  <conditionalFormatting sqref="H16:L16">
    <cfRule type="cellIs" dxfId="2422" priority="229" operator="lessThan">
      <formula>5</formula>
    </cfRule>
  </conditionalFormatting>
  <conditionalFormatting sqref="M16:O16">
    <cfRule type="cellIs" dxfId="2421" priority="230" operator="lessThan">
      <formula>5</formula>
    </cfRule>
  </conditionalFormatting>
  <conditionalFormatting sqref="H16:O16">
    <cfRule type="expression" dxfId="2420" priority="228">
      <formula>5</formula>
    </cfRule>
  </conditionalFormatting>
  <conditionalFormatting sqref="H16:O16">
    <cfRule type="cellIs" dxfId="2419" priority="227" operator="lessThan">
      <formula>50</formula>
    </cfRule>
  </conditionalFormatting>
  <conditionalFormatting sqref="Q16">
    <cfRule type="cellIs" dxfId="2418" priority="226" operator="lessThan">
      <formula>50</formula>
    </cfRule>
  </conditionalFormatting>
  <conditionalFormatting sqref="H17:L17">
    <cfRule type="cellIs" dxfId="2417" priority="224" operator="lessThan">
      <formula>5</formula>
    </cfRule>
  </conditionalFormatting>
  <conditionalFormatting sqref="M17:O17">
    <cfRule type="cellIs" dxfId="2416" priority="225" operator="lessThan">
      <formula>5</formula>
    </cfRule>
  </conditionalFormatting>
  <conditionalFormatting sqref="H17:O17">
    <cfRule type="expression" dxfId="2415" priority="223">
      <formula>5</formula>
    </cfRule>
  </conditionalFormatting>
  <conditionalFormatting sqref="H17:O17">
    <cfRule type="cellIs" dxfId="2414" priority="222" operator="lessThan">
      <formula>50</formula>
    </cfRule>
  </conditionalFormatting>
  <conditionalFormatting sqref="Q17">
    <cfRule type="cellIs" dxfId="2413" priority="221" operator="lessThan">
      <formula>50</formula>
    </cfRule>
  </conditionalFormatting>
  <conditionalFormatting sqref="H18:L18">
    <cfRule type="cellIs" dxfId="2412" priority="219" operator="lessThan">
      <formula>5</formula>
    </cfRule>
  </conditionalFormatting>
  <conditionalFormatting sqref="M18:O18">
    <cfRule type="cellIs" dxfId="2411" priority="220" operator="lessThan">
      <formula>5</formula>
    </cfRule>
  </conditionalFormatting>
  <conditionalFormatting sqref="H18:O18">
    <cfRule type="expression" dxfId="2410" priority="218">
      <formula>5</formula>
    </cfRule>
  </conditionalFormatting>
  <conditionalFormatting sqref="H18:O18">
    <cfRule type="cellIs" dxfId="2409" priority="217" operator="lessThan">
      <formula>50</formula>
    </cfRule>
  </conditionalFormatting>
  <conditionalFormatting sqref="Q18">
    <cfRule type="cellIs" dxfId="2408" priority="216" operator="lessThan">
      <formula>50</formula>
    </cfRule>
  </conditionalFormatting>
  <conditionalFormatting sqref="H19:L19">
    <cfRule type="cellIs" dxfId="2407" priority="214" operator="lessThan">
      <formula>5</formula>
    </cfRule>
  </conditionalFormatting>
  <conditionalFormatting sqref="M19:O19">
    <cfRule type="cellIs" dxfId="2406" priority="215" operator="lessThan">
      <formula>5</formula>
    </cfRule>
  </conditionalFormatting>
  <conditionalFormatting sqref="H19:O19">
    <cfRule type="expression" dxfId="2405" priority="213">
      <formula>5</formula>
    </cfRule>
  </conditionalFormatting>
  <conditionalFormatting sqref="H19:O19">
    <cfRule type="cellIs" dxfId="2404" priority="212" operator="lessThan">
      <formula>50</formula>
    </cfRule>
  </conditionalFormatting>
  <conditionalFormatting sqref="Q19">
    <cfRule type="cellIs" dxfId="2403" priority="211" operator="lessThan">
      <formula>50</formula>
    </cfRule>
  </conditionalFormatting>
  <conditionalFormatting sqref="H20:L20">
    <cfRule type="cellIs" dxfId="2402" priority="209" operator="lessThan">
      <formula>5</formula>
    </cfRule>
  </conditionalFormatting>
  <conditionalFormatting sqref="M20:O20">
    <cfRule type="cellIs" dxfId="2401" priority="210" operator="lessThan">
      <formula>5</formula>
    </cfRule>
  </conditionalFormatting>
  <conditionalFormatting sqref="H20:O20">
    <cfRule type="expression" dxfId="2400" priority="208">
      <formula>5</formula>
    </cfRule>
  </conditionalFormatting>
  <conditionalFormatting sqref="H20:O20">
    <cfRule type="cellIs" dxfId="2399" priority="207" operator="lessThan">
      <formula>50</formula>
    </cfRule>
  </conditionalFormatting>
  <conditionalFormatting sqref="Q20">
    <cfRule type="cellIs" dxfId="2398" priority="206" operator="lessThan">
      <formula>50</formula>
    </cfRule>
  </conditionalFormatting>
  <conditionalFormatting sqref="H21:L21">
    <cfRule type="cellIs" dxfId="2397" priority="204" operator="lessThan">
      <formula>5</formula>
    </cfRule>
  </conditionalFormatting>
  <conditionalFormatting sqref="M21:O21">
    <cfRule type="cellIs" dxfId="2396" priority="205" operator="lessThan">
      <formula>5</formula>
    </cfRule>
  </conditionalFormatting>
  <conditionalFormatting sqref="H21:O21">
    <cfRule type="expression" dxfId="2395" priority="203">
      <formula>5</formula>
    </cfRule>
  </conditionalFormatting>
  <conditionalFormatting sqref="H21:O21">
    <cfRule type="cellIs" dxfId="2394" priority="202" operator="lessThan">
      <formula>50</formula>
    </cfRule>
  </conditionalFormatting>
  <conditionalFormatting sqref="Q21">
    <cfRule type="cellIs" dxfId="2393" priority="201" operator="lessThan">
      <formula>50</formula>
    </cfRule>
  </conditionalFormatting>
  <conditionalFormatting sqref="H22:L22">
    <cfRule type="cellIs" dxfId="2392" priority="199" operator="lessThan">
      <formula>5</formula>
    </cfRule>
  </conditionalFormatting>
  <conditionalFormatting sqref="M22:O22">
    <cfRule type="cellIs" dxfId="2391" priority="200" operator="lessThan">
      <formula>5</formula>
    </cfRule>
  </conditionalFormatting>
  <conditionalFormatting sqref="H22:O22">
    <cfRule type="expression" dxfId="2390" priority="198">
      <formula>5</formula>
    </cfRule>
  </conditionalFormatting>
  <conditionalFormatting sqref="H22:O22">
    <cfRule type="cellIs" dxfId="2389" priority="197" operator="lessThan">
      <formula>50</formula>
    </cfRule>
  </conditionalFormatting>
  <conditionalFormatting sqref="Q22">
    <cfRule type="cellIs" dxfId="2388" priority="196" operator="lessThan">
      <formula>50</formula>
    </cfRule>
  </conditionalFormatting>
  <conditionalFormatting sqref="H23:L23">
    <cfRule type="cellIs" dxfId="2387" priority="194" operator="lessThan">
      <formula>5</formula>
    </cfRule>
  </conditionalFormatting>
  <conditionalFormatting sqref="M23:O23">
    <cfRule type="cellIs" dxfId="2386" priority="195" operator="lessThan">
      <formula>5</formula>
    </cfRule>
  </conditionalFormatting>
  <conditionalFormatting sqref="H23:O23">
    <cfRule type="expression" dxfId="2385" priority="193">
      <formula>5</formula>
    </cfRule>
  </conditionalFormatting>
  <conditionalFormatting sqref="H23:O23">
    <cfRule type="cellIs" dxfId="2384" priority="192" operator="lessThan">
      <formula>50</formula>
    </cfRule>
  </conditionalFormatting>
  <conditionalFormatting sqref="Q23">
    <cfRule type="cellIs" dxfId="2383" priority="191" operator="lessThan">
      <formula>50</formula>
    </cfRule>
  </conditionalFormatting>
  <conditionalFormatting sqref="H24:L24">
    <cfRule type="cellIs" dxfId="2382" priority="189" operator="lessThan">
      <formula>5</formula>
    </cfRule>
  </conditionalFormatting>
  <conditionalFormatting sqref="M24:O24">
    <cfRule type="cellIs" dxfId="2381" priority="190" operator="lessThan">
      <formula>5</formula>
    </cfRule>
  </conditionalFormatting>
  <conditionalFormatting sqref="H24:O24">
    <cfRule type="expression" dxfId="2380" priority="188">
      <formula>5</formula>
    </cfRule>
  </conditionalFormatting>
  <conditionalFormatting sqref="H24:O24">
    <cfRule type="cellIs" dxfId="2379" priority="187" operator="lessThan">
      <formula>50</formula>
    </cfRule>
  </conditionalFormatting>
  <conditionalFormatting sqref="Q24">
    <cfRule type="cellIs" dxfId="2378" priority="186" operator="lessThan">
      <formula>50</formula>
    </cfRule>
  </conditionalFormatting>
  <conditionalFormatting sqref="H25:L25">
    <cfRule type="cellIs" dxfId="2377" priority="184" operator="lessThan">
      <formula>5</formula>
    </cfRule>
  </conditionalFormatting>
  <conditionalFormatting sqref="M25:O25">
    <cfRule type="cellIs" dxfId="2376" priority="185" operator="lessThan">
      <formula>5</formula>
    </cfRule>
  </conditionalFormatting>
  <conditionalFormatting sqref="H25:O25">
    <cfRule type="expression" dxfId="2375" priority="183">
      <formula>5</formula>
    </cfRule>
  </conditionalFormatting>
  <conditionalFormatting sqref="H25:O25">
    <cfRule type="cellIs" dxfId="2374" priority="182" operator="lessThan">
      <formula>50</formula>
    </cfRule>
  </conditionalFormatting>
  <conditionalFormatting sqref="Q25">
    <cfRule type="cellIs" dxfId="2373" priority="181" operator="lessThan">
      <formula>50</formula>
    </cfRule>
  </conditionalFormatting>
  <conditionalFormatting sqref="H26:L26">
    <cfRule type="cellIs" dxfId="2372" priority="179" operator="lessThan">
      <formula>5</formula>
    </cfRule>
  </conditionalFormatting>
  <conditionalFormatting sqref="M26:O26">
    <cfRule type="cellIs" dxfId="2371" priority="180" operator="lessThan">
      <formula>5</formula>
    </cfRule>
  </conditionalFormatting>
  <conditionalFormatting sqref="H26:O26">
    <cfRule type="expression" dxfId="2370" priority="178">
      <formula>5</formula>
    </cfRule>
  </conditionalFormatting>
  <conditionalFormatting sqref="H26:O26">
    <cfRule type="cellIs" dxfId="2369" priority="177" operator="lessThan">
      <formula>50</formula>
    </cfRule>
  </conditionalFormatting>
  <conditionalFormatting sqref="Q26">
    <cfRule type="cellIs" dxfId="2368" priority="176" operator="lessThan">
      <formula>50</formula>
    </cfRule>
  </conditionalFormatting>
  <conditionalFormatting sqref="H27:L27">
    <cfRule type="cellIs" dxfId="2367" priority="174" operator="lessThan">
      <formula>5</formula>
    </cfRule>
  </conditionalFormatting>
  <conditionalFormatting sqref="M27:O27">
    <cfRule type="cellIs" dxfId="2366" priority="175" operator="lessThan">
      <formula>5</formula>
    </cfRule>
  </conditionalFormatting>
  <conditionalFormatting sqref="H27:O27">
    <cfRule type="expression" dxfId="2365" priority="173">
      <formula>5</formula>
    </cfRule>
  </conditionalFormatting>
  <conditionalFormatting sqref="H27:O27">
    <cfRule type="cellIs" dxfId="2364" priority="172" operator="lessThan">
      <formula>50</formula>
    </cfRule>
  </conditionalFormatting>
  <conditionalFormatting sqref="Q27">
    <cfRule type="cellIs" dxfId="2363" priority="171" operator="lessThan">
      <formula>50</formula>
    </cfRule>
  </conditionalFormatting>
  <conditionalFormatting sqref="H28:L28">
    <cfRule type="cellIs" dxfId="2362" priority="169" operator="lessThan">
      <formula>5</formula>
    </cfRule>
  </conditionalFormatting>
  <conditionalFormatting sqref="M28:O28">
    <cfRule type="cellIs" dxfId="2361" priority="170" operator="lessThan">
      <formula>5</formula>
    </cfRule>
  </conditionalFormatting>
  <conditionalFormatting sqref="H28:O28">
    <cfRule type="expression" dxfId="2360" priority="168">
      <formula>5</formula>
    </cfRule>
  </conditionalFormatting>
  <conditionalFormatting sqref="H28:O28">
    <cfRule type="cellIs" dxfId="2359" priority="167" operator="lessThan">
      <formula>50</formula>
    </cfRule>
  </conditionalFormatting>
  <conditionalFormatting sqref="Q28">
    <cfRule type="cellIs" dxfId="2358" priority="166" operator="lessThan">
      <formula>50</formula>
    </cfRule>
  </conditionalFormatting>
  <conditionalFormatting sqref="H29:L29">
    <cfRule type="cellIs" dxfId="2357" priority="164" operator="lessThan">
      <formula>5</formula>
    </cfRule>
  </conditionalFormatting>
  <conditionalFormatting sqref="M29:O29">
    <cfRule type="cellIs" dxfId="2356" priority="165" operator="lessThan">
      <formula>5</formula>
    </cfRule>
  </conditionalFormatting>
  <conditionalFormatting sqref="H29:O29">
    <cfRule type="expression" dxfId="2355" priority="163">
      <formula>5</formula>
    </cfRule>
  </conditionalFormatting>
  <conditionalFormatting sqref="H29:O29">
    <cfRule type="cellIs" dxfId="2354" priority="162" operator="lessThan">
      <formula>50</formula>
    </cfRule>
  </conditionalFormatting>
  <conditionalFormatting sqref="Q29">
    <cfRule type="cellIs" dxfId="2353" priority="161" operator="lessThan">
      <formula>50</formula>
    </cfRule>
  </conditionalFormatting>
  <conditionalFormatting sqref="H30:L30">
    <cfRule type="cellIs" dxfId="2352" priority="159" operator="lessThan">
      <formula>5</formula>
    </cfRule>
  </conditionalFormatting>
  <conditionalFormatting sqref="M30:O30">
    <cfRule type="cellIs" dxfId="2351" priority="160" operator="lessThan">
      <formula>5</formula>
    </cfRule>
  </conditionalFormatting>
  <conditionalFormatting sqref="H30:O30">
    <cfRule type="expression" dxfId="2350" priority="158">
      <formula>5</formula>
    </cfRule>
  </conditionalFormatting>
  <conditionalFormatting sqref="H30:O30">
    <cfRule type="cellIs" dxfId="2349" priority="157" operator="lessThan">
      <formula>50</formula>
    </cfRule>
  </conditionalFormatting>
  <conditionalFormatting sqref="Q30">
    <cfRule type="cellIs" dxfId="2348" priority="156" operator="lessThan">
      <formula>50</formula>
    </cfRule>
  </conditionalFormatting>
  <conditionalFormatting sqref="H31:L31">
    <cfRule type="cellIs" dxfId="2347" priority="154" operator="lessThan">
      <formula>5</formula>
    </cfRule>
  </conditionalFormatting>
  <conditionalFormatting sqref="M31:O31">
    <cfRule type="cellIs" dxfId="2346" priority="155" operator="lessThan">
      <formula>5</formula>
    </cfRule>
  </conditionalFormatting>
  <conditionalFormatting sqref="H31:O31">
    <cfRule type="expression" dxfId="2345" priority="153">
      <formula>5</formula>
    </cfRule>
  </conditionalFormatting>
  <conditionalFormatting sqref="H31:O31">
    <cfRule type="cellIs" dxfId="2344" priority="152" operator="lessThan">
      <formula>50</formula>
    </cfRule>
  </conditionalFormatting>
  <conditionalFormatting sqref="Q31">
    <cfRule type="cellIs" dxfId="2343" priority="151" operator="lessThan">
      <formula>50</formula>
    </cfRule>
  </conditionalFormatting>
  <conditionalFormatting sqref="H32:L32">
    <cfRule type="cellIs" dxfId="2342" priority="149" operator="lessThan">
      <formula>5</formula>
    </cfRule>
  </conditionalFormatting>
  <conditionalFormatting sqref="M32:O32">
    <cfRule type="cellIs" dxfId="2341" priority="150" operator="lessThan">
      <formula>5</formula>
    </cfRule>
  </conditionalFormatting>
  <conditionalFormatting sqref="H32:O32">
    <cfRule type="expression" dxfId="2340" priority="148">
      <formula>5</formula>
    </cfRule>
  </conditionalFormatting>
  <conditionalFormatting sqref="H32:O32">
    <cfRule type="cellIs" dxfId="2339" priority="147" operator="lessThan">
      <formula>50</formula>
    </cfRule>
  </conditionalFormatting>
  <conditionalFormatting sqref="Q32">
    <cfRule type="cellIs" dxfId="2338" priority="146" operator="lessThan">
      <formula>50</formula>
    </cfRule>
  </conditionalFormatting>
  <conditionalFormatting sqref="H33:L33">
    <cfRule type="cellIs" dxfId="2337" priority="144" operator="lessThan">
      <formula>5</formula>
    </cfRule>
  </conditionalFormatting>
  <conditionalFormatting sqref="M33:O33">
    <cfRule type="cellIs" dxfId="2336" priority="145" operator="lessThan">
      <formula>5</formula>
    </cfRule>
  </conditionalFormatting>
  <conditionalFormatting sqref="H33:O33">
    <cfRule type="expression" dxfId="2335" priority="143">
      <formula>5</formula>
    </cfRule>
  </conditionalFormatting>
  <conditionalFormatting sqref="H33:O33">
    <cfRule type="cellIs" dxfId="2334" priority="142" operator="lessThan">
      <formula>50</formula>
    </cfRule>
  </conditionalFormatting>
  <conditionalFormatting sqref="Q33">
    <cfRule type="cellIs" dxfId="2333" priority="141" operator="lessThan">
      <formula>50</formula>
    </cfRule>
  </conditionalFormatting>
  <conditionalFormatting sqref="H34:L34">
    <cfRule type="cellIs" dxfId="2332" priority="139" operator="lessThan">
      <formula>5</formula>
    </cfRule>
  </conditionalFormatting>
  <conditionalFormatting sqref="M34:O34">
    <cfRule type="cellIs" dxfId="2331" priority="140" operator="lessThan">
      <formula>5</formula>
    </cfRule>
  </conditionalFormatting>
  <conditionalFormatting sqref="H34:O34">
    <cfRule type="expression" dxfId="2330" priority="138">
      <formula>5</formula>
    </cfRule>
  </conditionalFormatting>
  <conditionalFormatting sqref="H34:O34">
    <cfRule type="cellIs" dxfId="2329" priority="137" operator="lessThan">
      <formula>50</formula>
    </cfRule>
  </conditionalFormatting>
  <conditionalFormatting sqref="Q34">
    <cfRule type="cellIs" dxfId="2328" priority="136" operator="lessThan">
      <formula>50</formula>
    </cfRule>
  </conditionalFormatting>
  <conditionalFormatting sqref="H35:L35">
    <cfRule type="cellIs" dxfId="2327" priority="134" operator="lessThan">
      <formula>5</formula>
    </cfRule>
  </conditionalFormatting>
  <conditionalFormatting sqref="M35:O35">
    <cfRule type="cellIs" dxfId="2326" priority="135" operator="lessThan">
      <formula>5</formula>
    </cfRule>
  </conditionalFormatting>
  <conditionalFormatting sqref="H35:O35">
    <cfRule type="expression" dxfId="2325" priority="133">
      <formula>5</formula>
    </cfRule>
  </conditionalFormatting>
  <conditionalFormatting sqref="H35:O35">
    <cfRule type="cellIs" dxfId="2324" priority="132" operator="lessThan">
      <formula>50</formula>
    </cfRule>
  </conditionalFormatting>
  <conditionalFormatting sqref="Q35">
    <cfRule type="cellIs" dxfId="2323" priority="131" operator="lessThan">
      <formula>50</formula>
    </cfRule>
  </conditionalFormatting>
  <conditionalFormatting sqref="H36:L36">
    <cfRule type="cellIs" dxfId="2322" priority="129" operator="lessThan">
      <formula>5</formula>
    </cfRule>
  </conditionalFormatting>
  <conditionalFormatting sqref="M36:O36">
    <cfRule type="cellIs" dxfId="2321" priority="130" operator="lessThan">
      <formula>5</formula>
    </cfRule>
  </conditionalFormatting>
  <conditionalFormatting sqref="H36:O36">
    <cfRule type="expression" dxfId="2320" priority="128">
      <formula>5</formula>
    </cfRule>
  </conditionalFormatting>
  <conditionalFormatting sqref="H36:O36">
    <cfRule type="cellIs" dxfId="2319" priority="127" operator="lessThan">
      <formula>50</formula>
    </cfRule>
  </conditionalFormatting>
  <conditionalFormatting sqref="Q36">
    <cfRule type="cellIs" dxfId="2318" priority="126" operator="lessThan">
      <formula>50</formula>
    </cfRule>
  </conditionalFormatting>
  <conditionalFormatting sqref="H37:L37">
    <cfRule type="cellIs" dxfId="2317" priority="124" operator="lessThan">
      <formula>5</formula>
    </cfRule>
  </conditionalFormatting>
  <conditionalFormatting sqref="M37:O37">
    <cfRule type="cellIs" dxfId="2316" priority="125" operator="lessThan">
      <formula>5</formula>
    </cfRule>
  </conditionalFormatting>
  <conditionalFormatting sqref="H37:O37">
    <cfRule type="expression" dxfId="2315" priority="123">
      <formula>5</formula>
    </cfRule>
  </conditionalFormatting>
  <conditionalFormatting sqref="H37:O37">
    <cfRule type="cellIs" dxfId="2314" priority="122" operator="lessThan">
      <formula>50</formula>
    </cfRule>
  </conditionalFormatting>
  <conditionalFormatting sqref="Q37">
    <cfRule type="cellIs" dxfId="2313" priority="121" operator="lessThan">
      <formula>50</formula>
    </cfRule>
  </conditionalFormatting>
  <conditionalFormatting sqref="H38:L38">
    <cfRule type="cellIs" dxfId="2312" priority="119" operator="lessThan">
      <formula>5</formula>
    </cfRule>
  </conditionalFormatting>
  <conditionalFormatting sqref="M38:O38">
    <cfRule type="cellIs" dxfId="2311" priority="120" operator="lessThan">
      <formula>5</formula>
    </cfRule>
  </conditionalFormatting>
  <conditionalFormatting sqref="H38:O38">
    <cfRule type="expression" dxfId="2310" priority="118">
      <formula>5</formula>
    </cfRule>
  </conditionalFormatting>
  <conditionalFormatting sqref="H38:O38">
    <cfRule type="cellIs" dxfId="2309" priority="117" operator="lessThan">
      <formula>50</formula>
    </cfRule>
  </conditionalFormatting>
  <conditionalFormatting sqref="Q38">
    <cfRule type="cellIs" dxfId="2308" priority="116" operator="lessThan">
      <formula>50</formula>
    </cfRule>
  </conditionalFormatting>
  <conditionalFormatting sqref="H39:L39">
    <cfRule type="cellIs" dxfId="2307" priority="114" operator="lessThan">
      <formula>5</formula>
    </cfRule>
  </conditionalFormatting>
  <conditionalFormatting sqref="M39:O39">
    <cfRule type="cellIs" dxfId="2306" priority="115" operator="lessThan">
      <formula>5</formula>
    </cfRule>
  </conditionalFormatting>
  <conditionalFormatting sqref="H39:O39">
    <cfRule type="expression" dxfId="2305" priority="113">
      <formula>5</formula>
    </cfRule>
  </conditionalFormatting>
  <conditionalFormatting sqref="H39:O39">
    <cfRule type="cellIs" dxfId="2304" priority="112" operator="lessThan">
      <formula>50</formula>
    </cfRule>
  </conditionalFormatting>
  <conditionalFormatting sqref="Q39">
    <cfRule type="cellIs" dxfId="2303" priority="111" operator="lessThan">
      <formula>50</formula>
    </cfRule>
  </conditionalFormatting>
  <conditionalFormatting sqref="H40:L40">
    <cfRule type="cellIs" dxfId="2302" priority="109" operator="lessThan">
      <formula>5</formula>
    </cfRule>
  </conditionalFormatting>
  <conditionalFormatting sqref="M40:O40">
    <cfRule type="cellIs" dxfId="2301" priority="110" operator="lessThan">
      <formula>5</formula>
    </cfRule>
  </conditionalFormatting>
  <conditionalFormatting sqref="H40:O40">
    <cfRule type="expression" dxfId="2300" priority="108">
      <formula>5</formula>
    </cfRule>
  </conditionalFormatting>
  <conditionalFormatting sqref="H40:O40">
    <cfRule type="cellIs" dxfId="2299" priority="107" operator="lessThan">
      <formula>50</formula>
    </cfRule>
  </conditionalFormatting>
  <conditionalFormatting sqref="Q40">
    <cfRule type="cellIs" dxfId="2298" priority="106" operator="lessThan">
      <formula>50</formula>
    </cfRule>
  </conditionalFormatting>
  <conditionalFormatting sqref="H41:L41">
    <cfRule type="cellIs" dxfId="2297" priority="104" operator="lessThan">
      <formula>5</formula>
    </cfRule>
  </conditionalFormatting>
  <conditionalFormatting sqref="M41:O41">
    <cfRule type="cellIs" dxfId="2296" priority="105" operator="lessThan">
      <formula>5</formula>
    </cfRule>
  </conditionalFormatting>
  <conditionalFormatting sqref="H41:O41">
    <cfRule type="expression" dxfId="2295" priority="103">
      <formula>5</formula>
    </cfRule>
  </conditionalFormatting>
  <conditionalFormatting sqref="H41:O41">
    <cfRule type="cellIs" dxfId="2294" priority="102" operator="lessThan">
      <formula>50</formula>
    </cfRule>
  </conditionalFormatting>
  <conditionalFormatting sqref="Q41">
    <cfRule type="cellIs" dxfId="2293" priority="101" operator="lessThan">
      <formula>50</formula>
    </cfRule>
  </conditionalFormatting>
  <conditionalFormatting sqref="H42:L42">
    <cfRule type="cellIs" dxfId="2292" priority="99" operator="lessThan">
      <formula>5</formula>
    </cfRule>
  </conditionalFormatting>
  <conditionalFormatting sqref="M42:O42">
    <cfRule type="cellIs" dxfId="2291" priority="100" operator="lessThan">
      <formula>5</formula>
    </cfRule>
  </conditionalFormatting>
  <conditionalFormatting sqref="H42:O42">
    <cfRule type="expression" dxfId="2290" priority="98">
      <formula>5</formula>
    </cfRule>
  </conditionalFormatting>
  <conditionalFormatting sqref="H42:O42">
    <cfRule type="cellIs" dxfId="2289" priority="97" operator="lessThan">
      <formula>50</formula>
    </cfRule>
  </conditionalFormatting>
  <conditionalFormatting sqref="Q42">
    <cfRule type="cellIs" dxfId="2288" priority="96" operator="lessThan">
      <formula>50</formula>
    </cfRule>
  </conditionalFormatting>
  <conditionalFormatting sqref="H43:L43">
    <cfRule type="cellIs" dxfId="2287" priority="94" operator="lessThan">
      <formula>5</formula>
    </cfRule>
  </conditionalFormatting>
  <conditionalFormatting sqref="M43:O43">
    <cfRule type="cellIs" dxfId="2286" priority="95" operator="lessThan">
      <formula>5</formula>
    </cfRule>
  </conditionalFormatting>
  <conditionalFormatting sqref="H43:O43">
    <cfRule type="expression" dxfId="2285" priority="93">
      <formula>5</formula>
    </cfRule>
  </conditionalFormatting>
  <conditionalFormatting sqref="H43:O43">
    <cfRule type="cellIs" dxfId="2284" priority="92" operator="lessThan">
      <formula>50</formula>
    </cfRule>
  </conditionalFormatting>
  <conditionalFormatting sqref="Q43">
    <cfRule type="cellIs" dxfId="2283" priority="91" operator="lessThan">
      <formula>50</formula>
    </cfRule>
  </conditionalFormatting>
  <conditionalFormatting sqref="H44:L44">
    <cfRule type="cellIs" dxfId="2282" priority="89" operator="lessThan">
      <formula>5</formula>
    </cfRule>
  </conditionalFormatting>
  <conditionalFormatting sqref="M44:O44">
    <cfRule type="cellIs" dxfId="2281" priority="90" operator="lessThan">
      <formula>5</formula>
    </cfRule>
  </conditionalFormatting>
  <conditionalFormatting sqref="H44:O44">
    <cfRule type="expression" dxfId="2280" priority="88">
      <formula>5</formula>
    </cfRule>
  </conditionalFormatting>
  <conditionalFormatting sqref="H44:O44">
    <cfRule type="cellIs" dxfId="2279" priority="87" operator="lessThan">
      <formula>50</formula>
    </cfRule>
  </conditionalFormatting>
  <conditionalFormatting sqref="Q44">
    <cfRule type="cellIs" dxfId="2278" priority="86" operator="lessThan">
      <formula>50</formula>
    </cfRule>
  </conditionalFormatting>
  <conditionalFormatting sqref="H45:L45">
    <cfRule type="cellIs" dxfId="2277" priority="84" operator="lessThan">
      <formula>5</formula>
    </cfRule>
  </conditionalFormatting>
  <conditionalFormatting sqref="M45:O45">
    <cfRule type="cellIs" dxfId="2276" priority="85" operator="lessThan">
      <formula>5</formula>
    </cfRule>
  </conditionalFormatting>
  <conditionalFormatting sqref="H45:O45">
    <cfRule type="expression" dxfId="2275" priority="83">
      <formula>5</formula>
    </cfRule>
  </conditionalFormatting>
  <conditionalFormatting sqref="H45:O45">
    <cfRule type="cellIs" dxfId="2274" priority="82" operator="lessThan">
      <formula>50</formula>
    </cfRule>
  </conditionalFormatting>
  <conditionalFormatting sqref="Q45">
    <cfRule type="cellIs" dxfId="2273" priority="81" operator="lessThan">
      <formula>50</formula>
    </cfRule>
  </conditionalFormatting>
  <conditionalFormatting sqref="H46:L46">
    <cfRule type="cellIs" dxfId="2272" priority="79" operator="lessThan">
      <formula>5</formula>
    </cfRule>
  </conditionalFormatting>
  <conditionalFormatting sqref="M46:O46">
    <cfRule type="cellIs" dxfId="2271" priority="80" operator="lessThan">
      <formula>5</formula>
    </cfRule>
  </conditionalFormatting>
  <conditionalFormatting sqref="H46:O46">
    <cfRule type="expression" dxfId="2270" priority="78">
      <formula>5</formula>
    </cfRule>
  </conditionalFormatting>
  <conditionalFormatting sqref="H46:O46">
    <cfRule type="cellIs" dxfId="2269" priority="77" operator="lessThan">
      <formula>50</formula>
    </cfRule>
  </conditionalFormatting>
  <conditionalFormatting sqref="Q46">
    <cfRule type="cellIs" dxfId="2268" priority="76" operator="lessThan">
      <formula>50</formula>
    </cfRule>
  </conditionalFormatting>
  <conditionalFormatting sqref="H47:L47">
    <cfRule type="cellIs" dxfId="2267" priority="74" operator="lessThan">
      <formula>5</formula>
    </cfRule>
  </conditionalFormatting>
  <conditionalFormatting sqref="M47:O47">
    <cfRule type="cellIs" dxfId="2266" priority="75" operator="lessThan">
      <formula>5</formula>
    </cfRule>
  </conditionalFormatting>
  <conditionalFormatting sqref="H47:O47">
    <cfRule type="expression" dxfId="2265" priority="73">
      <formula>5</formula>
    </cfRule>
  </conditionalFormatting>
  <conditionalFormatting sqref="H47:O47">
    <cfRule type="cellIs" dxfId="2264" priority="72" operator="lessThan">
      <formula>50</formula>
    </cfRule>
  </conditionalFormatting>
  <conditionalFormatting sqref="Q47">
    <cfRule type="cellIs" dxfId="2263" priority="71" operator="lessThan">
      <formula>50</formula>
    </cfRule>
  </conditionalFormatting>
  <conditionalFormatting sqref="H48:L48">
    <cfRule type="cellIs" dxfId="2262" priority="69" operator="lessThan">
      <formula>5</formula>
    </cfRule>
  </conditionalFormatting>
  <conditionalFormatting sqref="M48:O48">
    <cfRule type="cellIs" dxfId="2261" priority="70" operator="lessThan">
      <formula>5</formula>
    </cfRule>
  </conditionalFormatting>
  <conditionalFormatting sqref="H48:O48">
    <cfRule type="expression" dxfId="2260" priority="68">
      <formula>5</formula>
    </cfRule>
  </conditionalFormatting>
  <conditionalFormatting sqref="H48:O48">
    <cfRule type="cellIs" dxfId="2259" priority="67" operator="lessThan">
      <formula>50</formula>
    </cfRule>
  </conditionalFormatting>
  <conditionalFormatting sqref="Q48">
    <cfRule type="cellIs" dxfId="2258" priority="66" operator="lessThan">
      <formula>50</formula>
    </cfRule>
  </conditionalFormatting>
  <conditionalFormatting sqref="H49:L49">
    <cfRule type="cellIs" dxfId="2257" priority="64" operator="lessThan">
      <formula>5</formula>
    </cfRule>
  </conditionalFormatting>
  <conditionalFormatting sqref="M49:O49">
    <cfRule type="cellIs" dxfId="2256" priority="65" operator="lessThan">
      <formula>5</formula>
    </cfRule>
  </conditionalFormatting>
  <conditionalFormatting sqref="H49:O49">
    <cfRule type="expression" dxfId="2255" priority="63">
      <formula>5</formula>
    </cfRule>
  </conditionalFormatting>
  <conditionalFormatting sqref="H49:O49">
    <cfRule type="cellIs" dxfId="2254" priority="62" operator="lessThan">
      <formula>50</formula>
    </cfRule>
  </conditionalFormatting>
  <conditionalFormatting sqref="Q49">
    <cfRule type="cellIs" dxfId="2253" priority="61" operator="lessThan">
      <formula>50</formula>
    </cfRule>
  </conditionalFormatting>
  <conditionalFormatting sqref="H50:L50">
    <cfRule type="cellIs" dxfId="2252" priority="59" operator="lessThan">
      <formula>5</formula>
    </cfRule>
  </conditionalFormatting>
  <conditionalFormatting sqref="M50:O50">
    <cfRule type="cellIs" dxfId="2251" priority="60" operator="lessThan">
      <formula>5</formula>
    </cfRule>
  </conditionalFormatting>
  <conditionalFormatting sqref="H50:O50">
    <cfRule type="expression" dxfId="2250" priority="58">
      <formula>5</formula>
    </cfRule>
  </conditionalFormatting>
  <conditionalFormatting sqref="H50:O50">
    <cfRule type="cellIs" dxfId="2249" priority="57" operator="lessThan">
      <formula>50</formula>
    </cfRule>
  </conditionalFormatting>
  <conditionalFormatting sqref="Q50">
    <cfRule type="cellIs" dxfId="2248" priority="56" operator="lessThan">
      <formula>50</formula>
    </cfRule>
  </conditionalFormatting>
  <conditionalFormatting sqref="H51:L51">
    <cfRule type="cellIs" dxfId="2247" priority="54" operator="lessThan">
      <formula>5</formula>
    </cfRule>
  </conditionalFormatting>
  <conditionalFormatting sqref="M51:O51">
    <cfRule type="cellIs" dxfId="2246" priority="55" operator="lessThan">
      <formula>5</formula>
    </cfRule>
  </conditionalFormatting>
  <conditionalFormatting sqref="H51:O51">
    <cfRule type="expression" dxfId="2245" priority="53">
      <formula>5</formula>
    </cfRule>
  </conditionalFormatting>
  <conditionalFormatting sqref="H51:O51">
    <cfRule type="cellIs" dxfId="2244" priority="52" operator="lessThan">
      <formula>50</formula>
    </cfRule>
  </conditionalFormatting>
  <conditionalFormatting sqref="Q51">
    <cfRule type="cellIs" dxfId="2243" priority="51" operator="lessThan">
      <formula>50</formula>
    </cfRule>
  </conditionalFormatting>
  <conditionalFormatting sqref="H52:L52">
    <cfRule type="cellIs" dxfId="2242" priority="49" operator="lessThan">
      <formula>5</formula>
    </cfRule>
  </conditionalFormatting>
  <conditionalFormatting sqref="M52:O52">
    <cfRule type="cellIs" dxfId="2241" priority="50" operator="lessThan">
      <formula>5</formula>
    </cfRule>
  </conditionalFormatting>
  <conditionalFormatting sqref="H52:O52">
    <cfRule type="expression" dxfId="2240" priority="48">
      <formula>5</formula>
    </cfRule>
  </conditionalFormatting>
  <conditionalFormatting sqref="H52:O52">
    <cfRule type="cellIs" dxfId="2239" priority="47" operator="lessThan">
      <formula>50</formula>
    </cfRule>
  </conditionalFormatting>
  <conditionalFormatting sqref="Q52">
    <cfRule type="cellIs" dxfId="2238" priority="46" operator="lessThan">
      <formula>50</formula>
    </cfRule>
  </conditionalFormatting>
  <conditionalFormatting sqref="H53:L53">
    <cfRule type="cellIs" dxfId="2237" priority="44" operator="lessThan">
      <formula>5</formula>
    </cfRule>
  </conditionalFormatting>
  <conditionalFormatting sqref="M53:O53">
    <cfRule type="cellIs" dxfId="2236" priority="45" operator="lessThan">
      <formula>5</formula>
    </cfRule>
  </conditionalFormatting>
  <conditionalFormatting sqref="H53:O53">
    <cfRule type="expression" dxfId="2235" priority="43">
      <formula>5</formula>
    </cfRule>
  </conditionalFormatting>
  <conditionalFormatting sqref="H53:O53">
    <cfRule type="cellIs" dxfId="2234" priority="42" operator="lessThan">
      <formula>50</formula>
    </cfRule>
  </conditionalFormatting>
  <conditionalFormatting sqref="Q53">
    <cfRule type="cellIs" dxfId="2233" priority="41" operator="lessThan">
      <formula>50</formula>
    </cfRule>
  </conditionalFormatting>
  <conditionalFormatting sqref="H54:L54">
    <cfRule type="cellIs" dxfId="2232" priority="39" operator="lessThan">
      <formula>5</formula>
    </cfRule>
  </conditionalFormatting>
  <conditionalFormatting sqref="M54:O54">
    <cfRule type="cellIs" dxfId="2231" priority="40" operator="lessThan">
      <formula>5</formula>
    </cfRule>
  </conditionalFormatting>
  <conditionalFormatting sqref="H54:O54">
    <cfRule type="expression" dxfId="2230" priority="38">
      <formula>5</formula>
    </cfRule>
  </conditionalFormatting>
  <conditionalFormatting sqref="H54:O54">
    <cfRule type="cellIs" dxfId="2229" priority="37" operator="lessThan">
      <formula>50</formula>
    </cfRule>
  </conditionalFormatting>
  <conditionalFormatting sqref="Q54">
    <cfRule type="cellIs" dxfId="2228" priority="36" operator="lessThan">
      <formula>50</formula>
    </cfRule>
  </conditionalFormatting>
  <conditionalFormatting sqref="H55:L55">
    <cfRule type="cellIs" dxfId="2227" priority="34" operator="lessThan">
      <formula>5</formula>
    </cfRule>
  </conditionalFormatting>
  <conditionalFormatting sqref="M55:O55">
    <cfRule type="cellIs" dxfId="2226" priority="35" operator="lessThan">
      <formula>5</formula>
    </cfRule>
  </conditionalFormatting>
  <conditionalFormatting sqref="H55:O55">
    <cfRule type="expression" dxfId="2225" priority="33">
      <formula>5</formula>
    </cfRule>
  </conditionalFormatting>
  <conditionalFormatting sqref="H55:O55">
    <cfRule type="cellIs" dxfId="2224" priority="32" operator="lessThan">
      <formula>50</formula>
    </cfRule>
  </conditionalFormatting>
  <conditionalFormatting sqref="Q55">
    <cfRule type="cellIs" dxfId="2223" priority="31" operator="lessThan">
      <formula>50</formula>
    </cfRule>
  </conditionalFormatting>
  <conditionalFormatting sqref="H56:L56">
    <cfRule type="cellIs" dxfId="2222" priority="29" operator="lessThan">
      <formula>5</formula>
    </cfRule>
  </conditionalFormatting>
  <conditionalFormatting sqref="M56:O56">
    <cfRule type="cellIs" dxfId="2221" priority="30" operator="lessThan">
      <formula>5</formula>
    </cfRule>
  </conditionalFormatting>
  <conditionalFormatting sqref="H56:O56">
    <cfRule type="expression" dxfId="2220" priority="28">
      <formula>5</formula>
    </cfRule>
  </conditionalFormatting>
  <conditionalFormatting sqref="H56:O56">
    <cfRule type="cellIs" dxfId="2219" priority="27" operator="lessThan">
      <formula>50</formula>
    </cfRule>
  </conditionalFormatting>
  <conditionalFormatting sqref="Q56">
    <cfRule type="cellIs" dxfId="2218" priority="26" operator="lessThan">
      <formula>50</formula>
    </cfRule>
  </conditionalFormatting>
  <conditionalFormatting sqref="H57:L57">
    <cfRule type="cellIs" dxfId="2217" priority="24" operator="lessThan">
      <formula>5</formula>
    </cfRule>
  </conditionalFormatting>
  <conditionalFormatting sqref="M57:O57">
    <cfRule type="cellIs" dxfId="2216" priority="25" operator="lessThan">
      <formula>5</formula>
    </cfRule>
  </conditionalFormatting>
  <conditionalFormatting sqref="H57:O57">
    <cfRule type="expression" dxfId="2215" priority="23">
      <formula>5</formula>
    </cfRule>
  </conditionalFormatting>
  <conditionalFormatting sqref="H57:O57">
    <cfRule type="cellIs" dxfId="2214" priority="22" operator="lessThan">
      <formula>50</formula>
    </cfRule>
  </conditionalFormatting>
  <conditionalFormatting sqref="Q57">
    <cfRule type="cellIs" dxfId="2213" priority="21" operator="lessThan">
      <formula>50</formula>
    </cfRule>
  </conditionalFormatting>
  <conditionalFormatting sqref="H58:L58">
    <cfRule type="cellIs" dxfId="2212" priority="19" operator="lessThan">
      <formula>5</formula>
    </cfRule>
  </conditionalFormatting>
  <conditionalFormatting sqref="M58:O58">
    <cfRule type="cellIs" dxfId="2211" priority="20" operator="lessThan">
      <formula>5</formula>
    </cfRule>
  </conditionalFormatting>
  <conditionalFormatting sqref="H58:O58">
    <cfRule type="expression" dxfId="2210" priority="18">
      <formula>5</formula>
    </cfRule>
  </conditionalFormatting>
  <conditionalFormatting sqref="H58:O58">
    <cfRule type="cellIs" dxfId="2209" priority="17" operator="lessThan">
      <formula>50</formula>
    </cfRule>
  </conditionalFormatting>
  <conditionalFormatting sqref="Q58">
    <cfRule type="cellIs" dxfId="2208" priority="16" operator="lessThan">
      <formula>50</formula>
    </cfRule>
  </conditionalFormatting>
  <conditionalFormatting sqref="H59:L59">
    <cfRule type="cellIs" dxfId="2207" priority="14" operator="lessThan">
      <formula>5</formula>
    </cfRule>
  </conditionalFormatting>
  <conditionalFormatting sqref="M59:O59">
    <cfRule type="cellIs" dxfId="2206" priority="15" operator="lessThan">
      <formula>5</formula>
    </cfRule>
  </conditionalFormatting>
  <conditionalFormatting sqref="H59:O59">
    <cfRule type="expression" dxfId="2205" priority="13">
      <formula>5</formula>
    </cfRule>
  </conditionalFormatting>
  <conditionalFormatting sqref="H59:O59">
    <cfRule type="cellIs" dxfId="2204" priority="12" operator="lessThan">
      <formula>50</formula>
    </cfRule>
  </conditionalFormatting>
  <conditionalFormatting sqref="Q59">
    <cfRule type="cellIs" dxfId="2203" priority="11" operator="lessThan">
      <formula>50</formula>
    </cfRule>
  </conditionalFormatting>
  <conditionalFormatting sqref="H60:L60">
    <cfRule type="cellIs" dxfId="2202" priority="9" operator="lessThan">
      <formula>5</formula>
    </cfRule>
  </conditionalFormatting>
  <conditionalFormatting sqref="M60:O60">
    <cfRule type="cellIs" dxfId="2201" priority="10" operator="lessThan">
      <formula>5</formula>
    </cfRule>
  </conditionalFormatting>
  <conditionalFormatting sqref="H60:O60">
    <cfRule type="expression" dxfId="2200" priority="8">
      <formula>5</formula>
    </cfRule>
  </conditionalFormatting>
  <conditionalFormatting sqref="H60:O60">
    <cfRule type="cellIs" dxfId="2199" priority="7" operator="lessThan">
      <formula>50</formula>
    </cfRule>
  </conditionalFormatting>
  <conditionalFormatting sqref="Q60">
    <cfRule type="cellIs" dxfId="2198" priority="6" operator="lessThan">
      <formula>50</formula>
    </cfRule>
  </conditionalFormatting>
  <conditionalFormatting sqref="H61:L61">
    <cfRule type="cellIs" dxfId="2197" priority="4" operator="lessThan">
      <formula>5</formula>
    </cfRule>
  </conditionalFormatting>
  <conditionalFormatting sqref="M61:O61">
    <cfRule type="cellIs" dxfId="2196" priority="5" operator="lessThan">
      <formula>5</formula>
    </cfRule>
  </conditionalFormatting>
  <conditionalFormatting sqref="H61:O61">
    <cfRule type="expression" dxfId="2195" priority="3">
      <formula>5</formula>
    </cfRule>
  </conditionalFormatting>
  <conditionalFormatting sqref="H61:O61">
    <cfRule type="cellIs" dxfId="2194" priority="2" operator="lessThan">
      <formula>50</formula>
    </cfRule>
  </conditionalFormatting>
  <conditionalFormatting sqref="Q61">
    <cfRule type="cellIs" dxfId="2193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48:E48 D56:E57 D60:E61" xr:uid="{725A9294-81CA-418E-9383-6E15C9607BC1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990B-76FE-4B1F-8175-F4DBBBBC4043}">
  <sheetPr codeName="Sheet111"/>
  <dimension ref="A1:R65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5" width="4.7109375" customWidth="1"/>
    <col min="16" max="16" width="6.7109375" customWidth="1"/>
    <col min="17" max="18" width="4.7109375" customWidth="1"/>
  </cols>
  <sheetData>
    <row r="1" spans="1:18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  <c r="R1" s="11"/>
    </row>
    <row r="2" spans="1:18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  <c r="R2" s="11"/>
    </row>
    <row r="3" spans="1:18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  <c r="R3" s="11"/>
    </row>
    <row r="4" spans="1:18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  <c r="R4" s="11"/>
    </row>
    <row r="5" spans="1:18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2"/>
    </row>
    <row r="6" spans="1:18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54" t="s">
        <v>47</v>
      </c>
      <c r="H6" s="39" t="s">
        <v>16</v>
      </c>
      <c r="I6" s="39" t="s">
        <v>3</v>
      </c>
      <c r="J6" s="39" t="s">
        <v>22</v>
      </c>
      <c r="K6" s="39" t="s">
        <v>23</v>
      </c>
      <c r="L6" s="39" t="s">
        <v>24</v>
      </c>
      <c r="M6" s="39" t="s">
        <v>25</v>
      </c>
      <c r="N6" s="39" t="s">
        <v>26</v>
      </c>
      <c r="O6" s="39" t="s">
        <v>27</v>
      </c>
      <c r="P6" s="39" t="s">
        <v>5320</v>
      </c>
      <c r="Q6" s="39" t="s">
        <v>5321</v>
      </c>
      <c r="R6" s="39" t="s">
        <v>5324</v>
      </c>
    </row>
    <row r="7" spans="1:18" ht="18" customHeight="1" thickTop="1">
      <c r="A7" s="19">
        <v>1</v>
      </c>
      <c r="B7" s="2" t="s">
        <v>4469</v>
      </c>
      <c r="C7" s="1">
        <v>311220773</v>
      </c>
      <c r="D7" s="3" t="s">
        <v>4470</v>
      </c>
      <c r="E7" s="1" t="s">
        <v>62</v>
      </c>
      <c r="F7" s="10" t="s">
        <v>4411</v>
      </c>
      <c r="G7" s="2">
        <v>18</v>
      </c>
      <c r="H7" s="6">
        <v>84</v>
      </c>
      <c r="I7" s="6">
        <v>100</v>
      </c>
      <c r="J7" s="6">
        <v>96</v>
      </c>
      <c r="K7" s="6">
        <v>100</v>
      </c>
      <c r="L7" s="6">
        <v>92</v>
      </c>
      <c r="M7" s="6">
        <v>84</v>
      </c>
      <c r="N7" s="6">
        <v>80</v>
      </c>
      <c r="O7" s="6">
        <v>88</v>
      </c>
      <c r="P7" s="1">
        <f t="shared" ref="P7:P38" si="0">SUBTOTAL(9,H7:O7)</f>
        <v>724</v>
      </c>
      <c r="Q7" s="14">
        <f t="shared" ref="Q7:Q38" si="1">P7/8</f>
        <v>90.5</v>
      </c>
      <c r="R7" s="20">
        <f t="shared" ref="R7:R38" si="2">RANK(Q7,Q$7:Q$231,0)</f>
        <v>1</v>
      </c>
    </row>
    <row r="8" spans="1:18" ht="18" customHeight="1">
      <c r="A8" s="19">
        <v>2</v>
      </c>
      <c r="B8" s="2" t="s">
        <v>4516</v>
      </c>
      <c r="C8" s="1">
        <v>311220770</v>
      </c>
      <c r="D8" s="3" t="s">
        <v>4517</v>
      </c>
      <c r="E8" s="1" t="s">
        <v>88</v>
      </c>
      <c r="F8" s="10" t="s">
        <v>4411</v>
      </c>
      <c r="G8" s="2">
        <v>19</v>
      </c>
      <c r="H8" s="6">
        <v>80</v>
      </c>
      <c r="I8" s="6">
        <v>100</v>
      </c>
      <c r="J8" s="6">
        <v>96</v>
      </c>
      <c r="K8" s="6">
        <v>100</v>
      </c>
      <c r="L8" s="6">
        <v>68</v>
      </c>
      <c r="M8" s="6">
        <v>100</v>
      </c>
      <c r="N8" s="6">
        <v>92</v>
      </c>
      <c r="O8" s="6">
        <v>88</v>
      </c>
      <c r="P8" s="1">
        <f t="shared" si="0"/>
        <v>724</v>
      </c>
      <c r="Q8" s="14">
        <f t="shared" si="1"/>
        <v>90.5</v>
      </c>
      <c r="R8" s="20">
        <f t="shared" si="2"/>
        <v>1</v>
      </c>
    </row>
    <row r="9" spans="1:18" ht="18" customHeight="1">
      <c r="A9" s="19">
        <v>3</v>
      </c>
      <c r="B9" s="2" t="s">
        <v>4484</v>
      </c>
      <c r="C9" s="1">
        <v>4232913</v>
      </c>
      <c r="D9" s="3" t="s">
        <v>4485</v>
      </c>
      <c r="E9" s="1" t="s">
        <v>80</v>
      </c>
      <c r="F9" s="10" t="s">
        <v>4411</v>
      </c>
      <c r="G9" s="2">
        <v>18</v>
      </c>
      <c r="H9" s="6">
        <v>68</v>
      </c>
      <c r="I9" s="6">
        <v>100</v>
      </c>
      <c r="J9" s="6">
        <v>88</v>
      </c>
      <c r="K9" s="6">
        <v>80</v>
      </c>
      <c r="L9" s="6">
        <v>84</v>
      </c>
      <c r="M9" s="6">
        <v>92</v>
      </c>
      <c r="N9" s="6">
        <v>80</v>
      </c>
      <c r="O9" s="6">
        <v>76</v>
      </c>
      <c r="P9" s="1">
        <f t="shared" si="0"/>
        <v>668</v>
      </c>
      <c r="Q9" s="14">
        <f t="shared" si="1"/>
        <v>83.5</v>
      </c>
      <c r="R9" s="20">
        <f t="shared" si="2"/>
        <v>3</v>
      </c>
    </row>
    <row r="10" spans="1:18" ht="18" customHeight="1">
      <c r="A10" s="19">
        <v>4</v>
      </c>
      <c r="B10" s="2" t="s">
        <v>4489</v>
      </c>
      <c r="C10" s="1">
        <v>4032252</v>
      </c>
      <c r="D10" s="3" t="s">
        <v>4490</v>
      </c>
      <c r="E10" s="1" t="s">
        <v>73</v>
      </c>
      <c r="F10" s="10" t="s">
        <v>4411</v>
      </c>
      <c r="G10" s="2">
        <v>18</v>
      </c>
      <c r="H10" s="6">
        <v>56</v>
      </c>
      <c r="I10" s="6">
        <v>100</v>
      </c>
      <c r="J10" s="6">
        <v>88</v>
      </c>
      <c r="K10" s="6">
        <v>68</v>
      </c>
      <c r="L10" s="6">
        <v>80</v>
      </c>
      <c r="M10" s="6">
        <v>86</v>
      </c>
      <c r="N10" s="6">
        <v>98</v>
      </c>
      <c r="O10" s="6">
        <v>72</v>
      </c>
      <c r="P10" s="1">
        <f t="shared" si="0"/>
        <v>648</v>
      </c>
      <c r="Q10" s="14">
        <f t="shared" si="1"/>
        <v>81</v>
      </c>
      <c r="R10" s="20">
        <f t="shared" si="2"/>
        <v>4</v>
      </c>
    </row>
    <row r="11" spans="1:18" ht="18" customHeight="1">
      <c r="A11" s="19">
        <v>5</v>
      </c>
      <c r="B11" s="2" t="s">
        <v>4467</v>
      </c>
      <c r="C11" s="1">
        <v>4232643</v>
      </c>
      <c r="D11" s="3" t="s">
        <v>4468</v>
      </c>
      <c r="E11" s="1" t="s">
        <v>62</v>
      </c>
      <c r="F11" s="10" t="s">
        <v>4411</v>
      </c>
      <c r="G11" s="2">
        <v>18</v>
      </c>
      <c r="H11" s="6">
        <v>44</v>
      </c>
      <c r="I11" s="6">
        <v>100</v>
      </c>
      <c r="J11" s="6">
        <v>68</v>
      </c>
      <c r="K11" s="6">
        <v>84</v>
      </c>
      <c r="L11" s="6">
        <v>76</v>
      </c>
      <c r="M11" s="6">
        <v>96</v>
      </c>
      <c r="N11" s="6">
        <v>80</v>
      </c>
      <c r="O11" s="6">
        <v>88</v>
      </c>
      <c r="P11" s="1">
        <f t="shared" si="0"/>
        <v>636</v>
      </c>
      <c r="Q11" s="14">
        <f t="shared" si="1"/>
        <v>79.5</v>
      </c>
      <c r="R11" s="20">
        <f t="shared" si="2"/>
        <v>5</v>
      </c>
    </row>
    <row r="12" spans="1:18" ht="18" customHeight="1">
      <c r="A12" s="19">
        <v>6</v>
      </c>
      <c r="B12" s="2" t="s">
        <v>4530</v>
      </c>
      <c r="C12" s="1">
        <v>4232671</v>
      </c>
      <c r="D12" s="3" t="s">
        <v>4531</v>
      </c>
      <c r="E12" s="1" t="s">
        <v>66</v>
      </c>
      <c r="F12" s="10" t="s">
        <v>4411</v>
      </c>
      <c r="G12" s="2">
        <v>20</v>
      </c>
      <c r="H12" s="6">
        <v>60</v>
      </c>
      <c r="I12" s="6">
        <v>85</v>
      </c>
      <c r="J12" s="6">
        <v>84</v>
      </c>
      <c r="K12" s="6">
        <v>68</v>
      </c>
      <c r="L12" s="6">
        <v>48</v>
      </c>
      <c r="M12" s="6">
        <v>84</v>
      </c>
      <c r="N12" s="6">
        <v>80</v>
      </c>
      <c r="O12" s="6">
        <v>92</v>
      </c>
      <c r="P12" s="1">
        <f t="shared" si="0"/>
        <v>601</v>
      </c>
      <c r="Q12" s="14">
        <f t="shared" si="1"/>
        <v>75.125</v>
      </c>
      <c r="R12" s="20">
        <f t="shared" si="2"/>
        <v>6</v>
      </c>
    </row>
    <row r="13" spans="1:18" ht="18" customHeight="1">
      <c r="A13" s="19">
        <v>7</v>
      </c>
      <c r="B13" s="2" t="s">
        <v>4453</v>
      </c>
      <c r="C13" s="1" t="s">
        <v>4454</v>
      </c>
      <c r="D13" s="3" t="s">
        <v>4455</v>
      </c>
      <c r="E13" s="1" t="s">
        <v>56</v>
      </c>
      <c r="F13" s="10" t="s">
        <v>4411</v>
      </c>
      <c r="G13" s="2">
        <v>17</v>
      </c>
      <c r="H13" s="6">
        <v>56</v>
      </c>
      <c r="I13" s="6">
        <v>100</v>
      </c>
      <c r="J13" s="6">
        <v>68</v>
      </c>
      <c r="K13" s="6">
        <v>76</v>
      </c>
      <c r="L13" s="6">
        <v>68</v>
      </c>
      <c r="M13" s="6">
        <v>60</v>
      </c>
      <c r="N13" s="6">
        <v>80</v>
      </c>
      <c r="O13" s="6">
        <v>84</v>
      </c>
      <c r="P13" s="1">
        <f t="shared" si="0"/>
        <v>592</v>
      </c>
      <c r="Q13" s="14">
        <f t="shared" si="1"/>
        <v>74</v>
      </c>
      <c r="R13" s="20">
        <f t="shared" si="2"/>
        <v>7</v>
      </c>
    </row>
    <row r="14" spans="1:18" ht="18" customHeight="1">
      <c r="A14" s="19">
        <v>8</v>
      </c>
      <c r="B14" s="2" t="s">
        <v>4480</v>
      </c>
      <c r="C14" s="1">
        <v>311220810</v>
      </c>
      <c r="D14" s="3" t="s">
        <v>4481</v>
      </c>
      <c r="E14" s="1" t="s">
        <v>80</v>
      </c>
      <c r="F14" s="10" t="s">
        <v>4411</v>
      </c>
      <c r="G14" s="2">
        <v>18</v>
      </c>
      <c r="H14" s="6">
        <v>68</v>
      </c>
      <c r="I14" s="6">
        <v>95</v>
      </c>
      <c r="J14" s="6">
        <v>72</v>
      </c>
      <c r="K14" s="6">
        <v>68</v>
      </c>
      <c r="L14" s="6">
        <v>48</v>
      </c>
      <c r="M14" s="6">
        <v>64</v>
      </c>
      <c r="N14" s="6">
        <v>80</v>
      </c>
      <c r="O14" s="6">
        <v>64</v>
      </c>
      <c r="P14" s="1">
        <f t="shared" si="0"/>
        <v>559</v>
      </c>
      <c r="Q14" s="14">
        <f t="shared" si="1"/>
        <v>69.875</v>
      </c>
      <c r="R14" s="20">
        <f t="shared" si="2"/>
        <v>8</v>
      </c>
    </row>
    <row r="15" spans="1:18" ht="18" customHeight="1">
      <c r="A15" s="19">
        <v>9</v>
      </c>
      <c r="B15" s="2" t="s">
        <v>4445</v>
      </c>
      <c r="C15" s="1">
        <v>311220799</v>
      </c>
      <c r="D15" s="3" t="s">
        <v>4446</v>
      </c>
      <c r="E15" s="1" t="s">
        <v>79</v>
      </c>
      <c r="F15" s="10" t="s">
        <v>4411</v>
      </c>
      <c r="G15" s="2">
        <v>17</v>
      </c>
      <c r="H15" s="6">
        <v>48</v>
      </c>
      <c r="I15" s="6">
        <v>100</v>
      </c>
      <c r="J15" s="6">
        <v>76</v>
      </c>
      <c r="K15" s="6">
        <v>84</v>
      </c>
      <c r="L15" s="6">
        <v>68</v>
      </c>
      <c r="M15" s="6">
        <v>32</v>
      </c>
      <c r="N15" s="6">
        <v>88</v>
      </c>
      <c r="O15" s="6">
        <v>36</v>
      </c>
      <c r="P15" s="1">
        <f t="shared" si="0"/>
        <v>532</v>
      </c>
      <c r="Q15" s="14">
        <f t="shared" si="1"/>
        <v>66.5</v>
      </c>
      <c r="R15" s="20">
        <f t="shared" si="2"/>
        <v>9</v>
      </c>
    </row>
    <row r="16" spans="1:18" ht="18" customHeight="1">
      <c r="A16" s="19">
        <v>10</v>
      </c>
      <c r="B16" s="2" t="s">
        <v>4478</v>
      </c>
      <c r="C16" s="1">
        <v>4233045</v>
      </c>
      <c r="D16" s="3" t="s">
        <v>4479</v>
      </c>
      <c r="E16" s="1" t="s">
        <v>62</v>
      </c>
      <c r="F16" s="10" t="s">
        <v>4411</v>
      </c>
      <c r="G16" s="2">
        <v>18</v>
      </c>
      <c r="H16" s="6">
        <v>56</v>
      </c>
      <c r="I16" s="6">
        <v>95</v>
      </c>
      <c r="J16" s="6">
        <v>72</v>
      </c>
      <c r="K16" s="6">
        <v>72</v>
      </c>
      <c r="L16" s="6">
        <v>40</v>
      </c>
      <c r="M16" s="6">
        <v>64</v>
      </c>
      <c r="N16" s="6">
        <v>64</v>
      </c>
      <c r="O16" s="6">
        <v>60</v>
      </c>
      <c r="P16" s="1">
        <f t="shared" si="0"/>
        <v>523</v>
      </c>
      <c r="Q16" s="14">
        <f t="shared" si="1"/>
        <v>65.375</v>
      </c>
      <c r="R16" s="20">
        <f t="shared" si="2"/>
        <v>10</v>
      </c>
    </row>
    <row r="17" spans="1:18" ht="18" customHeight="1">
      <c r="A17" s="19">
        <v>11</v>
      </c>
      <c r="B17" s="2" t="s">
        <v>4430</v>
      </c>
      <c r="C17" s="1">
        <v>311220772</v>
      </c>
      <c r="D17" s="3" t="s">
        <v>4431</v>
      </c>
      <c r="E17" s="1" t="s">
        <v>79</v>
      </c>
      <c r="F17" s="10" t="s">
        <v>4411</v>
      </c>
      <c r="G17" s="2">
        <v>16</v>
      </c>
      <c r="H17" s="6">
        <v>64</v>
      </c>
      <c r="I17" s="6">
        <v>100</v>
      </c>
      <c r="J17" s="6">
        <v>76</v>
      </c>
      <c r="K17" s="6">
        <v>48</v>
      </c>
      <c r="L17" s="6">
        <v>40</v>
      </c>
      <c r="M17" s="6">
        <v>68</v>
      </c>
      <c r="N17" s="6">
        <v>84</v>
      </c>
      <c r="O17" s="6">
        <v>40</v>
      </c>
      <c r="P17" s="1">
        <f t="shared" si="0"/>
        <v>520</v>
      </c>
      <c r="Q17" s="14">
        <f t="shared" si="1"/>
        <v>65</v>
      </c>
      <c r="R17" s="20">
        <f t="shared" si="2"/>
        <v>11</v>
      </c>
    </row>
    <row r="18" spans="1:18" ht="18" customHeight="1">
      <c r="A18" s="19">
        <v>12</v>
      </c>
      <c r="B18" s="2" t="s">
        <v>4432</v>
      </c>
      <c r="C18" s="1">
        <v>311220800</v>
      </c>
      <c r="D18" s="3" t="s">
        <v>4433</v>
      </c>
      <c r="E18" s="1" t="s">
        <v>79</v>
      </c>
      <c r="F18" s="10" t="s">
        <v>4411</v>
      </c>
      <c r="G18" s="2">
        <v>17</v>
      </c>
      <c r="H18" s="6">
        <v>28</v>
      </c>
      <c r="I18" s="6">
        <v>100</v>
      </c>
      <c r="J18" s="6">
        <v>88</v>
      </c>
      <c r="K18" s="6">
        <v>52</v>
      </c>
      <c r="L18" s="6">
        <v>48</v>
      </c>
      <c r="M18" s="6">
        <v>60</v>
      </c>
      <c r="N18" s="6">
        <v>84</v>
      </c>
      <c r="O18" s="6">
        <v>40</v>
      </c>
      <c r="P18" s="1">
        <f t="shared" si="0"/>
        <v>500</v>
      </c>
      <c r="Q18" s="14">
        <f t="shared" si="1"/>
        <v>62.5</v>
      </c>
      <c r="R18" s="20">
        <f t="shared" si="2"/>
        <v>12</v>
      </c>
    </row>
    <row r="19" spans="1:18" ht="18" customHeight="1">
      <c r="A19" s="19">
        <v>13</v>
      </c>
      <c r="B19" s="2" t="s">
        <v>4532</v>
      </c>
      <c r="C19" s="1">
        <v>311220955</v>
      </c>
      <c r="D19" s="3" t="s">
        <v>4533</v>
      </c>
      <c r="E19" s="1" t="s">
        <v>353</v>
      </c>
      <c r="F19" s="10" t="s">
        <v>4411</v>
      </c>
      <c r="G19" s="2">
        <v>20</v>
      </c>
      <c r="H19" s="6">
        <v>80</v>
      </c>
      <c r="I19" s="6">
        <v>0</v>
      </c>
      <c r="J19" s="6">
        <v>64</v>
      </c>
      <c r="K19" s="6">
        <v>80</v>
      </c>
      <c r="L19" s="6">
        <v>64</v>
      </c>
      <c r="M19" s="6">
        <v>72</v>
      </c>
      <c r="N19" s="6">
        <v>88</v>
      </c>
      <c r="O19" s="6">
        <v>48</v>
      </c>
      <c r="P19" s="1">
        <f t="shared" si="0"/>
        <v>496</v>
      </c>
      <c r="Q19" s="14">
        <f t="shared" si="1"/>
        <v>62</v>
      </c>
      <c r="R19" s="20">
        <f t="shared" si="2"/>
        <v>13</v>
      </c>
    </row>
    <row r="20" spans="1:18" ht="18" customHeight="1">
      <c r="A20" s="19">
        <v>14</v>
      </c>
      <c r="B20" s="2" t="s">
        <v>4497</v>
      </c>
      <c r="C20" s="1">
        <v>4232648</v>
      </c>
      <c r="D20" s="3" t="s">
        <v>4498</v>
      </c>
      <c r="E20" s="1" t="s">
        <v>90</v>
      </c>
      <c r="F20" s="10" t="s">
        <v>4411</v>
      </c>
      <c r="G20" s="2">
        <v>19</v>
      </c>
      <c r="H20" s="6">
        <v>56</v>
      </c>
      <c r="I20" s="6">
        <v>95</v>
      </c>
      <c r="J20" s="6">
        <v>68</v>
      </c>
      <c r="K20" s="6">
        <v>48</v>
      </c>
      <c r="L20" s="6">
        <v>56</v>
      </c>
      <c r="M20" s="6">
        <v>48</v>
      </c>
      <c r="N20" s="6">
        <v>72</v>
      </c>
      <c r="O20" s="6">
        <v>48</v>
      </c>
      <c r="P20" s="1">
        <f t="shared" si="0"/>
        <v>491</v>
      </c>
      <c r="Q20" s="14">
        <f t="shared" si="1"/>
        <v>61.375</v>
      </c>
      <c r="R20" s="20">
        <f t="shared" si="2"/>
        <v>14</v>
      </c>
    </row>
    <row r="21" spans="1:18" ht="18" customHeight="1">
      <c r="A21" s="19">
        <v>15</v>
      </c>
      <c r="B21" s="2" t="s">
        <v>4522</v>
      </c>
      <c r="C21" s="1" t="s">
        <v>4523</v>
      </c>
      <c r="D21" s="3" t="s">
        <v>92</v>
      </c>
      <c r="E21" s="1" t="s">
        <v>2075</v>
      </c>
      <c r="F21" s="10" t="s">
        <v>4411</v>
      </c>
      <c r="G21" s="2">
        <v>19</v>
      </c>
      <c r="H21" s="6">
        <v>52</v>
      </c>
      <c r="I21" s="6">
        <v>95</v>
      </c>
      <c r="J21" s="6">
        <v>56</v>
      </c>
      <c r="K21" s="6">
        <v>60</v>
      </c>
      <c r="L21" s="6">
        <v>44</v>
      </c>
      <c r="M21" s="6">
        <v>52</v>
      </c>
      <c r="N21" s="6">
        <v>80</v>
      </c>
      <c r="O21" s="6">
        <v>52</v>
      </c>
      <c r="P21" s="1">
        <f t="shared" si="0"/>
        <v>491</v>
      </c>
      <c r="Q21" s="14">
        <f t="shared" si="1"/>
        <v>61.375</v>
      </c>
      <c r="R21" s="20">
        <f t="shared" si="2"/>
        <v>14</v>
      </c>
    </row>
    <row r="22" spans="1:18" ht="18" customHeight="1">
      <c r="A22" s="19">
        <v>16</v>
      </c>
      <c r="B22" s="2" t="s">
        <v>4461</v>
      </c>
      <c r="C22" s="1">
        <v>4232798</v>
      </c>
      <c r="D22" s="3" t="s">
        <v>4462</v>
      </c>
      <c r="E22" s="1" t="s">
        <v>61</v>
      </c>
      <c r="F22" s="10" t="s">
        <v>4411</v>
      </c>
      <c r="G22" s="2">
        <v>17</v>
      </c>
      <c r="H22" s="6">
        <v>64</v>
      </c>
      <c r="I22" s="6">
        <v>90</v>
      </c>
      <c r="J22" s="6">
        <v>60</v>
      </c>
      <c r="K22" s="6">
        <v>52</v>
      </c>
      <c r="L22" s="6">
        <v>52</v>
      </c>
      <c r="M22" s="6">
        <v>40</v>
      </c>
      <c r="N22" s="6">
        <v>84</v>
      </c>
      <c r="O22" s="6">
        <v>48</v>
      </c>
      <c r="P22" s="1">
        <f t="shared" si="0"/>
        <v>490</v>
      </c>
      <c r="Q22" s="14">
        <f t="shared" si="1"/>
        <v>61.25</v>
      </c>
      <c r="R22" s="20">
        <f t="shared" si="2"/>
        <v>16</v>
      </c>
    </row>
    <row r="23" spans="1:18" ht="18" customHeight="1">
      <c r="A23" s="19">
        <v>17</v>
      </c>
      <c r="B23" s="2" t="s">
        <v>4449</v>
      </c>
      <c r="C23" s="1">
        <v>4232555</v>
      </c>
      <c r="D23" s="3" t="s">
        <v>4450</v>
      </c>
      <c r="E23" s="1" t="s">
        <v>56</v>
      </c>
      <c r="F23" s="10" t="s">
        <v>4411</v>
      </c>
      <c r="G23" s="2">
        <v>17</v>
      </c>
      <c r="H23" s="6">
        <v>32</v>
      </c>
      <c r="I23" s="6">
        <v>95</v>
      </c>
      <c r="J23" s="6">
        <v>68</v>
      </c>
      <c r="K23" s="6">
        <v>68</v>
      </c>
      <c r="L23" s="6">
        <v>60</v>
      </c>
      <c r="M23" s="6">
        <v>44</v>
      </c>
      <c r="N23" s="6">
        <v>84</v>
      </c>
      <c r="O23" s="6">
        <v>36</v>
      </c>
      <c r="P23" s="1">
        <f t="shared" si="0"/>
        <v>487</v>
      </c>
      <c r="Q23" s="14">
        <f t="shared" si="1"/>
        <v>60.875</v>
      </c>
      <c r="R23" s="20">
        <f t="shared" si="2"/>
        <v>17</v>
      </c>
    </row>
    <row r="24" spans="1:18" ht="18" customHeight="1">
      <c r="A24" s="19">
        <v>18</v>
      </c>
      <c r="B24" s="2" t="s">
        <v>4502</v>
      </c>
      <c r="C24" s="1">
        <v>4232775</v>
      </c>
      <c r="D24" s="3" t="s">
        <v>4503</v>
      </c>
      <c r="E24" s="1" t="s">
        <v>90</v>
      </c>
      <c r="F24" s="10" t="s">
        <v>4411</v>
      </c>
      <c r="G24" s="2">
        <v>19</v>
      </c>
      <c r="H24" s="6">
        <v>52</v>
      </c>
      <c r="I24" s="6">
        <v>85</v>
      </c>
      <c r="J24" s="6">
        <v>52</v>
      </c>
      <c r="K24" s="6">
        <v>52</v>
      </c>
      <c r="L24" s="6">
        <v>44</v>
      </c>
      <c r="M24" s="6">
        <v>56</v>
      </c>
      <c r="N24" s="6">
        <v>72</v>
      </c>
      <c r="O24" s="6">
        <v>52</v>
      </c>
      <c r="P24" s="1">
        <f t="shared" si="0"/>
        <v>465</v>
      </c>
      <c r="Q24" s="14">
        <f t="shared" si="1"/>
        <v>58.125</v>
      </c>
      <c r="R24" s="20">
        <f t="shared" si="2"/>
        <v>18</v>
      </c>
    </row>
    <row r="25" spans="1:18" ht="18" customHeight="1">
      <c r="A25" s="19">
        <v>19</v>
      </c>
      <c r="B25" s="2" t="s">
        <v>4436</v>
      </c>
      <c r="C25" s="1">
        <v>4232729</v>
      </c>
      <c r="D25" s="3" t="s">
        <v>4437</v>
      </c>
      <c r="E25" s="1" t="s">
        <v>79</v>
      </c>
      <c r="F25" s="10" t="s">
        <v>4411</v>
      </c>
      <c r="G25" s="2">
        <v>17</v>
      </c>
      <c r="H25" s="6">
        <v>36</v>
      </c>
      <c r="I25" s="6">
        <v>100</v>
      </c>
      <c r="J25" s="6">
        <v>64</v>
      </c>
      <c r="K25" s="6">
        <v>64</v>
      </c>
      <c r="L25" s="6">
        <v>36</v>
      </c>
      <c r="M25" s="6">
        <v>52</v>
      </c>
      <c r="N25" s="6">
        <v>76</v>
      </c>
      <c r="O25" s="6">
        <v>32</v>
      </c>
      <c r="P25" s="1">
        <f t="shared" si="0"/>
        <v>460</v>
      </c>
      <c r="Q25" s="14">
        <f t="shared" si="1"/>
        <v>57.5</v>
      </c>
      <c r="R25" s="20">
        <f t="shared" si="2"/>
        <v>19</v>
      </c>
    </row>
    <row r="26" spans="1:18" ht="18" customHeight="1">
      <c r="A26" s="19">
        <v>20</v>
      </c>
      <c r="B26" s="2" t="s">
        <v>4463</v>
      </c>
      <c r="C26" s="1">
        <v>4232632</v>
      </c>
      <c r="D26" s="3" t="s">
        <v>4464</v>
      </c>
      <c r="E26" s="1" t="s">
        <v>61</v>
      </c>
      <c r="F26" s="10" t="s">
        <v>4411</v>
      </c>
      <c r="G26" s="2">
        <v>17</v>
      </c>
      <c r="H26" s="6">
        <v>28</v>
      </c>
      <c r="I26" s="6">
        <v>100</v>
      </c>
      <c r="J26" s="6">
        <v>44</v>
      </c>
      <c r="K26" s="6">
        <v>56</v>
      </c>
      <c r="L26" s="6">
        <v>28</v>
      </c>
      <c r="M26" s="6">
        <v>56</v>
      </c>
      <c r="N26" s="6">
        <v>84</v>
      </c>
      <c r="O26" s="6">
        <v>44</v>
      </c>
      <c r="P26" s="1">
        <f t="shared" si="0"/>
        <v>440</v>
      </c>
      <c r="Q26" s="14">
        <f t="shared" si="1"/>
        <v>55</v>
      </c>
      <c r="R26" s="20">
        <f t="shared" si="2"/>
        <v>20</v>
      </c>
    </row>
    <row r="27" spans="1:18" ht="18" customHeight="1">
      <c r="A27" s="19">
        <v>21</v>
      </c>
      <c r="B27" s="2" t="s">
        <v>4441</v>
      </c>
      <c r="C27" s="1">
        <v>4232592</v>
      </c>
      <c r="D27" s="3" t="s">
        <v>4442</v>
      </c>
      <c r="E27" s="1" t="s">
        <v>79</v>
      </c>
      <c r="F27" s="10" t="s">
        <v>4411</v>
      </c>
      <c r="G27" s="2">
        <v>17</v>
      </c>
      <c r="H27" s="6">
        <v>28</v>
      </c>
      <c r="I27" s="6">
        <v>100</v>
      </c>
      <c r="J27" s="6">
        <v>44</v>
      </c>
      <c r="K27" s="6">
        <v>44</v>
      </c>
      <c r="L27" s="6">
        <v>44</v>
      </c>
      <c r="M27" s="6">
        <v>68</v>
      </c>
      <c r="N27" s="6">
        <v>80</v>
      </c>
      <c r="O27" s="6">
        <v>24</v>
      </c>
      <c r="P27" s="1">
        <f t="shared" si="0"/>
        <v>432</v>
      </c>
      <c r="Q27" s="14">
        <f t="shared" si="1"/>
        <v>54</v>
      </c>
      <c r="R27" s="20">
        <f t="shared" si="2"/>
        <v>21</v>
      </c>
    </row>
    <row r="28" spans="1:18" ht="18" customHeight="1">
      <c r="A28" s="19">
        <v>22</v>
      </c>
      <c r="B28" s="2" t="s">
        <v>4443</v>
      </c>
      <c r="C28" s="1">
        <v>4232889</v>
      </c>
      <c r="D28" s="3" t="s">
        <v>4444</v>
      </c>
      <c r="E28" s="1" t="s">
        <v>79</v>
      </c>
      <c r="F28" s="10" t="s">
        <v>4411</v>
      </c>
      <c r="G28" s="2">
        <v>17</v>
      </c>
      <c r="H28" s="6">
        <v>28</v>
      </c>
      <c r="I28" s="6">
        <v>100</v>
      </c>
      <c r="J28" s="6">
        <v>44</v>
      </c>
      <c r="K28" s="6">
        <v>52</v>
      </c>
      <c r="L28" s="6">
        <v>24</v>
      </c>
      <c r="M28" s="6">
        <v>72</v>
      </c>
      <c r="N28" s="6">
        <v>84</v>
      </c>
      <c r="O28" s="6">
        <v>28</v>
      </c>
      <c r="P28" s="1">
        <f t="shared" si="0"/>
        <v>432</v>
      </c>
      <c r="Q28" s="14">
        <f t="shared" si="1"/>
        <v>54</v>
      </c>
      <c r="R28" s="20">
        <f t="shared" si="2"/>
        <v>21</v>
      </c>
    </row>
    <row r="29" spans="1:18" ht="18" customHeight="1">
      <c r="A29" s="19">
        <v>23</v>
      </c>
      <c r="B29" s="2" t="s">
        <v>4482</v>
      </c>
      <c r="C29" s="1">
        <v>4232841</v>
      </c>
      <c r="D29" s="3" t="s">
        <v>4483</v>
      </c>
      <c r="E29" s="1" t="s">
        <v>80</v>
      </c>
      <c r="F29" s="10" t="s">
        <v>4411</v>
      </c>
      <c r="G29" s="2">
        <v>18</v>
      </c>
      <c r="H29" s="6">
        <v>40</v>
      </c>
      <c r="I29" s="6">
        <v>75</v>
      </c>
      <c r="J29" s="6">
        <v>44</v>
      </c>
      <c r="K29" s="6">
        <v>68</v>
      </c>
      <c r="L29" s="6">
        <v>48</v>
      </c>
      <c r="M29" s="6">
        <v>36</v>
      </c>
      <c r="N29" s="6">
        <v>76</v>
      </c>
      <c r="O29" s="6">
        <v>40</v>
      </c>
      <c r="P29" s="1">
        <f t="shared" si="0"/>
        <v>427</v>
      </c>
      <c r="Q29" s="14">
        <f t="shared" si="1"/>
        <v>53.375</v>
      </c>
      <c r="R29" s="20">
        <f t="shared" si="2"/>
        <v>23</v>
      </c>
    </row>
    <row r="30" spans="1:18" ht="18" customHeight="1">
      <c r="A30" s="19">
        <v>24</v>
      </c>
      <c r="B30" s="2" t="s">
        <v>4422</v>
      </c>
      <c r="C30" s="1" t="s">
        <v>4423</v>
      </c>
      <c r="D30" s="3" t="s">
        <v>4424</v>
      </c>
      <c r="E30" s="1" t="s">
        <v>85</v>
      </c>
      <c r="F30" s="10" t="s">
        <v>4411</v>
      </c>
      <c r="G30" s="2">
        <v>16</v>
      </c>
      <c r="H30" s="6">
        <v>24</v>
      </c>
      <c r="I30" s="6">
        <v>100</v>
      </c>
      <c r="J30" s="6">
        <v>48</v>
      </c>
      <c r="K30" s="6">
        <v>44</v>
      </c>
      <c r="L30" s="6">
        <v>48</v>
      </c>
      <c r="M30" s="6">
        <v>36</v>
      </c>
      <c r="N30" s="6">
        <v>64</v>
      </c>
      <c r="O30" s="6">
        <v>60</v>
      </c>
      <c r="P30" s="1">
        <f t="shared" si="0"/>
        <v>424</v>
      </c>
      <c r="Q30" s="14">
        <f t="shared" si="1"/>
        <v>53</v>
      </c>
      <c r="R30" s="20">
        <f t="shared" si="2"/>
        <v>24</v>
      </c>
    </row>
    <row r="31" spans="1:18" ht="18" customHeight="1">
      <c r="A31" s="19">
        <v>25</v>
      </c>
      <c r="B31" s="2" t="s">
        <v>4414</v>
      </c>
      <c r="C31" s="1" t="s">
        <v>4415</v>
      </c>
      <c r="D31" s="3" t="s">
        <v>4416</v>
      </c>
      <c r="E31" s="1" t="s">
        <v>88</v>
      </c>
      <c r="F31" s="10" t="s">
        <v>4411</v>
      </c>
      <c r="G31" s="2">
        <v>16</v>
      </c>
      <c r="H31" s="6">
        <v>24</v>
      </c>
      <c r="I31" s="6">
        <v>100</v>
      </c>
      <c r="J31" s="6">
        <v>60</v>
      </c>
      <c r="K31" s="6">
        <v>64</v>
      </c>
      <c r="L31" s="6">
        <v>44</v>
      </c>
      <c r="M31" s="6">
        <v>20</v>
      </c>
      <c r="N31" s="6">
        <v>92</v>
      </c>
      <c r="O31" s="6">
        <v>16</v>
      </c>
      <c r="P31" s="1">
        <f t="shared" si="0"/>
        <v>420</v>
      </c>
      <c r="Q31" s="14">
        <f t="shared" si="1"/>
        <v>52.5</v>
      </c>
      <c r="R31" s="20">
        <f t="shared" si="2"/>
        <v>25</v>
      </c>
    </row>
    <row r="32" spans="1:18" ht="18" customHeight="1">
      <c r="A32" s="19">
        <v>26</v>
      </c>
      <c r="B32" s="2" t="s">
        <v>4518</v>
      </c>
      <c r="C32" s="1">
        <v>311220791</v>
      </c>
      <c r="D32" s="3" t="s">
        <v>4519</v>
      </c>
      <c r="E32" s="1" t="s">
        <v>88</v>
      </c>
      <c r="F32" s="10" t="s">
        <v>4411</v>
      </c>
      <c r="G32" s="2">
        <v>19</v>
      </c>
      <c r="H32" s="6">
        <v>16</v>
      </c>
      <c r="I32" s="6">
        <v>100</v>
      </c>
      <c r="J32" s="6">
        <v>68</v>
      </c>
      <c r="K32" s="6">
        <v>48</v>
      </c>
      <c r="L32" s="6">
        <v>52</v>
      </c>
      <c r="M32" s="6">
        <v>56</v>
      </c>
      <c r="N32" s="6">
        <v>68</v>
      </c>
      <c r="O32" s="6">
        <v>12</v>
      </c>
      <c r="P32" s="1">
        <f t="shared" si="0"/>
        <v>420</v>
      </c>
      <c r="Q32" s="14">
        <f t="shared" si="1"/>
        <v>52.5</v>
      </c>
      <c r="R32" s="20">
        <f t="shared" si="2"/>
        <v>25</v>
      </c>
    </row>
    <row r="33" spans="1:18" ht="18" customHeight="1">
      <c r="A33" s="19">
        <v>27</v>
      </c>
      <c r="B33" s="2" t="s">
        <v>4418</v>
      </c>
      <c r="C33" s="1">
        <v>311220900</v>
      </c>
      <c r="D33" s="3" t="s">
        <v>4419</v>
      </c>
      <c r="E33" s="1" t="s">
        <v>65</v>
      </c>
      <c r="F33" s="10" t="s">
        <v>4411</v>
      </c>
      <c r="G33" s="2">
        <v>16</v>
      </c>
      <c r="H33" s="6">
        <v>32</v>
      </c>
      <c r="I33" s="6">
        <v>100</v>
      </c>
      <c r="J33" s="6">
        <v>48</v>
      </c>
      <c r="K33" s="6">
        <v>52</v>
      </c>
      <c r="L33" s="6">
        <v>48</v>
      </c>
      <c r="M33" s="6">
        <v>20</v>
      </c>
      <c r="N33" s="6">
        <v>84</v>
      </c>
      <c r="O33" s="6">
        <v>32</v>
      </c>
      <c r="P33" s="1">
        <f t="shared" si="0"/>
        <v>416</v>
      </c>
      <c r="Q33" s="14">
        <f t="shared" si="1"/>
        <v>52</v>
      </c>
      <c r="R33" s="20">
        <f t="shared" si="2"/>
        <v>27</v>
      </c>
    </row>
    <row r="34" spans="1:18" ht="18" customHeight="1">
      <c r="A34" s="19">
        <v>28</v>
      </c>
      <c r="B34" s="2" t="s">
        <v>4493</v>
      </c>
      <c r="C34" s="1">
        <v>4232932</v>
      </c>
      <c r="D34" s="3" t="s">
        <v>4494</v>
      </c>
      <c r="E34" s="1" t="s">
        <v>78</v>
      </c>
      <c r="F34" s="10" t="s">
        <v>4411</v>
      </c>
      <c r="G34" s="2">
        <v>18</v>
      </c>
      <c r="H34" s="6">
        <v>32</v>
      </c>
      <c r="I34" s="6">
        <v>100</v>
      </c>
      <c r="J34" s="6">
        <v>48</v>
      </c>
      <c r="K34" s="6">
        <v>56</v>
      </c>
      <c r="L34" s="6">
        <v>40</v>
      </c>
      <c r="M34" s="6">
        <v>16</v>
      </c>
      <c r="N34" s="6">
        <v>100</v>
      </c>
      <c r="O34" s="6">
        <v>24</v>
      </c>
      <c r="P34" s="1">
        <f t="shared" si="0"/>
        <v>416</v>
      </c>
      <c r="Q34" s="14">
        <f t="shared" si="1"/>
        <v>52</v>
      </c>
      <c r="R34" s="20">
        <f t="shared" si="2"/>
        <v>27</v>
      </c>
    </row>
    <row r="35" spans="1:18" ht="18" customHeight="1">
      <c r="A35" s="19">
        <v>29</v>
      </c>
      <c r="B35" s="2" t="s">
        <v>4537</v>
      </c>
      <c r="C35" s="1">
        <v>311261004</v>
      </c>
      <c r="D35" s="3" t="s">
        <v>4538</v>
      </c>
      <c r="E35" s="1" t="s">
        <v>57</v>
      </c>
      <c r="F35" s="10" t="s">
        <v>4411</v>
      </c>
      <c r="G35" s="2">
        <v>20</v>
      </c>
      <c r="H35" s="6">
        <v>40</v>
      </c>
      <c r="I35" s="6">
        <v>85</v>
      </c>
      <c r="J35" s="6">
        <v>48</v>
      </c>
      <c r="K35" s="6">
        <v>52</v>
      </c>
      <c r="L35" s="6">
        <v>64</v>
      </c>
      <c r="M35" s="6">
        <v>20</v>
      </c>
      <c r="N35" s="6">
        <v>80</v>
      </c>
      <c r="O35" s="6">
        <v>24</v>
      </c>
      <c r="P35" s="1">
        <f t="shared" si="0"/>
        <v>413</v>
      </c>
      <c r="Q35" s="14">
        <f t="shared" si="1"/>
        <v>51.625</v>
      </c>
      <c r="R35" s="20">
        <f t="shared" si="2"/>
        <v>29</v>
      </c>
    </row>
    <row r="36" spans="1:18" ht="18" customHeight="1">
      <c r="A36" s="19">
        <v>30</v>
      </c>
      <c r="B36" s="2" t="s">
        <v>4510</v>
      </c>
      <c r="C36" s="1">
        <v>311220769</v>
      </c>
      <c r="D36" s="3" t="s">
        <v>4511</v>
      </c>
      <c r="E36" s="1" t="s">
        <v>88</v>
      </c>
      <c r="F36" s="10" t="s">
        <v>4411</v>
      </c>
      <c r="G36" s="2">
        <v>19</v>
      </c>
      <c r="H36" s="6">
        <v>40</v>
      </c>
      <c r="I36" s="6">
        <v>100</v>
      </c>
      <c r="J36" s="6">
        <v>52</v>
      </c>
      <c r="K36" s="6">
        <v>56</v>
      </c>
      <c r="L36" s="6">
        <v>56</v>
      </c>
      <c r="M36" s="6">
        <v>40</v>
      </c>
      <c r="N36" s="6">
        <v>64</v>
      </c>
      <c r="O36" s="6">
        <v>4</v>
      </c>
      <c r="P36" s="1">
        <f t="shared" si="0"/>
        <v>412</v>
      </c>
      <c r="Q36" s="14">
        <f t="shared" si="1"/>
        <v>51.5</v>
      </c>
      <c r="R36" s="20">
        <f t="shared" si="2"/>
        <v>30</v>
      </c>
    </row>
    <row r="37" spans="1:18" ht="18" customHeight="1">
      <c r="A37" s="19">
        <v>31</v>
      </c>
      <c r="B37" s="2" t="s">
        <v>4425</v>
      </c>
      <c r="C37" s="1">
        <v>4232818</v>
      </c>
      <c r="D37" s="3" t="s">
        <v>4426</v>
      </c>
      <c r="E37" s="1" t="s">
        <v>69</v>
      </c>
      <c r="F37" s="10" t="s">
        <v>4411</v>
      </c>
      <c r="G37" s="2">
        <v>16</v>
      </c>
      <c r="H37" s="6">
        <v>36</v>
      </c>
      <c r="I37" s="6">
        <v>75</v>
      </c>
      <c r="J37" s="6">
        <v>52</v>
      </c>
      <c r="K37" s="6">
        <v>56</v>
      </c>
      <c r="L37" s="6">
        <v>44</v>
      </c>
      <c r="M37" s="6">
        <v>48</v>
      </c>
      <c r="N37" s="6">
        <v>80</v>
      </c>
      <c r="O37" s="6">
        <v>20</v>
      </c>
      <c r="P37" s="1">
        <f t="shared" si="0"/>
        <v>411</v>
      </c>
      <c r="Q37" s="14">
        <f t="shared" si="1"/>
        <v>51.375</v>
      </c>
      <c r="R37" s="20">
        <f t="shared" si="2"/>
        <v>31</v>
      </c>
    </row>
    <row r="38" spans="1:18" ht="18" customHeight="1">
      <c r="A38" s="19">
        <v>32</v>
      </c>
      <c r="B38" s="2" t="s">
        <v>4528</v>
      </c>
      <c r="C38" s="1">
        <v>4232997</v>
      </c>
      <c r="D38" s="3" t="s">
        <v>4529</v>
      </c>
      <c r="E38" s="1" t="s">
        <v>82</v>
      </c>
      <c r="F38" s="10" t="s">
        <v>4411</v>
      </c>
      <c r="G38" s="2">
        <v>19</v>
      </c>
      <c r="H38" s="6">
        <v>48</v>
      </c>
      <c r="I38" s="6">
        <v>100</v>
      </c>
      <c r="J38" s="6">
        <v>32</v>
      </c>
      <c r="K38" s="6">
        <v>44</v>
      </c>
      <c r="L38" s="6">
        <v>28</v>
      </c>
      <c r="M38" s="6">
        <v>32</v>
      </c>
      <c r="N38" s="6">
        <v>76</v>
      </c>
      <c r="O38" s="6">
        <v>48</v>
      </c>
      <c r="P38" s="1">
        <f t="shared" si="0"/>
        <v>408</v>
      </c>
      <c r="Q38" s="14">
        <f t="shared" si="1"/>
        <v>51</v>
      </c>
      <c r="R38" s="20">
        <f t="shared" si="2"/>
        <v>32</v>
      </c>
    </row>
    <row r="39" spans="1:18" ht="18" customHeight="1">
      <c r="A39" s="19">
        <v>33</v>
      </c>
      <c r="B39" s="2" t="s">
        <v>4417</v>
      </c>
      <c r="C39" s="1">
        <v>4232931</v>
      </c>
      <c r="D39" s="3" t="s">
        <v>2229</v>
      </c>
      <c r="E39" s="1" t="s">
        <v>2075</v>
      </c>
      <c r="F39" s="10" t="s">
        <v>4411</v>
      </c>
      <c r="G39" s="2">
        <v>16</v>
      </c>
      <c r="H39" s="6">
        <v>48</v>
      </c>
      <c r="I39" s="6">
        <v>90</v>
      </c>
      <c r="J39" s="6">
        <v>40</v>
      </c>
      <c r="K39" s="6">
        <v>40</v>
      </c>
      <c r="L39" s="6">
        <v>40</v>
      </c>
      <c r="M39" s="6">
        <v>48</v>
      </c>
      <c r="N39" s="6">
        <v>72</v>
      </c>
      <c r="O39" s="6">
        <v>28</v>
      </c>
      <c r="P39" s="1">
        <f t="shared" ref="P39:P65" si="3">SUBTOTAL(9,H39:O39)</f>
        <v>406</v>
      </c>
      <c r="Q39" s="14">
        <f t="shared" ref="Q39:Q65" si="4">P39/8</f>
        <v>50.75</v>
      </c>
      <c r="R39" s="20">
        <f t="shared" ref="R39:R65" si="5">RANK(Q39,Q$7:Q$231,0)</f>
        <v>33</v>
      </c>
    </row>
    <row r="40" spans="1:18" ht="18" customHeight="1">
      <c r="A40" s="19">
        <v>34</v>
      </c>
      <c r="B40" s="2" t="s">
        <v>4514</v>
      </c>
      <c r="C40" s="1">
        <v>311220802</v>
      </c>
      <c r="D40" s="3" t="s">
        <v>4515</v>
      </c>
      <c r="E40" s="1" t="s">
        <v>88</v>
      </c>
      <c r="F40" s="10" t="s">
        <v>4411</v>
      </c>
      <c r="G40" s="2">
        <v>19</v>
      </c>
      <c r="H40" s="6">
        <v>20</v>
      </c>
      <c r="I40" s="6">
        <v>100</v>
      </c>
      <c r="J40" s="6">
        <v>72</v>
      </c>
      <c r="K40" s="6">
        <v>48</v>
      </c>
      <c r="L40" s="6">
        <v>48</v>
      </c>
      <c r="M40" s="6">
        <v>20</v>
      </c>
      <c r="N40" s="6">
        <v>76</v>
      </c>
      <c r="O40" s="6">
        <v>20</v>
      </c>
      <c r="P40" s="1">
        <f t="shared" si="3"/>
        <v>404</v>
      </c>
      <c r="Q40" s="14">
        <f t="shared" si="4"/>
        <v>50.5</v>
      </c>
      <c r="R40" s="20">
        <f t="shared" si="5"/>
        <v>34</v>
      </c>
    </row>
    <row r="41" spans="1:18" ht="18" customHeight="1">
      <c r="A41" s="19">
        <v>35</v>
      </c>
      <c r="B41" s="2" t="s">
        <v>4486</v>
      </c>
      <c r="C41" s="1" t="s">
        <v>4487</v>
      </c>
      <c r="D41" s="3" t="s">
        <v>4488</v>
      </c>
      <c r="E41" s="1" t="s">
        <v>81</v>
      </c>
      <c r="F41" s="10" t="s">
        <v>4411</v>
      </c>
      <c r="G41" s="2">
        <v>18</v>
      </c>
      <c r="H41" s="6">
        <v>46</v>
      </c>
      <c r="I41" s="6">
        <v>100</v>
      </c>
      <c r="J41" s="6">
        <v>40</v>
      </c>
      <c r="K41" s="6">
        <v>28</v>
      </c>
      <c r="L41" s="6">
        <v>28</v>
      </c>
      <c r="M41" s="6">
        <v>28</v>
      </c>
      <c r="N41" s="6">
        <v>64</v>
      </c>
      <c r="O41" s="6">
        <v>64</v>
      </c>
      <c r="P41" s="1">
        <f t="shared" si="3"/>
        <v>398</v>
      </c>
      <c r="Q41" s="14">
        <f t="shared" si="4"/>
        <v>49.75</v>
      </c>
      <c r="R41" s="20">
        <f t="shared" si="5"/>
        <v>35</v>
      </c>
    </row>
    <row r="42" spans="1:18" ht="18" customHeight="1">
      <c r="A42" s="19">
        <v>36</v>
      </c>
      <c r="B42" s="2" t="s">
        <v>4499</v>
      </c>
      <c r="C42" s="1" t="s">
        <v>4500</v>
      </c>
      <c r="D42" s="3" t="s">
        <v>4501</v>
      </c>
      <c r="E42" s="1" t="s">
        <v>90</v>
      </c>
      <c r="F42" s="10" t="s">
        <v>4411</v>
      </c>
      <c r="G42" s="2">
        <v>19</v>
      </c>
      <c r="H42" s="6">
        <v>32</v>
      </c>
      <c r="I42" s="6">
        <v>90</v>
      </c>
      <c r="J42" s="6">
        <v>52</v>
      </c>
      <c r="K42" s="6">
        <v>52</v>
      </c>
      <c r="L42" s="6">
        <v>40</v>
      </c>
      <c r="M42" s="6">
        <v>56</v>
      </c>
      <c r="N42" s="6">
        <v>48</v>
      </c>
      <c r="O42" s="6">
        <v>28</v>
      </c>
      <c r="P42" s="1">
        <f t="shared" si="3"/>
        <v>398</v>
      </c>
      <c r="Q42" s="14">
        <f t="shared" si="4"/>
        <v>49.75</v>
      </c>
      <c r="R42" s="20">
        <f t="shared" si="5"/>
        <v>35</v>
      </c>
    </row>
    <row r="43" spans="1:18" ht="18" customHeight="1">
      <c r="A43" s="19">
        <v>37</v>
      </c>
      <c r="B43" s="2" t="s">
        <v>4465</v>
      </c>
      <c r="C43" s="1">
        <v>4232683</v>
      </c>
      <c r="D43" s="3" t="s">
        <v>4466</v>
      </c>
      <c r="E43" s="1" t="s">
        <v>61</v>
      </c>
      <c r="F43" s="10" t="s">
        <v>4411</v>
      </c>
      <c r="G43" s="2">
        <v>18</v>
      </c>
      <c r="H43" s="6">
        <v>40</v>
      </c>
      <c r="I43" s="6">
        <v>80</v>
      </c>
      <c r="J43" s="6">
        <v>36</v>
      </c>
      <c r="K43" s="6">
        <v>56</v>
      </c>
      <c r="L43" s="6">
        <v>32</v>
      </c>
      <c r="M43" s="6">
        <v>44</v>
      </c>
      <c r="N43" s="6">
        <v>80</v>
      </c>
      <c r="O43" s="6">
        <v>28</v>
      </c>
      <c r="P43" s="1">
        <f t="shared" si="3"/>
        <v>396</v>
      </c>
      <c r="Q43" s="14">
        <f t="shared" si="4"/>
        <v>49.5</v>
      </c>
      <c r="R43" s="20">
        <f t="shared" si="5"/>
        <v>37</v>
      </c>
    </row>
    <row r="44" spans="1:18" ht="18" customHeight="1">
      <c r="A44" s="19">
        <v>38</v>
      </c>
      <c r="B44" s="2" t="s">
        <v>4495</v>
      </c>
      <c r="C44" s="1">
        <v>311230113</v>
      </c>
      <c r="D44" s="3" t="s">
        <v>4496</v>
      </c>
      <c r="E44" s="1" t="s">
        <v>78</v>
      </c>
      <c r="F44" s="10" t="s">
        <v>4411</v>
      </c>
      <c r="G44" s="2">
        <v>18</v>
      </c>
      <c r="H44" s="6">
        <v>32</v>
      </c>
      <c r="I44" s="6">
        <v>100</v>
      </c>
      <c r="J44" s="6">
        <v>32</v>
      </c>
      <c r="K44" s="6">
        <v>64</v>
      </c>
      <c r="L44" s="6">
        <v>40</v>
      </c>
      <c r="M44" s="6">
        <v>12</v>
      </c>
      <c r="N44" s="6">
        <v>92</v>
      </c>
      <c r="O44" s="6">
        <v>24</v>
      </c>
      <c r="P44" s="1">
        <f t="shared" si="3"/>
        <v>396</v>
      </c>
      <c r="Q44" s="14">
        <f t="shared" si="4"/>
        <v>49.5</v>
      </c>
      <c r="R44" s="20">
        <f t="shared" si="5"/>
        <v>37</v>
      </c>
    </row>
    <row r="45" spans="1:18" ht="18" customHeight="1">
      <c r="A45" s="19">
        <v>39</v>
      </c>
      <c r="B45" s="2" t="s">
        <v>4434</v>
      </c>
      <c r="C45" s="1">
        <v>311230095</v>
      </c>
      <c r="D45" s="3" t="s">
        <v>4435</v>
      </c>
      <c r="E45" s="1" t="s">
        <v>79</v>
      </c>
      <c r="F45" s="10" t="s">
        <v>4411</v>
      </c>
      <c r="G45" s="2">
        <v>17</v>
      </c>
      <c r="H45" s="6">
        <v>24</v>
      </c>
      <c r="I45" s="6">
        <v>100</v>
      </c>
      <c r="J45" s="6">
        <v>44</v>
      </c>
      <c r="K45" s="6">
        <v>36</v>
      </c>
      <c r="L45" s="6">
        <v>52</v>
      </c>
      <c r="M45" s="6">
        <v>52</v>
      </c>
      <c r="N45" s="6">
        <v>72</v>
      </c>
      <c r="O45" s="6">
        <v>12</v>
      </c>
      <c r="P45" s="1">
        <f t="shared" si="3"/>
        <v>392</v>
      </c>
      <c r="Q45" s="14">
        <f t="shared" si="4"/>
        <v>49</v>
      </c>
      <c r="R45" s="20">
        <f t="shared" si="5"/>
        <v>39</v>
      </c>
    </row>
    <row r="46" spans="1:18" ht="18" customHeight="1">
      <c r="A46" s="19">
        <v>40</v>
      </c>
      <c r="B46" s="2" t="s">
        <v>4526</v>
      </c>
      <c r="C46" s="1" t="s">
        <v>543</v>
      </c>
      <c r="D46" s="3" t="s">
        <v>4527</v>
      </c>
      <c r="E46" s="1" t="s">
        <v>82</v>
      </c>
      <c r="F46" s="10" t="s">
        <v>4411</v>
      </c>
      <c r="G46" s="2">
        <v>19</v>
      </c>
      <c r="H46" s="6">
        <v>44</v>
      </c>
      <c r="I46" s="6">
        <v>95</v>
      </c>
      <c r="J46" s="6">
        <v>32</v>
      </c>
      <c r="K46" s="6">
        <v>52</v>
      </c>
      <c r="L46" s="6">
        <v>32</v>
      </c>
      <c r="M46" s="6">
        <v>36</v>
      </c>
      <c r="N46" s="6">
        <v>68</v>
      </c>
      <c r="O46" s="6">
        <v>28</v>
      </c>
      <c r="P46" s="1">
        <f t="shared" si="3"/>
        <v>387</v>
      </c>
      <c r="Q46" s="14">
        <f t="shared" si="4"/>
        <v>48.375</v>
      </c>
      <c r="R46" s="20">
        <f t="shared" si="5"/>
        <v>40</v>
      </c>
    </row>
    <row r="47" spans="1:18" ht="18" customHeight="1">
      <c r="A47" s="19">
        <v>41</v>
      </c>
      <c r="B47" s="2" t="s">
        <v>4458</v>
      </c>
      <c r="C47" s="1" t="s">
        <v>4459</v>
      </c>
      <c r="D47" s="3" t="s">
        <v>4460</v>
      </c>
      <c r="E47" s="1" t="s">
        <v>59</v>
      </c>
      <c r="F47" s="10" t="s">
        <v>4411</v>
      </c>
      <c r="G47" s="2">
        <v>17</v>
      </c>
      <c r="H47" s="6">
        <v>20</v>
      </c>
      <c r="I47" s="6">
        <v>95</v>
      </c>
      <c r="J47" s="6">
        <v>28</v>
      </c>
      <c r="K47" s="6">
        <v>56</v>
      </c>
      <c r="L47" s="6">
        <v>36</v>
      </c>
      <c r="M47" s="6">
        <v>44</v>
      </c>
      <c r="N47" s="6">
        <v>56</v>
      </c>
      <c r="O47" s="6">
        <v>48</v>
      </c>
      <c r="P47" s="1">
        <f t="shared" si="3"/>
        <v>383</v>
      </c>
      <c r="Q47" s="14">
        <f t="shared" si="4"/>
        <v>47.875</v>
      </c>
      <c r="R47" s="20">
        <f t="shared" si="5"/>
        <v>41</v>
      </c>
    </row>
    <row r="48" spans="1:18" ht="18" customHeight="1">
      <c r="A48" s="19">
        <v>42</v>
      </c>
      <c r="B48" s="2" t="s">
        <v>4520</v>
      </c>
      <c r="C48" s="1">
        <v>311230108</v>
      </c>
      <c r="D48" s="3" t="s">
        <v>4521</v>
      </c>
      <c r="E48" s="1" t="s">
        <v>4125</v>
      </c>
      <c r="F48" s="10" t="s">
        <v>4411</v>
      </c>
      <c r="G48" s="2">
        <v>19</v>
      </c>
      <c r="H48" s="6">
        <v>20</v>
      </c>
      <c r="I48" s="6">
        <v>85</v>
      </c>
      <c r="J48" s="6">
        <v>24</v>
      </c>
      <c r="K48" s="6">
        <v>48</v>
      </c>
      <c r="L48" s="6">
        <v>48</v>
      </c>
      <c r="M48" s="6">
        <v>60</v>
      </c>
      <c r="N48" s="6">
        <v>64</v>
      </c>
      <c r="O48" s="6">
        <v>28</v>
      </c>
      <c r="P48" s="1">
        <f t="shared" si="3"/>
        <v>377</v>
      </c>
      <c r="Q48" s="14">
        <f t="shared" si="4"/>
        <v>47.125</v>
      </c>
      <c r="R48" s="20">
        <f t="shared" si="5"/>
        <v>42</v>
      </c>
    </row>
    <row r="49" spans="1:18" ht="18" customHeight="1">
      <c r="A49" s="19">
        <v>43</v>
      </c>
      <c r="B49" s="2" t="s">
        <v>4420</v>
      </c>
      <c r="C49" s="1">
        <v>4032260</v>
      </c>
      <c r="D49" s="3" t="s">
        <v>4421</v>
      </c>
      <c r="E49" s="1" t="s">
        <v>75</v>
      </c>
      <c r="F49" s="10" t="s">
        <v>4411</v>
      </c>
      <c r="G49" s="2">
        <v>16</v>
      </c>
      <c r="H49" s="6">
        <v>56</v>
      </c>
      <c r="I49" s="6">
        <v>100</v>
      </c>
      <c r="J49" s="6">
        <v>40</v>
      </c>
      <c r="K49" s="6">
        <v>56</v>
      </c>
      <c r="L49" s="6">
        <v>40</v>
      </c>
      <c r="M49" s="6">
        <v>8</v>
      </c>
      <c r="N49" s="6">
        <v>76</v>
      </c>
      <c r="O49" s="6">
        <v>0</v>
      </c>
      <c r="P49" s="1">
        <f t="shared" si="3"/>
        <v>376</v>
      </c>
      <c r="Q49" s="14">
        <f t="shared" si="4"/>
        <v>47</v>
      </c>
      <c r="R49" s="20">
        <f t="shared" si="5"/>
        <v>43</v>
      </c>
    </row>
    <row r="50" spans="1:18" ht="18" customHeight="1">
      <c r="A50" s="19">
        <v>44</v>
      </c>
      <c r="B50" s="2" t="s">
        <v>4504</v>
      </c>
      <c r="C50" s="1" t="s">
        <v>4505</v>
      </c>
      <c r="D50" s="3" t="s">
        <v>4506</v>
      </c>
      <c r="E50" s="1" t="s">
        <v>90</v>
      </c>
      <c r="F50" s="10" t="s">
        <v>4411</v>
      </c>
      <c r="G50" s="2">
        <v>19</v>
      </c>
      <c r="H50" s="6">
        <v>48</v>
      </c>
      <c r="I50" s="6">
        <v>100</v>
      </c>
      <c r="J50" s="6">
        <v>48</v>
      </c>
      <c r="K50" s="6">
        <v>36</v>
      </c>
      <c r="L50" s="6">
        <v>16</v>
      </c>
      <c r="M50" s="6">
        <v>36</v>
      </c>
      <c r="N50" s="6">
        <v>64</v>
      </c>
      <c r="O50" s="6">
        <v>28</v>
      </c>
      <c r="P50" s="1">
        <f t="shared" si="3"/>
        <v>376</v>
      </c>
      <c r="Q50" s="14">
        <f t="shared" si="4"/>
        <v>47</v>
      </c>
      <c r="R50" s="20">
        <f t="shared" si="5"/>
        <v>43</v>
      </c>
    </row>
    <row r="51" spans="1:18" ht="18" customHeight="1">
      <c r="A51" s="19">
        <v>45</v>
      </c>
      <c r="B51" s="2" t="s">
        <v>4451</v>
      </c>
      <c r="C51" s="1">
        <v>4232691</v>
      </c>
      <c r="D51" s="3" t="s">
        <v>4452</v>
      </c>
      <c r="E51" s="1" t="s">
        <v>56</v>
      </c>
      <c r="F51" s="10" t="s">
        <v>4411</v>
      </c>
      <c r="G51" s="2">
        <v>17</v>
      </c>
      <c r="H51" s="6">
        <v>48</v>
      </c>
      <c r="I51" s="6">
        <v>95</v>
      </c>
      <c r="J51" s="6">
        <v>44</v>
      </c>
      <c r="K51" s="6">
        <v>48</v>
      </c>
      <c r="L51" s="6">
        <v>36</v>
      </c>
      <c r="M51" s="6">
        <v>16</v>
      </c>
      <c r="N51" s="6">
        <v>72</v>
      </c>
      <c r="O51" s="6">
        <v>16</v>
      </c>
      <c r="P51" s="1">
        <f t="shared" si="3"/>
        <v>375</v>
      </c>
      <c r="Q51" s="14">
        <f t="shared" si="4"/>
        <v>46.875</v>
      </c>
      <c r="R51" s="20">
        <f t="shared" si="5"/>
        <v>45</v>
      </c>
    </row>
    <row r="52" spans="1:18" ht="18" customHeight="1">
      <c r="A52" s="19">
        <v>46</v>
      </c>
      <c r="B52" s="2" t="s">
        <v>4512</v>
      </c>
      <c r="C52" s="1">
        <v>4232774</v>
      </c>
      <c r="D52" s="3" t="s">
        <v>4513</v>
      </c>
      <c r="E52" s="1" t="s">
        <v>88</v>
      </c>
      <c r="F52" s="10" t="s">
        <v>4411</v>
      </c>
      <c r="G52" s="2">
        <v>19</v>
      </c>
      <c r="H52" s="6">
        <v>44</v>
      </c>
      <c r="I52" s="6">
        <v>85</v>
      </c>
      <c r="J52" s="6">
        <v>24</v>
      </c>
      <c r="K52" s="6">
        <v>60</v>
      </c>
      <c r="L52" s="6">
        <v>40</v>
      </c>
      <c r="M52" s="6">
        <v>16</v>
      </c>
      <c r="N52" s="6">
        <v>80</v>
      </c>
      <c r="O52" s="6">
        <v>20</v>
      </c>
      <c r="P52" s="1">
        <f t="shared" si="3"/>
        <v>369</v>
      </c>
      <c r="Q52" s="14">
        <f t="shared" si="4"/>
        <v>46.125</v>
      </c>
      <c r="R52" s="20">
        <f t="shared" si="5"/>
        <v>46</v>
      </c>
    </row>
    <row r="53" spans="1:18" ht="18" customHeight="1">
      <c r="A53" s="19">
        <v>47</v>
      </c>
      <c r="B53" s="2" t="s">
        <v>4471</v>
      </c>
      <c r="C53" s="1">
        <v>311220765</v>
      </c>
      <c r="D53" s="3" t="s">
        <v>4472</v>
      </c>
      <c r="E53" s="1" t="s">
        <v>62</v>
      </c>
      <c r="F53" s="10" t="s">
        <v>4411</v>
      </c>
      <c r="G53" s="2">
        <v>18</v>
      </c>
      <c r="H53" s="6">
        <v>28</v>
      </c>
      <c r="I53" s="6">
        <v>95</v>
      </c>
      <c r="J53" s="6">
        <v>32</v>
      </c>
      <c r="K53" s="6">
        <v>56</v>
      </c>
      <c r="L53" s="6">
        <v>20</v>
      </c>
      <c r="M53" s="6">
        <v>36</v>
      </c>
      <c r="N53" s="6">
        <v>72</v>
      </c>
      <c r="O53" s="6">
        <v>24</v>
      </c>
      <c r="P53" s="1">
        <f t="shared" si="3"/>
        <v>363</v>
      </c>
      <c r="Q53" s="14">
        <f t="shared" si="4"/>
        <v>45.375</v>
      </c>
      <c r="R53" s="20">
        <f t="shared" si="5"/>
        <v>47</v>
      </c>
    </row>
    <row r="54" spans="1:18" ht="18" customHeight="1">
      <c r="A54" s="19">
        <v>48</v>
      </c>
      <c r="B54" s="2" t="s">
        <v>4473</v>
      </c>
      <c r="C54" s="1">
        <v>4232831</v>
      </c>
      <c r="D54" s="3" t="s">
        <v>4474</v>
      </c>
      <c r="E54" s="1" t="s">
        <v>62</v>
      </c>
      <c r="F54" s="10" t="s">
        <v>4411</v>
      </c>
      <c r="G54" s="2">
        <v>18</v>
      </c>
      <c r="H54" s="6">
        <v>20</v>
      </c>
      <c r="I54" s="6">
        <v>100</v>
      </c>
      <c r="J54" s="6">
        <v>52</v>
      </c>
      <c r="K54" s="6">
        <v>48</v>
      </c>
      <c r="L54" s="6">
        <v>36</v>
      </c>
      <c r="M54" s="6">
        <v>24</v>
      </c>
      <c r="N54" s="6">
        <v>52</v>
      </c>
      <c r="O54" s="6">
        <v>20</v>
      </c>
      <c r="P54" s="1">
        <f t="shared" si="3"/>
        <v>352</v>
      </c>
      <c r="Q54" s="14">
        <f t="shared" si="4"/>
        <v>44</v>
      </c>
      <c r="R54" s="20">
        <f t="shared" si="5"/>
        <v>48</v>
      </c>
    </row>
    <row r="55" spans="1:18" ht="18" customHeight="1">
      <c r="A55" s="19">
        <v>49</v>
      </c>
      <c r="B55" s="2" t="s">
        <v>4507</v>
      </c>
      <c r="C55" s="1" t="s">
        <v>4508</v>
      </c>
      <c r="D55" s="3" t="s">
        <v>4509</v>
      </c>
      <c r="E55" s="1" t="s">
        <v>88</v>
      </c>
      <c r="F55" s="10" t="s">
        <v>4411</v>
      </c>
      <c r="G55" s="2">
        <v>19</v>
      </c>
      <c r="H55" s="6">
        <v>16</v>
      </c>
      <c r="I55" s="6">
        <v>80</v>
      </c>
      <c r="J55" s="6">
        <v>36</v>
      </c>
      <c r="K55" s="6">
        <v>76</v>
      </c>
      <c r="L55" s="6">
        <v>36</v>
      </c>
      <c r="M55" s="6">
        <v>28</v>
      </c>
      <c r="N55" s="6">
        <v>52</v>
      </c>
      <c r="O55" s="6">
        <v>28</v>
      </c>
      <c r="P55" s="1">
        <f t="shared" si="3"/>
        <v>352</v>
      </c>
      <c r="Q55" s="14">
        <f t="shared" si="4"/>
        <v>44</v>
      </c>
      <c r="R55" s="20">
        <f t="shared" si="5"/>
        <v>48</v>
      </c>
    </row>
    <row r="56" spans="1:18" ht="18" customHeight="1">
      <c r="A56" s="19">
        <v>50</v>
      </c>
      <c r="B56" s="2" t="s">
        <v>4447</v>
      </c>
      <c r="C56" s="1">
        <v>4232918</v>
      </c>
      <c r="D56" s="3" t="s">
        <v>4448</v>
      </c>
      <c r="E56" s="1" t="s">
        <v>70</v>
      </c>
      <c r="F56" s="10" t="s">
        <v>4411</v>
      </c>
      <c r="G56" s="2">
        <v>17</v>
      </c>
      <c r="H56" s="6">
        <v>36</v>
      </c>
      <c r="I56" s="6">
        <v>90</v>
      </c>
      <c r="J56" s="6">
        <v>12</v>
      </c>
      <c r="K56" s="6">
        <v>44</v>
      </c>
      <c r="L56" s="6">
        <v>28</v>
      </c>
      <c r="M56" s="6">
        <v>24</v>
      </c>
      <c r="N56" s="6">
        <v>84</v>
      </c>
      <c r="O56" s="6">
        <v>12</v>
      </c>
      <c r="P56" s="1">
        <f t="shared" si="3"/>
        <v>330</v>
      </c>
      <c r="Q56" s="14">
        <f t="shared" si="4"/>
        <v>41.25</v>
      </c>
      <c r="R56" s="20">
        <f t="shared" si="5"/>
        <v>50</v>
      </c>
    </row>
    <row r="57" spans="1:18" ht="18" customHeight="1">
      <c r="A57" s="19">
        <v>51</v>
      </c>
      <c r="B57" s="2" t="s">
        <v>4534</v>
      </c>
      <c r="C57" s="1" t="s">
        <v>4535</v>
      </c>
      <c r="D57" s="3" t="s">
        <v>4536</v>
      </c>
      <c r="E57" s="1" t="s">
        <v>76</v>
      </c>
      <c r="F57" s="10" t="s">
        <v>4411</v>
      </c>
      <c r="G57" s="2">
        <v>20</v>
      </c>
      <c r="H57" s="6">
        <v>12</v>
      </c>
      <c r="I57" s="6">
        <v>40</v>
      </c>
      <c r="J57" s="6">
        <v>40</v>
      </c>
      <c r="K57" s="6">
        <v>40</v>
      </c>
      <c r="L57" s="6">
        <v>36</v>
      </c>
      <c r="M57" s="6">
        <v>36</v>
      </c>
      <c r="N57" s="6">
        <v>48</v>
      </c>
      <c r="O57" s="6">
        <v>32</v>
      </c>
      <c r="P57" s="1">
        <f t="shared" si="3"/>
        <v>284</v>
      </c>
      <c r="Q57" s="14">
        <f t="shared" si="4"/>
        <v>35.5</v>
      </c>
      <c r="R57" s="20">
        <f t="shared" si="5"/>
        <v>51</v>
      </c>
    </row>
    <row r="58" spans="1:18" ht="18" customHeight="1">
      <c r="A58" s="19">
        <v>52</v>
      </c>
      <c r="B58" s="2" t="s">
        <v>4524</v>
      </c>
      <c r="C58" s="1">
        <v>4232922</v>
      </c>
      <c r="D58" s="3" t="s">
        <v>4525</v>
      </c>
      <c r="E58" s="1" t="s">
        <v>2075</v>
      </c>
      <c r="F58" s="10" t="s">
        <v>4411</v>
      </c>
      <c r="G58" s="2">
        <v>19</v>
      </c>
      <c r="H58" s="6">
        <v>16</v>
      </c>
      <c r="I58" s="6">
        <v>100</v>
      </c>
      <c r="J58" s="6">
        <v>28</v>
      </c>
      <c r="K58" s="6">
        <v>16</v>
      </c>
      <c r="L58" s="6">
        <v>48</v>
      </c>
      <c r="M58" s="6">
        <v>16</v>
      </c>
      <c r="N58" s="6">
        <v>36</v>
      </c>
      <c r="O58" s="6">
        <v>20</v>
      </c>
      <c r="P58" s="1">
        <f t="shared" si="3"/>
        <v>280</v>
      </c>
      <c r="Q58" s="14">
        <f t="shared" si="4"/>
        <v>35</v>
      </c>
      <c r="R58" s="20">
        <f t="shared" si="5"/>
        <v>52</v>
      </c>
    </row>
    <row r="59" spans="1:18" ht="18" customHeight="1">
      <c r="A59" s="19">
        <v>53</v>
      </c>
      <c r="B59" s="2" t="s">
        <v>4475</v>
      </c>
      <c r="C59" s="1" t="s">
        <v>4476</v>
      </c>
      <c r="D59" s="3" t="s">
        <v>4477</v>
      </c>
      <c r="E59" s="1" t="s">
        <v>62</v>
      </c>
      <c r="F59" s="10" t="s">
        <v>4411</v>
      </c>
      <c r="G59" s="2">
        <v>18</v>
      </c>
      <c r="H59" s="6">
        <v>12</v>
      </c>
      <c r="I59" s="6">
        <v>65</v>
      </c>
      <c r="J59" s="6">
        <v>16</v>
      </c>
      <c r="K59" s="6">
        <v>40</v>
      </c>
      <c r="L59" s="6">
        <v>16</v>
      </c>
      <c r="M59" s="6">
        <v>32</v>
      </c>
      <c r="N59" s="6">
        <v>72</v>
      </c>
      <c r="O59" s="6">
        <v>20</v>
      </c>
      <c r="P59" s="1">
        <f t="shared" si="3"/>
        <v>273</v>
      </c>
      <c r="Q59" s="14">
        <f t="shared" si="4"/>
        <v>34.125</v>
      </c>
      <c r="R59" s="20">
        <f t="shared" si="5"/>
        <v>53</v>
      </c>
    </row>
    <row r="60" spans="1:18" ht="18" customHeight="1">
      <c r="A60" s="19">
        <v>54</v>
      </c>
      <c r="B60" s="2" t="s">
        <v>4427</v>
      </c>
      <c r="C60" s="1" t="s">
        <v>4428</v>
      </c>
      <c r="D60" s="3" t="s">
        <v>4429</v>
      </c>
      <c r="E60" s="1" t="s">
        <v>69</v>
      </c>
      <c r="F60" s="10" t="s">
        <v>4411</v>
      </c>
      <c r="G60" s="2">
        <v>16</v>
      </c>
      <c r="H60" s="6">
        <v>12</v>
      </c>
      <c r="I60" s="6">
        <v>70</v>
      </c>
      <c r="J60" s="6">
        <v>48</v>
      </c>
      <c r="K60" s="6">
        <v>24</v>
      </c>
      <c r="L60" s="6">
        <v>24</v>
      </c>
      <c r="M60" s="6">
        <v>16</v>
      </c>
      <c r="N60" s="6">
        <v>52</v>
      </c>
      <c r="O60" s="6">
        <v>24</v>
      </c>
      <c r="P60" s="1">
        <f t="shared" si="3"/>
        <v>270</v>
      </c>
      <c r="Q60" s="14">
        <f t="shared" si="4"/>
        <v>33.75</v>
      </c>
      <c r="R60" s="20">
        <f t="shared" si="5"/>
        <v>54</v>
      </c>
    </row>
    <row r="61" spans="1:18" ht="18" customHeight="1">
      <c r="A61" s="19">
        <v>55</v>
      </c>
      <c r="B61" s="2" t="s">
        <v>4412</v>
      </c>
      <c r="C61" s="1">
        <v>4232552</v>
      </c>
      <c r="D61" s="3" t="s">
        <v>4413</v>
      </c>
      <c r="E61" s="1" t="s">
        <v>78</v>
      </c>
      <c r="F61" s="10" t="s">
        <v>4411</v>
      </c>
      <c r="G61" s="2">
        <v>16</v>
      </c>
      <c r="H61" s="6">
        <v>24</v>
      </c>
      <c r="I61" s="6">
        <v>100</v>
      </c>
      <c r="J61" s="6">
        <v>20</v>
      </c>
      <c r="K61" s="6">
        <v>40</v>
      </c>
      <c r="L61" s="6">
        <v>8</v>
      </c>
      <c r="M61" s="6">
        <v>12</v>
      </c>
      <c r="N61" s="6">
        <v>48</v>
      </c>
      <c r="O61" s="6">
        <v>12</v>
      </c>
      <c r="P61" s="1">
        <f t="shared" si="3"/>
        <v>264</v>
      </c>
      <c r="Q61" s="14">
        <f t="shared" si="4"/>
        <v>33</v>
      </c>
      <c r="R61" s="20">
        <f t="shared" si="5"/>
        <v>55</v>
      </c>
    </row>
    <row r="62" spans="1:18" ht="18" customHeight="1">
      <c r="A62" s="19">
        <v>56</v>
      </c>
      <c r="B62" s="2" t="s">
        <v>4409</v>
      </c>
      <c r="C62" s="1">
        <v>4232675</v>
      </c>
      <c r="D62" s="3" t="s">
        <v>4410</v>
      </c>
      <c r="E62" s="1" t="s">
        <v>78</v>
      </c>
      <c r="F62" s="10" t="s">
        <v>4411</v>
      </c>
      <c r="G62" s="2">
        <v>16</v>
      </c>
      <c r="H62" s="6">
        <v>12</v>
      </c>
      <c r="I62" s="6">
        <v>100</v>
      </c>
      <c r="J62" s="6">
        <v>16</v>
      </c>
      <c r="K62" s="6">
        <v>40</v>
      </c>
      <c r="L62" s="6">
        <v>4</v>
      </c>
      <c r="M62" s="6">
        <v>32</v>
      </c>
      <c r="N62" s="6">
        <v>44</v>
      </c>
      <c r="O62" s="6">
        <v>4</v>
      </c>
      <c r="P62" s="1">
        <f t="shared" si="3"/>
        <v>252</v>
      </c>
      <c r="Q62" s="14">
        <f t="shared" si="4"/>
        <v>31.5</v>
      </c>
      <c r="R62" s="20">
        <f t="shared" si="5"/>
        <v>56</v>
      </c>
    </row>
    <row r="63" spans="1:18" ht="18" customHeight="1">
      <c r="A63" s="19">
        <v>57</v>
      </c>
      <c r="B63" s="2" t="s">
        <v>4456</v>
      </c>
      <c r="C63" s="1">
        <v>4232624</v>
      </c>
      <c r="D63" s="3" t="s">
        <v>4457</v>
      </c>
      <c r="E63" s="1" t="s">
        <v>56</v>
      </c>
      <c r="F63" s="10" t="s">
        <v>4411</v>
      </c>
      <c r="G63" s="2">
        <v>17</v>
      </c>
      <c r="H63" s="6"/>
      <c r="I63" s="6"/>
      <c r="J63" s="6"/>
      <c r="K63" s="6"/>
      <c r="L63" s="6"/>
      <c r="M63" s="6">
        <v>40</v>
      </c>
      <c r="N63" s="6">
        <v>80</v>
      </c>
      <c r="O63" s="6"/>
      <c r="P63" s="1">
        <f t="shared" si="3"/>
        <v>120</v>
      </c>
      <c r="Q63" s="14">
        <f t="shared" si="4"/>
        <v>15</v>
      </c>
      <c r="R63" s="20">
        <f t="shared" si="5"/>
        <v>57</v>
      </c>
    </row>
    <row r="64" spans="1:18" ht="18" customHeight="1">
      <c r="A64" s="19">
        <v>58</v>
      </c>
      <c r="B64" s="2" t="s">
        <v>4438</v>
      </c>
      <c r="C64" s="1" t="s">
        <v>4439</v>
      </c>
      <c r="D64" s="3" t="s">
        <v>4440</v>
      </c>
      <c r="E64" s="1" t="s">
        <v>79</v>
      </c>
      <c r="F64" s="10" t="s">
        <v>4411</v>
      </c>
      <c r="G64" s="2">
        <v>17</v>
      </c>
      <c r="H64" s="6"/>
      <c r="I64" s="6"/>
      <c r="J64" s="6"/>
      <c r="K64" s="6"/>
      <c r="L64" s="6"/>
      <c r="M64" s="6"/>
      <c r="N64" s="6"/>
      <c r="O64" s="6"/>
      <c r="P64" s="1">
        <f t="shared" si="3"/>
        <v>0</v>
      </c>
      <c r="Q64" s="14">
        <f t="shared" si="4"/>
        <v>0</v>
      </c>
      <c r="R64" s="20">
        <f t="shared" si="5"/>
        <v>58</v>
      </c>
    </row>
    <row r="65" spans="1:18" ht="18" customHeight="1">
      <c r="A65" s="19">
        <v>59</v>
      </c>
      <c r="B65" s="28" t="s">
        <v>4491</v>
      </c>
      <c r="C65" s="29">
        <v>4232692</v>
      </c>
      <c r="D65" s="30" t="s">
        <v>4492</v>
      </c>
      <c r="E65" s="29" t="s">
        <v>63</v>
      </c>
      <c r="F65" s="31" t="s">
        <v>4411</v>
      </c>
      <c r="G65" s="28">
        <v>18</v>
      </c>
      <c r="H65" s="46"/>
      <c r="I65" s="46"/>
      <c r="J65" s="46"/>
      <c r="K65" s="46"/>
      <c r="L65" s="46"/>
      <c r="M65" s="46"/>
      <c r="N65" s="46"/>
      <c r="O65" s="46"/>
      <c r="P65" s="29">
        <f t="shared" si="3"/>
        <v>0</v>
      </c>
      <c r="Q65" s="41">
        <f t="shared" si="4"/>
        <v>0</v>
      </c>
      <c r="R65" s="33">
        <f t="shared" si="5"/>
        <v>58</v>
      </c>
    </row>
  </sheetData>
  <mergeCells count="4">
    <mergeCell ref="A1:P1"/>
    <mergeCell ref="A2:P2"/>
    <mergeCell ref="A3:P3"/>
    <mergeCell ref="A5:B5"/>
  </mergeCells>
  <conditionalFormatting sqref="H7:L7">
    <cfRule type="cellIs" dxfId="2172" priority="294" operator="lessThan">
      <formula>5</formula>
    </cfRule>
  </conditionalFormatting>
  <conditionalFormatting sqref="M7:O7">
    <cfRule type="cellIs" dxfId="2171" priority="295" operator="lessThan">
      <formula>5</formula>
    </cfRule>
  </conditionalFormatting>
  <conditionalFormatting sqref="H7:O7">
    <cfRule type="expression" dxfId="2170" priority="293">
      <formula>5</formula>
    </cfRule>
  </conditionalFormatting>
  <conditionalFormatting sqref="H7:O7">
    <cfRule type="cellIs" dxfId="2169" priority="292" operator="lessThan">
      <formula>50</formula>
    </cfRule>
  </conditionalFormatting>
  <conditionalFormatting sqref="Q7">
    <cfRule type="cellIs" dxfId="2168" priority="291" operator="lessThan">
      <formula>50</formula>
    </cfRule>
  </conditionalFormatting>
  <conditionalFormatting sqref="H8:L8">
    <cfRule type="cellIs" dxfId="2167" priority="289" operator="lessThan">
      <formula>5</formula>
    </cfRule>
  </conditionalFormatting>
  <conditionalFormatting sqref="M8:O8">
    <cfRule type="cellIs" dxfId="2166" priority="290" operator="lessThan">
      <formula>5</formula>
    </cfRule>
  </conditionalFormatting>
  <conditionalFormatting sqref="H8:O8">
    <cfRule type="expression" dxfId="2165" priority="288">
      <formula>5</formula>
    </cfRule>
  </conditionalFormatting>
  <conditionalFormatting sqref="H8:O8">
    <cfRule type="cellIs" dxfId="2164" priority="287" operator="lessThan">
      <formula>50</formula>
    </cfRule>
  </conditionalFormatting>
  <conditionalFormatting sqref="Q8">
    <cfRule type="cellIs" dxfId="2163" priority="286" operator="lessThan">
      <formula>50</formula>
    </cfRule>
  </conditionalFormatting>
  <conditionalFormatting sqref="H9:L9">
    <cfRule type="cellIs" dxfId="2162" priority="284" operator="lessThan">
      <formula>5</formula>
    </cfRule>
  </conditionalFormatting>
  <conditionalFormatting sqref="M9:O9">
    <cfRule type="cellIs" dxfId="2161" priority="285" operator="lessThan">
      <formula>5</formula>
    </cfRule>
  </conditionalFormatting>
  <conditionalFormatting sqref="H9:O9">
    <cfRule type="expression" dxfId="2160" priority="283">
      <formula>5</formula>
    </cfRule>
  </conditionalFormatting>
  <conditionalFormatting sqref="H9:O9">
    <cfRule type="cellIs" dxfId="2159" priority="282" operator="lessThan">
      <formula>50</formula>
    </cfRule>
  </conditionalFormatting>
  <conditionalFormatting sqref="Q9">
    <cfRule type="cellIs" dxfId="2158" priority="281" operator="lessThan">
      <formula>50</formula>
    </cfRule>
  </conditionalFormatting>
  <conditionalFormatting sqref="H10:L10">
    <cfRule type="cellIs" dxfId="2157" priority="279" operator="lessThan">
      <formula>5</formula>
    </cfRule>
  </conditionalFormatting>
  <conditionalFormatting sqref="M10:O10">
    <cfRule type="cellIs" dxfId="2156" priority="280" operator="lessThan">
      <formula>5</formula>
    </cfRule>
  </conditionalFormatting>
  <conditionalFormatting sqref="H10:O10">
    <cfRule type="expression" dxfId="2155" priority="278">
      <formula>5</formula>
    </cfRule>
  </conditionalFormatting>
  <conditionalFormatting sqref="H10:O10">
    <cfRule type="cellIs" dxfId="2154" priority="277" operator="lessThan">
      <formula>50</formula>
    </cfRule>
  </conditionalFormatting>
  <conditionalFormatting sqref="Q10">
    <cfRule type="cellIs" dxfId="2153" priority="276" operator="lessThan">
      <formula>50</formula>
    </cfRule>
  </conditionalFormatting>
  <conditionalFormatting sqref="H11:L11">
    <cfRule type="cellIs" dxfId="2152" priority="274" operator="lessThan">
      <formula>5</formula>
    </cfRule>
  </conditionalFormatting>
  <conditionalFormatting sqref="M11:O11">
    <cfRule type="cellIs" dxfId="2151" priority="275" operator="lessThan">
      <formula>5</formula>
    </cfRule>
  </conditionalFormatting>
  <conditionalFormatting sqref="H11:O11">
    <cfRule type="expression" dxfId="2150" priority="273">
      <formula>5</formula>
    </cfRule>
  </conditionalFormatting>
  <conditionalFormatting sqref="H11:O11">
    <cfRule type="cellIs" dxfId="2149" priority="272" operator="lessThan">
      <formula>50</formula>
    </cfRule>
  </conditionalFormatting>
  <conditionalFormatting sqref="Q11">
    <cfRule type="cellIs" dxfId="2148" priority="271" operator="lessThan">
      <formula>50</formula>
    </cfRule>
  </conditionalFormatting>
  <conditionalFormatting sqref="H12:L12">
    <cfRule type="cellIs" dxfId="2147" priority="269" operator="lessThan">
      <formula>5</formula>
    </cfRule>
  </conditionalFormatting>
  <conditionalFormatting sqref="M12:O12">
    <cfRule type="cellIs" dxfId="2146" priority="270" operator="lessThan">
      <formula>5</formula>
    </cfRule>
  </conditionalFormatting>
  <conditionalFormatting sqref="H12:O12">
    <cfRule type="expression" dxfId="2145" priority="268">
      <formula>5</formula>
    </cfRule>
  </conditionalFormatting>
  <conditionalFormatting sqref="H12:O12">
    <cfRule type="cellIs" dxfId="2144" priority="267" operator="lessThan">
      <formula>50</formula>
    </cfRule>
  </conditionalFormatting>
  <conditionalFormatting sqref="Q12">
    <cfRule type="cellIs" dxfId="2143" priority="266" operator="lessThan">
      <formula>50</formula>
    </cfRule>
  </conditionalFormatting>
  <conditionalFormatting sqref="H13:L13">
    <cfRule type="cellIs" dxfId="2142" priority="264" operator="lessThan">
      <formula>5</formula>
    </cfRule>
  </conditionalFormatting>
  <conditionalFormatting sqref="M13:O13">
    <cfRule type="cellIs" dxfId="2141" priority="265" operator="lessThan">
      <formula>5</formula>
    </cfRule>
  </conditionalFormatting>
  <conditionalFormatting sqref="H13:O13">
    <cfRule type="expression" dxfId="2140" priority="263">
      <formula>5</formula>
    </cfRule>
  </conditionalFormatting>
  <conditionalFormatting sqref="H13:O13">
    <cfRule type="cellIs" dxfId="2139" priority="262" operator="lessThan">
      <formula>50</formula>
    </cfRule>
  </conditionalFormatting>
  <conditionalFormatting sqref="Q13">
    <cfRule type="cellIs" dxfId="2138" priority="261" operator="lessThan">
      <formula>50</formula>
    </cfRule>
  </conditionalFormatting>
  <conditionalFormatting sqref="H14:L14">
    <cfRule type="cellIs" dxfId="2137" priority="259" operator="lessThan">
      <formula>5</formula>
    </cfRule>
  </conditionalFormatting>
  <conditionalFormatting sqref="M14:O14">
    <cfRule type="cellIs" dxfId="2136" priority="260" operator="lessThan">
      <formula>5</formula>
    </cfRule>
  </conditionalFormatting>
  <conditionalFormatting sqref="H14:O14">
    <cfRule type="expression" dxfId="2135" priority="258">
      <formula>5</formula>
    </cfRule>
  </conditionalFormatting>
  <conditionalFormatting sqref="H14:O14">
    <cfRule type="cellIs" dxfId="2134" priority="257" operator="lessThan">
      <formula>50</formula>
    </cfRule>
  </conditionalFormatting>
  <conditionalFormatting sqref="Q14">
    <cfRule type="cellIs" dxfId="2133" priority="256" operator="lessThan">
      <formula>50</formula>
    </cfRule>
  </conditionalFormatting>
  <conditionalFormatting sqref="H15:L15">
    <cfRule type="cellIs" dxfId="2132" priority="254" operator="lessThan">
      <formula>5</formula>
    </cfRule>
  </conditionalFormatting>
  <conditionalFormatting sqref="M15:O15">
    <cfRule type="cellIs" dxfId="2131" priority="255" operator="lessThan">
      <formula>5</formula>
    </cfRule>
  </conditionalFormatting>
  <conditionalFormatting sqref="H15:O15">
    <cfRule type="expression" dxfId="2130" priority="253">
      <formula>5</formula>
    </cfRule>
  </conditionalFormatting>
  <conditionalFormatting sqref="H15:O15">
    <cfRule type="cellIs" dxfId="2129" priority="252" operator="lessThan">
      <formula>50</formula>
    </cfRule>
  </conditionalFormatting>
  <conditionalFormatting sqref="Q15">
    <cfRule type="cellIs" dxfId="2128" priority="251" operator="lessThan">
      <formula>50</formula>
    </cfRule>
  </conditionalFormatting>
  <conditionalFormatting sqref="H16:L16">
    <cfRule type="cellIs" dxfId="2127" priority="249" operator="lessThan">
      <formula>5</formula>
    </cfRule>
  </conditionalFormatting>
  <conditionalFormatting sqref="M16:O16">
    <cfRule type="cellIs" dxfId="2126" priority="250" operator="lessThan">
      <formula>5</formula>
    </cfRule>
  </conditionalFormatting>
  <conditionalFormatting sqref="H16:O16">
    <cfRule type="expression" dxfId="2125" priority="248">
      <formula>5</formula>
    </cfRule>
  </conditionalFormatting>
  <conditionalFormatting sqref="H16:O16">
    <cfRule type="cellIs" dxfId="2124" priority="247" operator="lessThan">
      <formula>50</formula>
    </cfRule>
  </conditionalFormatting>
  <conditionalFormatting sqref="Q16">
    <cfRule type="cellIs" dxfId="2123" priority="246" operator="lessThan">
      <formula>50</formula>
    </cfRule>
  </conditionalFormatting>
  <conditionalFormatting sqref="H17:L17">
    <cfRule type="cellIs" dxfId="2122" priority="244" operator="lessThan">
      <formula>5</formula>
    </cfRule>
  </conditionalFormatting>
  <conditionalFormatting sqref="M17:O17">
    <cfRule type="cellIs" dxfId="2121" priority="245" operator="lessThan">
      <formula>5</formula>
    </cfRule>
  </conditionalFormatting>
  <conditionalFormatting sqref="H17:O17">
    <cfRule type="expression" dxfId="2120" priority="243">
      <formula>5</formula>
    </cfRule>
  </conditionalFormatting>
  <conditionalFormatting sqref="H17:O17">
    <cfRule type="cellIs" dxfId="2119" priority="242" operator="lessThan">
      <formula>50</formula>
    </cfRule>
  </conditionalFormatting>
  <conditionalFormatting sqref="Q17">
    <cfRule type="cellIs" dxfId="2118" priority="241" operator="lessThan">
      <formula>50</formula>
    </cfRule>
  </conditionalFormatting>
  <conditionalFormatting sqref="H18:L18">
    <cfRule type="cellIs" dxfId="2117" priority="239" operator="lessThan">
      <formula>5</formula>
    </cfRule>
  </conditionalFormatting>
  <conditionalFormatting sqref="M18:O18">
    <cfRule type="cellIs" dxfId="2116" priority="240" operator="lessThan">
      <formula>5</formula>
    </cfRule>
  </conditionalFormatting>
  <conditionalFormatting sqref="H18:O18">
    <cfRule type="expression" dxfId="2115" priority="238">
      <formula>5</formula>
    </cfRule>
  </conditionalFormatting>
  <conditionalFormatting sqref="H18:O18">
    <cfRule type="cellIs" dxfId="2114" priority="237" operator="lessThan">
      <formula>50</formula>
    </cfRule>
  </conditionalFormatting>
  <conditionalFormatting sqref="Q18">
    <cfRule type="cellIs" dxfId="2113" priority="236" operator="lessThan">
      <formula>50</formula>
    </cfRule>
  </conditionalFormatting>
  <conditionalFormatting sqref="H19:L19">
    <cfRule type="cellIs" dxfId="2112" priority="234" operator="lessThan">
      <formula>5</formula>
    </cfRule>
  </conditionalFormatting>
  <conditionalFormatting sqref="M19:O19">
    <cfRule type="cellIs" dxfId="2111" priority="235" operator="lessThan">
      <formula>5</formula>
    </cfRule>
  </conditionalFormatting>
  <conditionalFormatting sqref="H19:O19">
    <cfRule type="expression" dxfId="2110" priority="233">
      <formula>5</formula>
    </cfRule>
  </conditionalFormatting>
  <conditionalFormatting sqref="H19:O19">
    <cfRule type="cellIs" dxfId="2109" priority="232" operator="lessThan">
      <formula>50</formula>
    </cfRule>
  </conditionalFormatting>
  <conditionalFormatting sqref="Q19">
    <cfRule type="cellIs" dxfId="2108" priority="231" operator="lessThan">
      <formula>50</formula>
    </cfRule>
  </conditionalFormatting>
  <conditionalFormatting sqref="H20:L20">
    <cfRule type="cellIs" dxfId="2107" priority="229" operator="lessThan">
      <formula>5</formula>
    </cfRule>
  </conditionalFormatting>
  <conditionalFormatting sqref="M20:O20">
    <cfRule type="cellIs" dxfId="2106" priority="230" operator="lessThan">
      <formula>5</formula>
    </cfRule>
  </conditionalFormatting>
  <conditionalFormatting sqref="H20:O20">
    <cfRule type="expression" dxfId="2105" priority="228">
      <formula>5</formula>
    </cfRule>
  </conditionalFormatting>
  <conditionalFormatting sqref="H20:O20">
    <cfRule type="cellIs" dxfId="2104" priority="227" operator="lessThan">
      <formula>50</formula>
    </cfRule>
  </conditionalFormatting>
  <conditionalFormatting sqref="Q20">
    <cfRule type="cellIs" dxfId="2103" priority="226" operator="lessThan">
      <formula>50</formula>
    </cfRule>
  </conditionalFormatting>
  <conditionalFormatting sqref="H21:L21">
    <cfRule type="cellIs" dxfId="2102" priority="224" operator="lessThan">
      <formula>5</formula>
    </cfRule>
  </conditionalFormatting>
  <conditionalFormatting sqref="M21:O21">
    <cfRule type="cellIs" dxfId="2101" priority="225" operator="lessThan">
      <formula>5</formula>
    </cfRule>
  </conditionalFormatting>
  <conditionalFormatting sqref="H21:O21">
    <cfRule type="expression" dxfId="2100" priority="223">
      <formula>5</formula>
    </cfRule>
  </conditionalFormatting>
  <conditionalFormatting sqref="H21:O21">
    <cfRule type="cellIs" dxfId="2099" priority="222" operator="lessThan">
      <formula>50</formula>
    </cfRule>
  </conditionalFormatting>
  <conditionalFormatting sqref="Q21">
    <cfRule type="cellIs" dxfId="2098" priority="221" operator="lessThan">
      <formula>50</formula>
    </cfRule>
  </conditionalFormatting>
  <conditionalFormatting sqref="H22:L22">
    <cfRule type="cellIs" dxfId="2097" priority="219" operator="lessThan">
      <formula>5</formula>
    </cfRule>
  </conditionalFormatting>
  <conditionalFormatting sqref="M22:O22">
    <cfRule type="cellIs" dxfId="2096" priority="220" operator="lessThan">
      <formula>5</formula>
    </cfRule>
  </conditionalFormatting>
  <conditionalFormatting sqref="H22:O22">
    <cfRule type="expression" dxfId="2095" priority="218">
      <formula>5</formula>
    </cfRule>
  </conditionalFormatting>
  <conditionalFormatting sqref="H22:O22">
    <cfRule type="cellIs" dxfId="2094" priority="217" operator="lessThan">
      <formula>50</formula>
    </cfRule>
  </conditionalFormatting>
  <conditionalFormatting sqref="Q22">
    <cfRule type="cellIs" dxfId="2093" priority="216" operator="lessThan">
      <formula>50</formula>
    </cfRule>
  </conditionalFormatting>
  <conditionalFormatting sqref="H23:L23">
    <cfRule type="cellIs" dxfId="2092" priority="214" operator="lessThan">
      <formula>5</formula>
    </cfRule>
  </conditionalFormatting>
  <conditionalFormatting sqref="M23:O23">
    <cfRule type="cellIs" dxfId="2091" priority="215" operator="lessThan">
      <formula>5</formula>
    </cfRule>
  </conditionalFormatting>
  <conditionalFormatting sqref="H23:O23">
    <cfRule type="expression" dxfId="2090" priority="213">
      <formula>5</formula>
    </cfRule>
  </conditionalFormatting>
  <conditionalFormatting sqref="H23:O23">
    <cfRule type="cellIs" dxfId="2089" priority="212" operator="lessThan">
      <formula>50</formula>
    </cfRule>
  </conditionalFormatting>
  <conditionalFormatting sqref="Q23">
    <cfRule type="cellIs" dxfId="2088" priority="211" operator="lessThan">
      <formula>50</formula>
    </cfRule>
  </conditionalFormatting>
  <conditionalFormatting sqref="H24:L24">
    <cfRule type="cellIs" dxfId="2087" priority="209" operator="lessThan">
      <formula>5</formula>
    </cfRule>
  </conditionalFormatting>
  <conditionalFormatting sqref="M24:O24">
    <cfRule type="cellIs" dxfId="2086" priority="210" operator="lessThan">
      <formula>5</formula>
    </cfRule>
  </conditionalFormatting>
  <conditionalFormatting sqref="H24:O24">
    <cfRule type="expression" dxfId="2085" priority="208">
      <formula>5</formula>
    </cfRule>
  </conditionalFormatting>
  <conditionalFormatting sqref="H24:O24">
    <cfRule type="cellIs" dxfId="2084" priority="207" operator="lessThan">
      <formula>50</formula>
    </cfRule>
  </conditionalFormatting>
  <conditionalFormatting sqref="Q24">
    <cfRule type="cellIs" dxfId="2083" priority="206" operator="lessThan">
      <formula>50</formula>
    </cfRule>
  </conditionalFormatting>
  <conditionalFormatting sqref="H25:L25">
    <cfRule type="cellIs" dxfId="2082" priority="204" operator="lessThan">
      <formula>5</formula>
    </cfRule>
  </conditionalFormatting>
  <conditionalFormatting sqref="M25:O25">
    <cfRule type="cellIs" dxfId="2081" priority="205" operator="lessThan">
      <formula>5</formula>
    </cfRule>
  </conditionalFormatting>
  <conditionalFormatting sqref="H25:O25">
    <cfRule type="expression" dxfId="2080" priority="203">
      <formula>5</formula>
    </cfRule>
  </conditionalFormatting>
  <conditionalFormatting sqref="H25:O25">
    <cfRule type="cellIs" dxfId="2079" priority="202" operator="lessThan">
      <formula>50</formula>
    </cfRule>
  </conditionalFormatting>
  <conditionalFormatting sqref="Q25">
    <cfRule type="cellIs" dxfId="2078" priority="201" operator="lessThan">
      <formula>50</formula>
    </cfRule>
  </conditionalFormatting>
  <conditionalFormatting sqref="H26:L26">
    <cfRule type="cellIs" dxfId="2077" priority="199" operator="lessThan">
      <formula>5</formula>
    </cfRule>
  </conditionalFormatting>
  <conditionalFormatting sqref="M26:O26">
    <cfRule type="cellIs" dxfId="2076" priority="200" operator="lessThan">
      <formula>5</formula>
    </cfRule>
  </conditionalFormatting>
  <conditionalFormatting sqref="H26:O26">
    <cfRule type="expression" dxfId="2075" priority="198">
      <formula>5</formula>
    </cfRule>
  </conditionalFormatting>
  <conditionalFormatting sqref="H26:O26">
    <cfRule type="cellIs" dxfId="2074" priority="197" operator="lessThan">
      <formula>50</formula>
    </cfRule>
  </conditionalFormatting>
  <conditionalFormatting sqref="Q26">
    <cfRule type="cellIs" dxfId="2073" priority="196" operator="lessThan">
      <formula>50</formula>
    </cfRule>
  </conditionalFormatting>
  <conditionalFormatting sqref="H27:L27">
    <cfRule type="cellIs" dxfId="2072" priority="194" operator="lessThan">
      <formula>5</formula>
    </cfRule>
  </conditionalFormatting>
  <conditionalFormatting sqref="M27:O27">
    <cfRule type="cellIs" dxfId="2071" priority="195" operator="lessThan">
      <formula>5</formula>
    </cfRule>
  </conditionalFormatting>
  <conditionalFormatting sqref="H27:O27">
    <cfRule type="expression" dxfId="2070" priority="193">
      <formula>5</formula>
    </cfRule>
  </conditionalFormatting>
  <conditionalFormatting sqref="H27:O27">
    <cfRule type="cellIs" dxfId="2069" priority="192" operator="lessThan">
      <formula>50</formula>
    </cfRule>
  </conditionalFormatting>
  <conditionalFormatting sqref="Q27">
    <cfRule type="cellIs" dxfId="2068" priority="191" operator="lessThan">
      <formula>50</formula>
    </cfRule>
  </conditionalFormatting>
  <conditionalFormatting sqref="H28:L28">
    <cfRule type="cellIs" dxfId="2067" priority="189" operator="lessThan">
      <formula>5</formula>
    </cfRule>
  </conditionalFormatting>
  <conditionalFormatting sqref="M28:O28">
    <cfRule type="cellIs" dxfId="2066" priority="190" operator="lessThan">
      <formula>5</formula>
    </cfRule>
  </conditionalFormatting>
  <conditionalFormatting sqref="H28:O28">
    <cfRule type="expression" dxfId="2065" priority="188">
      <formula>5</formula>
    </cfRule>
  </conditionalFormatting>
  <conditionalFormatting sqref="H28:O28">
    <cfRule type="cellIs" dxfId="2064" priority="187" operator="lessThan">
      <formula>50</formula>
    </cfRule>
  </conditionalFormatting>
  <conditionalFormatting sqref="Q28">
    <cfRule type="cellIs" dxfId="2063" priority="186" operator="lessThan">
      <formula>50</formula>
    </cfRule>
  </conditionalFormatting>
  <conditionalFormatting sqref="H29:L29">
    <cfRule type="cellIs" dxfId="2062" priority="184" operator="lessThan">
      <formula>5</formula>
    </cfRule>
  </conditionalFormatting>
  <conditionalFormatting sqref="M29:O29">
    <cfRule type="cellIs" dxfId="2061" priority="185" operator="lessThan">
      <formula>5</formula>
    </cfRule>
  </conditionalFormatting>
  <conditionalFormatting sqref="H29:O29">
    <cfRule type="expression" dxfId="2060" priority="183">
      <formula>5</formula>
    </cfRule>
  </conditionalFormatting>
  <conditionalFormatting sqref="H29:O29">
    <cfRule type="cellIs" dxfId="2059" priority="182" operator="lessThan">
      <formula>50</formula>
    </cfRule>
  </conditionalFormatting>
  <conditionalFormatting sqref="Q29">
    <cfRule type="cellIs" dxfId="2058" priority="181" operator="lessThan">
      <formula>50</formula>
    </cfRule>
  </conditionalFormatting>
  <conditionalFormatting sqref="H30:L30">
    <cfRule type="cellIs" dxfId="2057" priority="179" operator="lessThan">
      <formula>5</formula>
    </cfRule>
  </conditionalFormatting>
  <conditionalFormatting sqref="M30:O30">
    <cfRule type="cellIs" dxfId="2056" priority="180" operator="lessThan">
      <formula>5</formula>
    </cfRule>
  </conditionalFormatting>
  <conditionalFormatting sqref="H30:O30">
    <cfRule type="expression" dxfId="2055" priority="178">
      <formula>5</formula>
    </cfRule>
  </conditionalFormatting>
  <conditionalFormatting sqref="H30:O30">
    <cfRule type="cellIs" dxfId="2054" priority="177" operator="lessThan">
      <formula>50</formula>
    </cfRule>
  </conditionalFormatting>
  <conditionalFormatting sqref="Q30">
    <cfRule type="cellIs" dxfId="2053" priority="176" operator="lessThan">
      <formula>50</formula>
    </cfRule>
  </conditionalFormatting>
  <conditionalFormatting sqref="H31:L31">
    <cfRule type="cellIs" dxfId="2052" priority="174" operator="lessThan">
      <formula>5</formula>
    </cfRule>
  </conditionalFormatting>
  <conditionalFormatting sqref="M31:O31">
    <cfRule type="cellIs" dxfId="2051" priority="175" operator="lessThan">
      <formula>5</formula>
    </cfRule>
  </conditionalFormatting>
  <conditionalFormatting sqref="H31:O31">
    <cfRule type="expression" dxfId="2050" priority="173">
      <formula>5</formula>
    </cfRule>
  </conditionalFormatting>
  <conditionalFormatting sqref="H31:O31">
    <cfRule type="cellIs" dxfId="2049" priority="172" operator="lessThan">
      <formula>50</formula>
    </cfRule>
  </conditionalFormatting>
  <conditionalFormatting sqref="Q31">
    <cfRule type="cellIs" dxfId="2048" priority="171" operator="lessThan">
      <formula>50</formula>
    </cfRule>
  </conditionalFormatting>
  <conditionalFormatting sqref="H32:L32">
    <cfRule type="cellIs" dxfId="2047" priority="169" operator="lessThan">
      <formula>5</formula>
    </cfRule>
  </conditionalFormatting>
  <conditionalFormatting sqref="M32:O32">
    <cfRule type="cellIs" dxfId="2046" priority="170" operator="lessThan">
      <formula>5</formula>
    </cfRule>
  </conditionalFormatting>
  <conditionalFormatting sqref="H32:O32">
    <cfRule type="expression" dxfId="2045" priority="168">
      <formula>5</formula>
    </cfRule>
  </conditionalFormatting>
  <conditionalFormatting sqref="H32:O32">
    <cfRule type="cellIs" dxfId="2044" priority="167" operator="lessThan">
      <formula>50</formula>
    </cfRule>
  </conditionalFormatting>
  <conditionalFormatting sqref="Q32">
    <cfRule type="cellIs" dxfId="2043" priority="166" operator="lessThan">
      <formula>50</formula>
    </cfRule>
  </conditionalFormatting>
  <conditionalFormatting sqref="H33:L33">
    <cfRule type="cellIs" dxfId="2042" priority="164" operator="lessThan">
      <formula>5</formula>
    </cfRule>
  </conditionalFormatting>
  <conditionalFormatting sqref="M33:O33">
    <cfRule type="cellIs" dxfId="2041" priority="165" operator="lessThan">
      <formula>5</formula>
    </cfRule>
  </conditionalFormatting>
  <conditionalFormatting sqref="H33:O33">
    <cfRule type="expression" dxfId="2040" priority="163">
      <formula>5</formula>
    </cfRule>
  </conditionalFormatting>
  <conditionalFormatting sqref="H33:O33">
    <cfRule type="cellIs" dxfId="2039" priority="162" operator="lessThan">
      <formula>50</formula>
    </cfRule>
  </conditionalFormatting>
  <conditionalFormatting sqref="Q33">
    <cfRule type="cellIs" dxfId="2038" priority="161" operator="lessThan">
      <formula>50</formula>
    </cfRule>
  </conditionalFormatting>
  <conditionalFormatting sqref="H34:L34">
    <cfRule type="cellIs" dxfId="2037" priority="159" operator="lessThan">
      <formula>5</formula>
    </cfRule>
  </conditionalFormatting>
  <conditionalFormatting sqref="M34:O34">
    <cfRule type="cellIs" dxfId="2036" priority="160" operator="lessThan">
      <formula>5</formula>
    </cfRule>
  </conditionalFormatting>
  <conditionalFormatting sqref="H34:O34">
    <cfRule type="expression" dxfId="2035" priority="158">
      <formula>5</formula>
    </cfRule>
  </conditionalFormatting>
  <conditionalFormatting sqref="H34:O34">
    <cfRule type="cellIs" dxfId="2034" priority="157" operator="lessThan">
      <formula>50</formula>
    </cfRule>
  </conditionalFormatting>
  <conditionalFormatting sqref="Q34">
    <cfRule type="cellIs" dxfId="2033" priority="156" operator="lessThan">
      <formula>50</formula>
    </cfRule>
  </conditionalFormatting>
  <conditionalFormatting sqref="H35:L35">
    <cfRule type="cellIs" dxfId="2032" priority="154" operator="lessThan">
      <formula>5</formula>
    </cfRule>
  </conditionalFormatting>
  <conditionalFormatting sqref="M35:O35">
    <cfRule type="cellIs" dxfId="2031" priority="155" operator="lessThan">
      <formula>5</formula>
    </cfRule>
  </conditionalFormatting>
  <conditionalFormatting sqref="H35:O35">
    <cfRule type="expression" dxfId="2030" priority="153">
      <formula>5</formula>
    </cfRule>
  </conditionalFormatting>
  <conditionalFormatting sqref="H35:O35">
    <cfRule type="cellIs" dxfId="2029" priority="152" operator="lessThan">
      <formula>50</formula>
    </cfRule>
  </conditionalFormatting>
  <conditionalFormatting sqref="Q35">
    <cfRule type="cellIs" dxfId="2028" priority="151" operator="lessThan">
      <formula>50</formula>
    </cfRule>
  </conditionalFormatting>
  <conditionalFormatting sqref="H36:L36">
    <cfRule type="cellIs" dxfId="2027" priority="149" operator="lessThan">
      <formula>5</formula>
    </cfRule>
  </conditionalFormatting>
  <conditionalFormatting sqref="M36:O36">
    <cfRule type="cellIs" dxfId="2026" priority="150" operator="lessThan">
      <formula>5</formula>
    </cfRule>
  </conditionalFormatting>
  <conditionalFormatting sqref="H36:O36">
    <cfRule type="expression" dxfId="2025" priority="148">
      <formula>5</formula>
    </cfRule>
  </conditionalFormatting>
  <conditionalFormatting sqref="H36:O36">
    <cfRule type="cellIs" dxfId="2024" priority="147" operator="lessThan">
      <formula>50</formula>
    </cfRule>
  </conditionalFormatting>
  <conditionalFormatting sqref="Q36">
    <cfRule type="cellIs" dxfId="2023" priority="146" operator="lessThan">
      <formula>50</formula>
    </cfRule>
  </conditionalFormatting>
  <conditionalFormatting sqref="H37:L37">
    <cfRule type="cellIs" dxfId="2022" priority="144" operator="lessThan">
      <formula>5</formula>
    </cfRule>
  </conditionalFormatting>
  <conditionalFormatting sqref="M37:O37">
    <cfRule type="cellIs" dxfId="2021" priority="145" operator="lessThan">
      <formula>5</formula>
    </cfRule>
  </conditionalFormatting>
  <conditionalFormatting sqref="H37:O37">
    <cfRule type="expression" dxfId="2020" priority="143">
      <formula>5</formula>
    </cfRule>
  </conditionalFormatting>
  <conditionalFormatting sqref="H37:O37">
    <cfRule type="cellIs" dxfId="2019" priority="142" operator="lessThan">
      <formula>50</formula>
    </cfRule>
  </conditionalFormatting>
  <conditionalFormatting sqref="Q37">
    <cfRule type="cellIs" dxfId="2018" priority="141" operator="lessThan">
      <formula>50</formula>
    </cfRule>
  </conditionalFormatting>
  <conditionalFormatting sqref="H38:L38">
    <cfRule type="cellIs" dxfId="2017" priority="139" operator="lessThan">
      <formula>5</formula>
    </cfRule>
  </conditionalFormatting>
  <conditionalFormatting sqref="M38:O38">
    <cfRule type="cellIs" dxfId="2016" priority="140" operator="lessThan">
      <formula>5</formula>
    </cfRule>
  </conditionalFormatting>
  <conditionalFormatting sqref="H38:O38">
    <cfRule type="expression" dxfId="2015" priority="138">
      <formula>5</formula>
    </cfRule>
  </conditionalFormatting>
  <conditionalFormatting sqref="H38:O38">
    <cfRule type="cellIs" dxfId="2014" priority="137" operator="lessThan">
      <formula>50</formula>
    </cfRule>
  </conditionalFormatting>
  <conditionalFormatting sqref="Q38">
    <cfRule type="cellIs" dxfId="2013" priority="136" operator="lessThan">
      <formula>50</formula>
    </cfRule>
  </conditionalFormatting>
  <conditionalFormatting sqref="H39:L39">
    <cfRule type="cellIs" dxfId="2012" priority="134" operator="lessThan">
      <formula>5</formula>
    </cfRule>
  </conditionalFormatting>
  <conditionalFormatting sqref="M39:O39">
    <cfRule type="cellIs" dxfId="2011" priority="135" operator="lessThan">
      <formula>5</formula>
    </cfRule>
  </conditionalFormatting>
  <conditionalFormatting sqref="H39:O39">
    <cfRule type="expression" dxfId="2010" priority="133">
      <formula>5</formula>
    </cfRule>
  </conditionalFormatting>
  <conditionalFormatting sqref="H39:O39">
    <cfRule type="cellIs" dxfId="2009" priority="132" operator="lessThan">
      <formula>50</formula>
    </cfRule>
  </conditionalFormatting>
  <conditionalFormatting sqref="Q39">
    <cfRule type="cellIs" dxfId="2008" priority="131" operator="lessThan">
      <formula>50</formula>
    </cfRule>
  </conditionalFormatting>
  <conditionalFormatting sqref="H40:L40">
    <cfRule type="cellIs" dxfId="2007" priority="129" operator="lessThan">
      <formula>5</formula>
    </cfRule>
  </conditionalFormatting>
  <conditionalFormatting sqref="M40:O40">
    <cfRule type="cellIs" dxfId="2006" priority="130" operator="lessThan">
      <formula>5</formula>
    </cfRule>
  </conditionalFormatting>
  <conditionalFormatting sqref="H40:O40">
    <cfRule type="expression" dxfId="2005" priority="128">
      <formula>5</formula>
    </cfRule>
  </conditionalFormatting>
  <conditionalFormatting sqref="H40:O40">
    <cfRule type="cellIs" dxfId="2004" priority="127" operator="lessThan">
      <formula>50</formula>
    </cfRule>
  </conditionalFormatting>
  <conditionalFormatting sqref="Q40">
    <cfRule type="cellIs" dxfId="2003" priority="126" operator="lessThan">
      <formula>50</formula>
    </cfRule>
  </conditionalFormatting>
  <conditionalFormatting sqref="H41:L41">
    <cfRule type="cellIs" dxfId="2002" priority="124" operator="lessThan">
      <formula>5</formula>
    </cfRule>
  </conditionalFormatting>
  <conditionalFormatting sqref="M41:O41">
    <cfRule type="cellIs" dxfId="2001" priority="125" operator="lessThan">
      <formula>5</formula>
    </cfRule>
  </conditionalFormatting>
  <conditionalFormatting sqref="H41:O41">
    <cfRule type="expression" dxfId="2000" priority="123">
      <formula>5</formula>
    </cfRule>
  </conditionalFormatting>
  <conditionalFormatting sqref="H41:O41">
    <cfRule type="cellIs" dxfId="1999" priority="122" operator="lessThan">
      <formula>50</formula>
    </cfRule>
  </conditionalFormatting>
  <conditionalFormatting sqref="Q41">
    <cfRule type="cellIs" dxfId="1998" priority="121" operator="lessThan">
      <formula>50</formula>
    </cfRule>
  </conditionalFormatting>
  <conditionalFormatting sqref="H42:L42">
    <cfRule type="cellIs" dxfId="1997" priority="119" operator="lessThan">
      <formula>5</formula>
    </cfRule>
  </conditionalFormatting>
  <conditionalFormatting sqref="M42:O42">
    <cfRule type="cellIs" dxfId="1996" priority="120" operator="lessThan">
      <formula>5</formula>
    </cfRule>
  </conditionalFormatting>
  <conditionalFormatting sqref="H42:O42">
    <cfRule type="expression" dxfId="1995" priority="118">
      <formula>5</formula>
    </cfRule>
  </conditionalFormatting>
  <conditionalFormatting sqref="H42:O42">
    <cfRule type="cellIs" dxfId="1994" priority="117" operator="lessThan">
      <formula>50</formula>
    </cfRule>
  </conditionalFormatting>
  <conditionalFormatting sqref="Q42">
    <cfRule type="cellIs" dxfId="1993" priority="116" operator="lessThan">
      <formula>50</formula>
    </cfRule>
  </conditionalFormatting>
  <conditionalFormatting sqref="H43:L43">
    <cfRule type="cellIs" dxfId="1992" priority="114" operator="lessThan">
      <formula>5</formula>
    </cfRule>
  </conditionalFormatting>
  <conditionalFormatting sqref="M43:O43">
    <cfRule type="cellIs" dxfId="1991" priority="115" operator="lessThan">
      <formula>5</formula>
    </cfRule>
  </conditionalFormatting>
  <conditionalFormatting sqref="H43:O43">
    <cfRule type="expression" dxfId="1990" priority="113">
      <formula>5</formula>
    </cfRule>
  </conditionalFormatting>
  <conditionalFormatting sqref="H43:O43">
    <cfRule type="cellIs" dxfId="1989" priority="112" operator="lessThan">
      <formula>50</formula>
    </cfRule>
  </conditionalFormatting>
  <conditionalFormatting sqref="Q43">
    <cfRule type="cellIs" dxfId="1988" priority="111" operator="lessThan">
      <formula>50</formula>
    </cfRule>
  </conditionalFormatting>
  <conditionalFormatting sqref="H44:L44">
    <cfRule type="cellIs" dxfId="1987" priority="109" operator="lessThan">
      <formula>5</formula>
    </cfRule>
  </conditionalFormatting>
  <conditionalFormatting sqref="M44:O44">
    <cfRule type="cellIs" dxfId="1986" priority="110" operator="lessThan">
      <formula>5</formula>
    </cfRule>
  </conditionalFormatting>
  <conditionalFormatting sqref="H44:O44">
    <cfRule type="expression" dxfId="1985" priority="108">
      <formula>5</formula>
    </cfRule>
  </conditionalFormatting>
  <conditionalFormatting sqref="H44:O44">
    <cfRule type="cellIs" dxfId="1984" priority="107" operator="lessThan">
      <formula>50</formula>
    </cfRule>
  </conditionalFormatting>
  <conditionalFormatting sqref="Q44">
    <cfRule type="cellIs" dxfId="1983" priority="106" operator="lessThan">
      <formula>50</formula>
    </cfRule>
  </conditionalFormatting>
  <conditionalFormatting sqref="H45:L45">
    <cfRule type="cellIs" dxfId="1982" priority="104" operator="lessThan">
      <formula>5</formula>
    </cfRule>
  </conditionalFormatting>
  <conditionalFormatting sqref="M45:O45">
    <cfRule type="cellIs" dxfId="1981" priority="105" operator="lessThan">
      <formula>5</formula>
    </cfRule>
  </conditionalFormatting>
  <conditionalFormatting sqref="H45:O45">
    <cfRule type="expression" dxfId="1980" priority="103">
      <formula>5</formula>
    </cfRule>
  </conditionalFormatting>
  <conditionalFormatting sqref="H45:O45">
    <cfRule type="cellIs" dxfId="1979" priority="102" operator="lessThan">
      <formula>50</formula>
    </cfRule>
  </conditionalFormatting>
  <conditionalFormatting sqref="Q45">
    <cfRule type="cellIs" dxfId="1978" priority="101" operator="lessThan">
      <formula>50</formula>
    </cfRule>
  </conditionalFormatting>
  <conditionalFormatting sqref="H46:L46">
    <cfRule type="cellIs" dxfId="1977" priority="99" operator="lessThan">
      <formula>5</formula>
    </cfRule>
  </conditionalFormatting>
  <conditionalFormatting sqref="M46:O46">
    <cfRule type="cellIs" dxfId="1976" priority="100" operator="lessThan">
      <formula>5</formula>
    </cfRule>
  </conditionalFormatting>
  <conditionalFormatting sqref="H46:O46">
    <cfRule type="expression" dxfId="1975" priority="98">
      <formula>5</formula>
    </cfRule>
  </conditionalFormatting>
  <conditionalFormatting sqref="H46:O46">
    <cfRule type="cellIs" dxfId="1974" priority="97" operator="lessThan">
      <formula>50</formula>
    </cfRule>
  </conditionalFormatting>
  <conditionalFormatting sqref="Q46">
    <cfRule type="cellIs" dxfId="1973" priority="96" operator="lessThan">
      <formula>50</formula>
    </cfRule>
  </conditionalFormatting>
  <conditionalFormatting sqref="H47:L47">
    <cfRule type="cellIs" dxfId="1972" priority="94" operator="lessThan">
      <formula>5</formula>
    </cfRule>
  </conditionalFormatting>
  <conditionalFormatting sqref="M47:O47">
    <cfRule type="cellIs" dxfId="1971" priority="95" operator="lessThan">
      <formula>5</formula>
    </cfRule>
  </conditionalFormatting>
  <conditionalFormatting sqref="H47:O47">
    <cfRule type="expression" dxfId="1970" priority="93">
      <formula>5</formula>
    </cfRule>
  </conditionalFormatting>
  <conditionalFormatting sqref="H47:O47">
    <cfRule type="cellIs" dxfId="1969" priority="92" operator="lessThan">
      <formula>50</formula>
    </cfRule>
  </conditionalFormatting>
  <conditionalFormatting sqref="Q47">
    <cfRule type="cellIs" dxfId="1968" priority="91" operator="lessThan">
      <formula>50</formula>
    </cfRule>
  </conditionalFormatting>
  <conditionalFormatting sqref="H48:L48">
    <cfRule type="cellIs" dxfId="1967" priority="89" operator="lessThan">
      <formula>5</formula>
    </cfRule>
  </conditionalFormatting>
  <conditionalFormatting sqref="M48:O48">
    <cfRule type="cellIs" dxfId="1966" priority="90" operator="lessThan">
      <formula>5</formula>
    </cfRule>
  </conditionalFormatting>
  <conditionalFormatting sqref="H48:O48">
    <cfRule type="expression" dxfId="1965" priority="88">
      <formula>5</formula>
    </cfRule>
  </conditionalFormatting>
  <conditionalFormatting sqref="H48:O48">
    <cfRule type="cellIs" dxfId="1964" priority="87" operator="lessThan">
      <formula>50</formula>
    </cfRule>
  </conditionalFormatting>
  <conditionalFormatting sqref="Q48">
    <cfRule type="cellIs" dxfId="1963" priority="86" operator="lessThan">
      <formula>50</formula>
    </cfRule>
  </conditionalFormatting>
  <conditionalFormatting sqref="H49:L49">
    <cfRule type="cellIs" dxfId="1962" priority="84" operator="lessThan">
      <formula>5</formula>
    </cfRule>
  </conditionalFormatting>
  <conditionalFormatting sqref="M49:O49">
    <cfRule type="cellIs" dxfId="1961" priority="85" operator="lessThan">
      <formula>5</formula>
    </cfRule>
  </conditionalFormatting>
  <conditionalFormatting sqref="H49:O49">
    <cfRule type="expression" dxfId="1960" priority="83">
      <formula>5</formula>
    </cfRule>
  </conditionalFormatting>
  <conditionalFormatting sqref="H49:O49">
    <cfRule type="cellIs" dxfId="1959" priority="82" operator="lessThan">
      <formula>50</formula>
    </cfRule>
  </conditionalFormatting>
  <conditionalFormatting sqref="Q49">
    <cfRule type="cellIs" dxfId="1958" priority="81" operator="lessThan">
      <formula>50</formula>
    </cfRule>
  </conditionalFormatting>
  <conditionalFormatting sqref="H50:L50">
    <cfRule type="cellIs" dxfId="1957" priority="79" operator="lessThan">
      <formula>5</formula>
    </cfRule>
  </conditionalFormatting>
  <conditionalFormatting sqref="M50:O50">
    <cfRule type="cellIs" dxfId="1956" priority="80" operator="lessThan">
      <formula>5</formula>
    </cfRule>
  </conditionalFormatting>
  <conditionalFormatting sqref="H50:O50">
    <cfRule type="expression" dxfId="1955" priority="78">
      <formula>5</formula>
    </cfRule>
  </conditionalFormatting>
  <conditionalFormatting sqref="H50:O50">
    <cfRule type="cellIs" dxfId="1954" priority="77" operator="lessThan">
      <formula>50</formula>
    </cfRule>
  </conditionalFormatting>
  <conditionalFormatting sqref="Q50">
    <cfRule type="cellIs" dxfId="1953" priority="76" operator="lessThan">
      <formula>50</formula>
    </cfRule>
  </conditionalFormatting>
  <conditionalFormatting sqref="H51:L51">
    <cfRule type="cellIs" dxfId="1952" priority="74" operator="lessThan">
      <formula>5</formula>
    </cfRule>
  </conditionalFormatting>
  <conditionalFormatting sqref="M51:O51">
    <cfRule type="cellIs" dxfId="1951" priority="75" operator="lessThan">
      <formula>5</formula>
    </cfRule>
  </conditionalFormatting>
  <conditionalFormatting sqref="H51:O51">
    <cfRule type="expression" dxfId="1950" priority="73">
      <formula>5</formula>
    </cfRule>
  </conditionalFormatting>
  <conditionalFormatting sqref="H51:O51">
    <cfRule type="cellIs" dxfId="1949" priority="72" operator="lessThan">
      <formula>50</formula>
    </cfRule>
  </conditionalFormatting>
  <conditionalFormatting sqref="Q51">
    <cfRule type="cellIs" dxfId="1948" priority="71" operator="lessThan">
      <formula>50</formula>
    </cfRule>
  </conditionalFormatting>
  <conditionalFormatting sqref="H52:L52">
    <cfRule type="cellIs" dxfId="1947" priority="69" operator="lessThan">
      <formula>5</formula>
    </cfRule>
  </conditionalFormatting>
  <conditionalFormatting sqref="M52:O52">
    <cfRule type="cellIs" dxfId="1946" priority="70" operator="lessThan">
      <formula>5</formula>
    </cfRule>
  </conditionalFormatting>
  <conditionalFormatting sqref="H52:O52">
    <cfRule type="expression" dxfId="1945" priority="68">
      <formula>5</formula>
    </cfRule>
  </conditionalFormatting>
  <conditionalFormatting sqref="H52:O52">
    <cfRule type="cellIs" dxfId="1944" priority="67" operator="lessThan">
      <formula>50</formula>
    </cfRule>
  </conditionalFormatting>
  <conditionalFormatting sqref="Q52">
    <cfRule type="cellIs" dxfId="1943" priority="66" operator="lessThan">
      <formula>50</formula>
    </cfRule>
  </conditionalFormatting>
  <conditionalFormatting sqref="H53:L53">
    <cfRule type="cellIs" dxfId="1942" priority="64" operator="lessThan">
      <formula>5</formula>
    </cfRule>
  </conditionalFormatting>
  <conditionalFormatting sqref="M53:O53">
    <cfRule type="cellIs" dxfId="1941" priority="65" operator="lessThan">
      <formula>5</formula>
    </cfRule>
  </conditionalFormatting>
  <conditionalFormatting sqref="H53:O53">
    <cfRule type="expression" dxfId="1940" priority="63">
      <formula>5</formula>
    </cfRule>
  </conditionalFormatting>
  <conditionalFormatting sqref="H53:O53">
    <cfRule type="cellIs" dxfId="1939" priority="62" operator="lessThan">
      <formula>50</formula>
    </cfRule>
  </conditionalFormatting>
  <conditionalFormatting sqref="Q53">
    <cfRule type="cellIs" dxfId="1938" priority="61" operator="lessThan">
      <formula>50</formula>
    </cfRule>
  </conditionalFormatting>
  <conditionalFormatting sqref="H54:L54">
    <cfRule type="cellIs" dxfId="1937" priority="59" operator="lessThan">
      <formula>5</formula>
    </cfRule>
  </conditionalFormatting>
  <conditionalFormatting sqref="M54:O54">
    <cfRule type="cellIs" dxfId="1936" priority="60" operator="lessThan">
      <formula>5</formula>
    </cfRule>
  </conditionalFormatting>
  <conditionalFormatting sqref="H54:O54">
    <cfRule type="expression" dxfId="1935" priority="58">
      <formula>5</formula>
    </cfRule>
  </conditionalFormatting>
  <conditionalFormatting sqref="H54:O54">
    <cfRule type="cellIs" dxfId="1934" priority="57" operator="lessThan">
      <formula>50</formula>
    </cfRule>
  </conditionalFormatting>
  <conditionalFormatting sqref="Q54">
    <cfRule type="cellIs" dxfId="1933" priority="56" operator="lessThan">
      <formula>50</formula>
    </cfRule>
  </conditionalFormatting>
  <conditionalFormatting sqref="H55:L55">
    <cfRule type="cellIs" dxfId="1932" priority="54" operator="lessThan">
      <formula>5</formula>
    </cfRule>
  </conditionalFormatting>
  <conditionalFormatting sqref="M55:O55">
    <cfRule type="cellIs" dxfId="1931" priority="55" operator="lessThan">
      <formula>5</formula>
    </cfRule>
  </conditionalFormatting>
  <conditionalFormatting sqref="H55:O55">
    <cfRule type="expression" dxfId="1930" priority="53">
      <formula>5</formula>
    </cfRule>
  </conditionalFormatting>
  <conditionalFormatting sqref="H55:O55">
    <cfRule type="cellIs" dxfId="1929" priority="52" operator="lessThan">
      <formula>50</formula>
    </cfRule>
  </conditionalFormatting>
  <conditionalFormatting sqref="Q55">
    <cfRule type="cellIs" dxfId="1928" priority="51" operator="lessThan">
      <formula>50</formula>
    </cfRule>
  </conditionalFormatting>
  <conditionalFormatting sqref="H56:L56">
    <cfRule type="cellIs" dxfId="1927" priority="49" operator="lessThan">
      <formula>5</formula>
    </cfRule>
  </conditionalFormatting>
  <conditionalFormatting sqref="M56:O56">
    <cfRule type="cellIs" dxfId="1926" priority="50" operator="lessThan">
      <formula>5</formula>
    </cfRule>
  </conditionalFormatting>
  <conditionalFormatting sqref="H56:O56">
    <cfRule type="expression" dxfId="1925" priority="48">
      <formula>5</formula>
    </cfRule>
  </conditionalFormatting>
  <conditionalFormatting sqref="H56:O56">
    <cfRule type="cellIs" dxfId="1924" priority="47" operator="lessThan">
      <formula>50</formula>
    </cfRule>
  </conditionalFormatting>
  <conditionalFormatting sqref="Q56">
    <cfRule type="cellIs" dxfId="1923" priority="46" operator="lessThan">
      <formula>50</formula>
    </cfRule>
  </conditionalFormatting>
  <conditionalFormatting sqref="H57:L57">
    <cfRule type="cellIs" dxfId="1922" priority="44" operator="lessThan">
      <formula>5</formula>
    </cfRule>
  </conditionalFormatting>
  <conditionalFormatting sqref="M57:O57">
    <cfRule type="cellIs" dxfId="1921" priority="45" operator="lessThan">
      <formula>5</formula>
    </cfRule>
  </conditionalFormatting>
  <conditionalFormatting sqref="H57:O57">
    <cfRule type="expression" dxfId="1920" priority="43">
      <formula>5</formula>
    </cfRule>
  </conditionalFormatting>
  <conditionalFormatting sqref="H57:O57">
    <cfRule type="cellIs" dxfId="1919" priority="42" operator="lessThan">
      <formula>50</formula>
    </cfRule>
  </conditionalFormatting>
  <conditionalFormatting sqref="Q57">
    <cfRule type="cellIs" dxfId="1918" priority="41" operator="lessThan">
      <formula>50</formula>
    </cfRule>
  </conditionalFormatting>
  <conditionalFormatting sqref="H58:L58">
    <cfRule type="cellIs" dxfId="1917" priority="39" operator="lessThan">
      <formula>5</formula>
    </cfRule>
  </conditionalFormatting>
  <conditionalFormatting sqref="M58:O58">
    <cfRule type="cellIs" dxfId="1916" priority="40" operator="lessThan">
      <formula>5</formula>
    </cfRule>
  </conditionalFormatting>
  <conditionalFormatting sqref="H58:O58">
    <cfRule type="expression" dxfId="1915" priority="38">
      <formula>5</formula>
    </cfRule>
  </conditionalFormatting>
  <conditionalFormatting sqref="H58:O58">
    <cfRule type="cellIs" dxfId="1914" priority="37" operator="lessThan">
      <formula>50</formula>
    </cfRule>
  </conditionalFormatting>
  <conditionalFormatting sqref="Q58">
    <cfRule type="cellIs" dxfId="1913" priority="36" operator="lessThan">
      <formula>50</formula>
    </cfRule>
  </conditionalFormatting>
  <conditionalFormatting sqref="H59:L59">
    <cfRule type="cellIs" dxfId="1912" priority="34" operator="lessThan">
      <formula>5</formula>
    </cfRule>
  </conditionalFormatting>
  <conditionalFormatting sqref="M59:O59">
    <cfRule type="cellIs" dxfId="1911" priority="35" operator="lessThan">
      <formula>5</formula>
    </cfRule>
  </conditionalFormatting>
  <conditionalFormatting sqref="H59:O59">
    <cfRule type="expression" dxfId="1910" priority="33">
      <formula>5</formula>
    </cfRule>
  </conditionalFormatting>
  <conditionalFormatting sqref="H59:O59">
    <cfRule type="cellIs" dxfId="1909" priority="32" operator="lessThan">
      <formula>50</formula>
    </cfRule>
  </conditionalFormatting>
  <conditionalFormatting sqref="Q59">
    <cfRule type="cellIs" dxfId="1908" priority="31" operator="lessThan">
      <formula>50</formula>
    </cfRule>
  </conditionalFormatting>
  <conditionalFormatting sqref="H60:L60">
    <cfRule type="cellIs" dxfId="1907" priority="29" operator="lessThan">
      <formula>5</formula>
    </cfRule>
  </conditionalFormatting>
  <conditionalFormatting sqref="M60:O60">
    <cfRule type="cellIs" dxfId="1906" priority="30" operator="lessThan">
      <formula>5</formula>
    </cfRule>
  </conditionalFormatting>
  <conditionalFormatting sqref="H60:O60">
    <cfRule type="expression" dxfId="1905" priority="28">
      <formula>5</formula>
    </cfRule>
  </conditionalFormatting>
  <conditionalFormatting sqref="H60:O60">
    <cfRule type="cellIs" dxfId="1904" priority="27" operator="lessThan">
      <formula>50</formula>
    </cfRule>
  </conditionalFormatting>
  <conditionalFormatting sqref="Q60">
    <cfRule type="cellIs" dxfId="1903" priority="26" operator="lessThan">
      <formula>50</formula>
    </cfRule>
  </conditionalFormatting>
  <conditionalFormatting sqref="H61:L61">
    <cfRule type="cellIs" dxfId="1902" priority="24" operator="lessThan">
      <formula>5</formula>
    </cfRule>
  </conditionalFormatting>
  <conditionalFormatting sqref="M61:O61">
    <cfRule type="cellIs" dxfId="1901" priority="25" operator="lessThan">
      <formula>5</formula>
    </cfRule>
  </conditionalFormatting>
  <conditionalFormatting sqref="H61:O61">
    <cfRule type="expression" dxfId="1900" priority="23">
      <formula>5</formula>
    </cfRule>
  </conditionalFormatting>
  <conditionalFormatting sqref="H61:O61">
    <cfRule type="cellIs" dxfId="1899" priority="22" operator="lessThan">
      <formula>50</formula>
    </cfRule>
  </conditionalFormatting>
  <conditionalFormatting sqref="Q61">
    <cfRule type="cellIs" dxfId="1898" priority="21" operator="lessThan">
      <formula>50</formula>
    </cfRule>
  </conditionalFormatting>
  <conditionalFormatting sqref="H62:L62">
    <cfRule type="cellIs" dxfId="1897" priority="19" operator="lessThan">
      <formula>5</formula>
    </cfRule>
  </conditionalFormatting>
  <conditionalFormatting sqref="M62:O62">
    <cfRule type="cellIs" dxfId="1896" priority="20" operator="lessThan">
      <formula>5</formula>
    </cfRule>
  </conditionalFormatting>
  <conditionalFormatting sqref="H62:O62">
    <cfRule type="expression" dxfId="1895" priority="18">
      <formula>5</formula>
    </cfRule>
  </conditionalFormatting>
  <conditionalFormatting sqref="H62:O62">
    <cfRule type="cellIs" dxfId="1894" priority="17" operator="lessThan">
      <formula>50</formula>
    </cfRule>
  </conditionalFormatting>
  <conditionalFormatting sqref="Q62">
    <cfRule type="cellIs" dxfId="1893" priority="16" operator="lessThan">
      <formula>50</formula>
    </cfRule>
  </conditionalFormatting>
  <conditionalFormatting sqref="H63:L63">
    <cfRule type="cellIs" dxfId="1892" priority="14" operator="lessThan">
      <formula>5</formula>
    </cfRule>
  </conditionalFormatting>
  <conditionalFormatting sqref="M63:O63">
    <cfRule type="cellIs" dxfId="1891" priority="15" operator="lessThan">
      <formula>5</formula>
    </cfRule>
  </conditionalFormatting>
  <conditionalFormatting sqref="H63:O63">
    <cfRule type="expression" dxfId="1890" priority="13">
      <formula>5</formula>
    </cfRule>
  </conditionalFormatting>
  <conditionalFormatting sqref="H63:O63">
    <cfRule type="cellIs" dxfId="1889" priority="12" operator="lessThan">
      <formula>50</formula>
    </cfRule>
  </conditionalFormatting>
  <conditionalFormatting sqref="Q63">
    <cfRule type="cellIs" dxfId="1888" priority="11" operator="lessThan">
      <formula>50</formula>
    </cfRule>
  </conditionalFormatting>
  <conditionalFormatting sqref="H64:L64">
    <cfRule type="cellIs" dxfId="1887" priority="9" operator="lessThan">
      <formula>5</formula>
    </cfRule>
  </conditionalFormatting>
  <conditionalFormatting sqref="M64:O64">
    <cfRule type="cellIs" dxfId="1886" priority="10" operator="lessThan">
      <formula>5</formula>
    </cfRule>
  </conditionalFormatting>
  <conditionalFormatting sqref="H64:O64">
    <cfRule type="expression" dxfId="1885" priority="8">
      <formula>5</formula>
    </cfRule>
  </conditionalFormatting>
  <conditionalFormatting sqref="H64:O64">
    <cfRule type="cellIs" dxfId="1884" priority="7" operator="lessThan">
      <formula>50</formula>
    </cfRule>
  </conditionalFormatting>
  <conditionalFormatting sqref="Q64">
    <cfRule type="cellIs" dxfId="1883" priority="6" operator="lessThan">
      <formula>50</formula>
    </cfRule>
  </conditionalFormatting>
  <conditionalFormatting sqref="H65:L65">
    <cfRule type="cellIs" dxfId="1882" priority="4" operator="lessThan">
      <formula>5</formula>
    </cfRule>
  </conditionalFormatting>
  <conditionalFormatting sqref="M65:O65">
    <cfRule type="cellIs" dxfId="1881" priority="5" operator="lessThan">
      <formula>5</formula>
    </cfRule>
  </conditionalFormatting>
  <conditionalFormatting sqref="H65:O65">
    <cfRule type="expression" dxfId="1880" priority="3">
      <formula>5</formula>
    </cfRule>
  </conditionalFormatting>
  <conditionalFormatting sqref="H65:O65">
    <cfRule type="cellIs" dxfId="1879" priority="2" operator="lessThan">
      <formula>50</formula>
    </cfRule>
  </conditionalFormatting>
  <conditionalFormatting sqref="Q65">
    <cfRule type="cellIs" dxfId="1878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7:E8 D10:E10 D13:E13 D17:E29 D32:E32 D65:E65" xr:uid="{319336C4-8F60-4466-92C0-0A4D3AFFBFD2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96B2-1F47-474A-88D7-7F4FC5B12AD2}">
  <sheetPr codeName="Sheet112"/>
  <dimension ref="A1:R62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5" width="4.7109375" customWidth="1"/>
    <col min="16" max="16" width="6.7109375" customWidth="1"/>
    <col min="17" max="18" width="4.7109375" customWidth="1"/>
  </cols>
  <sheetData>
    <row r="1" spans="1:18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  <c r="R1" s="11"/>
    </row>
    <row r="2" spans="1:18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  <c r="R2" s="11"/>
    </row>
    <row r="3" spans="1:18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  <c r="R3" s="11"/>
    </row>
    <row r="4" spans="1:18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  <c r="R4" s="11"/>
    </row>
    <row r="5" spans="1:18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2"/>
    </row>
    <row r="6" spans="1:18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54" t="s">
        <v>47</v>
      </c>
      <c r="H6" s="39" t="s">
        <v>16</v>
      </c>
      <c r="I6" s="39" t="s">
        <v>3</v>
      </c>
      <c r="J6" s="39" t="s">
        <v>22</v>
      </c>
      <c r="K6" s="39" t="s">
        <v>23</v>
      </c>
      <c r="L6" s="39" t="s">
        <v>24</v>
      </c>
      <c r="M6" s="39" t="s">
        <v>25</v>
      </c>
      <c r="N6" s="39" t="s">
        <v>26</v>
      </c>
      <c r="O6" s="39" t="s">
        <v>27</v>
      </c>
      <c r="P6" s="39" t="s">
        <v>5320</v>
      </c>
      <c r="Q6" s="39" t="s">
        <v>5321</v>
      </c>
      <c r="R6" s="39" t="s">
        <v>5324</v>
      </c>
    </row>
    <row r="7" spans="1:18" ht="18" customHeight="1" thickTop="1">
      <c r="A7" s="19">
        <v>1</v>
      </c>
      <c r="B7" s="2" t="s">
        <v>4582</v>
      </c>
      <c r="C7" s="1">
        <v>4232658</v>
      </c>
      <c r="D7" s="3" t="s">
        <v>4583</v>
      </c>
      <c r="E7" s="1" t="s">
        <v>71</v>
      </c>
      <c r="F7" s="10" t="s">
        <v>4541</v>
      </c>
      <c r="G7" s="2">
        <v>21</v>
      </c>
      <c r="H7" s="6">
        <v>76</v>
      </c>
      <c r="I7" s="6">
        <v>100</v>
      </c>
      <c r="J7" s="6">
        <v>92</v>
      </c>
      <c r="K7" s="6">
        <v>88</v>
      </c>
      <c r="L7" s="6">
        <v>88</v>
      </c>
      <c r="M7" s="6">
        <v>88</v>
      </c>
      <c r="N7" s="6">
        <v>92</v>
      </c>
      <c r="O7" s="6">
        <v>96</v>
      </c>
      <c r="P7" s="1">
        <f t="shared" ref="P7:P38" si="0">SUBTOTAL(9,H7:O7)</f>
        <v>720</v>
      </c>
      <c r="Q7" s="14">
        <f t="shared" ref="Q7:Q38" si="1">P7/8</f>
        <v>90</v>
      </c>
      <c r="R7" s="20">
        <f t="shared" ref="R7:R38" si="2">RANK(Q7,Q$7:Q$231,0)</f>
        <v>1</v>
      </c>
    </row>
    <row r="8" spans="1:18" ht="18" customHeight="1">
      <c r="A8" s="19">
        <v>2</v>
      </c>
      <c r="B8" s="2" t="s">
        <v>4550</v>
      </c>
      <c r="C8" s="1">
        <v>4232581</v>
      </c>
      <c r="D8" s="3" t="s">
        <v>4551</v>
      </c>
      <c r="E8" s="1" t="s">
        <v>69</v>
      </c>
      <c r="F8" s="10" t="s">
        <v>4541</v>
      </c>
      <c r="G8" s="2">
        <v>20</v>
      </c>
      <c r="H8" s="6">
        <v>68</v>
      </c>
      <c r="I8" s="6">
        <v>100</v>
      </c>
      <c r="J8" s="6">
        <v>92</v>
      </c>
      <c r="K8" s="6">
        <v>100</v>
      </c>
      <c r="L8" s="6">
        <v>96</v>
      </c>
      <c r="M8" s="6">
        <v>88</v>
      </c>
      <c r="N8" s="6">
        <v>84</v>
      </c>
      <c r="O8" s="6">
        <v>88</v>
      </c>
      <c r="P8" s="1">
        <f t="shared" si="0"/>
        <v>716</v>
      </c>
      <c r="Q8" s="14">
        <f t="shared" si="1"/>
        <v>89.5</v>
      </c>
      <c r="R8" s="20">
        <f t="shared" si="2"/>
        <v>2</v>
      </c>
    </row>
    <row r="9" spans="1:18" ht="18" customHeight="1">
      <c r="A9" s="19">
        <v>3</v>
      </c>
      <c r="B9" s="2" t="s">
        <v>4556</v>
      </c>
      <c r="C9" s="1">
        <v>4232622</v>
      </c>
      <c r="D9" s="3" t="s">
        <v>4557</v>
      </c>
      <c r="E9" s="1" t="s">
        <v>69</v>
      </c>
      <c r="F9" s="10" t="s">
        <v>4541</v>
      </c>
      <c r="G9" s="2">
        <v>20</v>
      </c>
      <c r="H9" s="6">
        <v>76</v>
      </c>
      <c r="I9" s="6">
        <v>100</v>
      </c>
      <c r="J9" s="6">
        <v>92</v>
      </c>
      <c r="K9" s="6">
        <v>88</v>
      </c>
      <c r="L9" s="6">
        <v>76</v>
      </c>
      <c r="M9" s="6">
        <v>88</v>
      </c>
      <c r="N9" s="6">
        <v>72</v>
      </c>
      <c r="O9" s="6">
        <v>92</v>
      </c>
      <c r="P9" s="1">
        <f t="shared" si="0"/>
        <v>684</v>
      </c>
      <c r="Q9" s="14">
        <f t="shared" si="1"/>
        <v>85.5</v>
      </c>
      <c r="R9" s="20">
        <f t="shared" si="2"/>
        <v>3</v>
      </c>
    </row>
    <row r="10" spans="1:18" ht="18" customHeight="1">
      <c r="A10" s="19">
        <v>4</v>
      </c>
      <c r="B10" s="2" t="s">
        <v>4584</v>
      </c>
      <c r="C10" s="1">
        <v>4232724</v>
      </c>
      <c r="D10" s="3" t="s">
        <v>4585</v>
      </c>
      <c r="E10" s="1" t="s">
        <v>71</v>
      </c>
      <c r="F10" s="10" t="s">
        <v>4541</v>
      </c>
      <c r="G10" s="2">
        <v>21</v>
      </c>
      <c r="H10" s="6">
        <v>68</v>
      </c>
      <c r="I10" s="6">
        <v>100</v>
      </c>
      <c r="J10" s="6">
        <v>84</v>
      </c>
      <c r="K10" s="6">
        <v>76</v>
      </c>
      <c r="L10" s="6">
        <v>94</v>
      </c>
      <c r="M10" s="6">
        <v>76</v>
      </c>
      <c r="N10" s="6">
        <v>72</v>
      </c>
      <c r="O10" s="6">
        <v>96</v>
      </c>
      <c r="P10" s="1">
        <f t="shared" si="0"/>
        <v>666</v>
      </c>
      <c r="Q10" s="14">
        <f t="shared" si="1"/>
        <v>83.25</v>
      </c>
      <c r="R10" s="20">
        <f t="shared" si="2"/>
        <v>4</v>
      </c>
    </row>
    <row r="11" spans="1:18" ht="18" customHeight="1">
      <c r="A11" s="19">
        <v>5</v>
      </c>
      <c r="B11" s="2" t="s">
        <v>4548</v>
      </c>
      <c r="C11" s="1">
        <v>4232914</v>
      </c>
      <c r="D11" s="3" t="s">
        <v>4549</v>
      </c>
      <c r="E11" s="1" t="s">
        <v>80</v>
      </c>
      <c r="F11" s="10" t="s">
        <v>4541</v>
      </c>
      <c r="G11" s="2">
        <v>20</v>
      </c>
      <c r="H11" s="6">
        <v>76</v>
      </c>
      <c r="I11" s="6">
        <v>95</v>
      </c>
      <c r="J11" s="6">
        <v>72</v>
      </c>
      <c r="K11" s="6">
        <v>64</v>
      </c>
      <c r="L11" s="6">
        <v>80</v>
      </c>
      <c r="M11" s="6">
        <v>84</v>
      </c>
      <c r="N11" s="6">
        <v>92</v>
      </c>
      <c r="O11" s="6">
        <v>92</v>
      </c>
      <c r="P11" s="1">
        <f t="shared" si="0"/>
        <v>655</v>
      </c>
      <c r="Q11" s="14">
        <f t="shared" si="1"/>
        <v>81.875</v>
      </c>
      <c r="R11" s="20">
        <f t="shared" si="2"/>
        <v>5</v>
      </c>
    </row>
    <row r="12" spans="1:18" ht="18" customHeight="1">
      <c r="A12" s="19">
        <v>6</v>
      </c>
      <c r="B12" s="2" t="s">
        <v>4647</v>
      </c>
      <c r="C12" s="1">
        <v>311230119</v>
      </c>
      <c r="D12" s="3" t="s">
        <v>4648</v>
      </c>
      <c r="E12" s="1" t="s">
        <v>66</v>
      </c>
      <c r="F12" s="10" t="s">
        <v>4541</v>
      </c>
      <c r="G12" s="2">
        <v>23</v>
      </c>
      <c r="H12" s="6">
        <v>68</v>
      </c>
      <c r="I12" s="6">
        <v>100</v>
      </c>
      <c r="J12" s="6">
        <v>72</v>
      </c>
      <c r="K12" s="6">
        <v>92</v>
      </c>
      <c r="L12" s="6">
        <v>74</v>
      </c>
      <c r="M12" s="6">
        <v>72</v>
      </c>
      <c r="N12" s="6">
        <v>88</v>
      </c>
      <c r="O12" s="6">
        <v>88</v>
      </c>
      <c r="P12" s="1">
        <f t="shared" si="0"/>
        <v>654</v>
      </c>
      <c r="Q12" s="14">
        <f t="shared" si="1"/>
        <v>81.75</v>
      </c>
      <c r="R12" s="20">
        <f t="shared" si="2"/>
        <v>6</v>
      </c>
    </row>
    <row r="13" spans="1:18" ht="18" customHeight="1">
      <c r="A13" s="19">
        <v>7</v>
      </c>
      <c r="B13" s="2" t="s">
        <v>4644</v>
      </c>
      <c r="C13" s="1" t="s">
        <v>4645</v>
      </c>
      <c r="D13" s="3" t="s">
        <v>4646</v>
      </c>
      <c r="E13" s="1" t="s">
        <v>82</v>
      </c>
      <c r="F13" s="10" t="s">
        <v>4541</v>
      </c>
      <c r="G13" s="2">
        <v>23</v>
      </c>
      <c r="H13" s="6">
        <v>56</v>
      </c>
      <c r="I13" s="6">
        <v>95</v>
      </c>
      <c r="J13" s="6">
        <v>84</v>
      </c>
      <c r="K13" s="6">
        <v>76</v>
      </c>
      <c r="L13" s="6">
        <v>88</v>
      </c>
      <c r="M13" s="6">
        <v>80</v>
      </c>
      <c r="N13" s="6">
        <v>84</v>
      </c>
      <c r="O13" s="6">
        <v>84</v>
      </c>
      <c r="P13" s="1">
        <f t="shared" si="0"/>
        <v>647</v>
      </c>
      <c r="Q13" s="14">
        <f t="shared" si="1"/>
        <v>80.875</v>
      </c>
      <c r="R13" s="20">
        <f t="shared" si="2"/>
        <v>7</v>
      </c>
    </row>
    <row r="14" spans="1:18" ht="18" customHeight="1">
      <c r="A14" s="19">
        <v>8</v>
      </c>
      <c r="B14" s="2" t="s">
        <v>4624</v>
      </c>
      <c r="C14" s="1">
        <v>311220774</v>
      </c>
      <c r="D14" s="3" t="s">
        <v>4625</v>
      </c>
      <c r="E14" s="1" t="s">
        <v>84</v>
      </c>
      <c r="F14" s="10" t="s">
        <v>4541</v>
      </c>
      <c r="G14" s="2">
        <v>22</v>
      </c>
      <c r="H14" s="6">
        <v>72</v>
      </c>
      <c r="I14" s="6">
        <v>100</v>
      </c>
      <c r="J14" s="6">
        <v>84</v>
      </c>
      <c r="K14" s="6">
        <v>64</v>
      </c>
      <c r="L14" s="6">
        <v>88</v>
      </c>
      <c r="M14" s="6">
        <v>72</v>
      </c>
      <c r="N14" s="6">
        <v>84</v>
      </c>
      <c r="O14" s="6">
        <v>72</v>
      </c>
      <c r="P14" s="1">
        <f t="shared" si="0"/>
        <v>636</v>
      </c>
      <c r="Q14" s="14">
        <f t="shared" si="1"/>
        <v>79.5</v>
      </c>
      <c r="R14" s="20">
        <f t="shared" si="2"/>
        <v>8</v>
      </c>
    </row>
    <row r="15" spans="1:18" ht="18" customHeight="1">
      <c r="A15" s="19">
        <v>9</v>
      </c>
      <c r="B15" s="2" t="s">
        <v>4640</v>
      </c>
      <c r="C15" s="1">
        <v>4232589</v>
      </c>
      <c r="D15" s="3" t="s">
        <v>4641</v>
      </c>
      <c r="E15" s="1" t="s">
        <v>82</v>
      </c>
      <c r="F15" s="10" t="s">
        <v>4541</v>
      </c>
      <c r="G15" s="2">
        <v>23</v>
      </c>
      <c r="H15" s="6">
        <v>56</v>
      </c>
      <c r="I15" s="6">
        <v>90</v>
      </c>
      <c r="J15" s="6">
        <v>88</v>
      </c>
      <c r="K15" s="6">
        <v>68</v>
      </c>
      <c r="L15" s="6">
        <v>68</v>
      </c>
      <c r="M15" s="6">
        <v>80</v>
      </c>
      <c r="N15" s="6">
        <v>76</v>
      </c>
      <c r="O15" s="6">
        <v>72</v>
      </c>
      <c r="P15" s="1">
        <f t="shared" si="0"/>
        <v>598</v>
      </c>
      <c r="Q15" s="14">
        <f t="shared" si="1"/>
        <v>74.75</v>
      </c>
      <c r="R15" s="20">
        <f t="shared" si="2"/>
        <v>9</v>
      </c>
    </row>
    <row r="16" spans="1:18" ht="18" customHeight="1">
      <c r="A16" s="19">
        <v>10</v>
      </c>
      <c r="B16" s="2" t="s">
        <v>4654</v>
      </c>
      <c r="C16" s="1" t="s">
        <v>4655</v>
      </c>
      <c r="D16" s="3" t="s">
        <v>4323</v>
      </c>
      <c r="E16" s="1" t="s">
        <v>4656</v>
      </c>
      <c r="F16" s="10" t="s">
        <v>4541</v>
      </c>
      <c r="G16" s="2">
        <v>23</v>
      </c>
      <c r="H16" s="6">
        <v>76</v>
      </c>
      <c r="I16" s="6">
        <v>80</v>
      </c>
      <c r="J16" s="6">
        <v>68</v>
      </c>
      <c r="K16" s="6">
        <v>68</v>
      </c>
      <c r="L16" s="6">
        <v>68</v>
      </c>
      <c r="M16" s="6">
        <v>84</v>
      </c>
      <c r="N16" s="6">
        <v>72</v>
      </c>
      <c r="O16" s="6">
        <v>76</v>
      </c>
      <c r="P16" s="1">
        <f t="shared" si="0"/>
        <v>592</v>
      </c>
      <c r="Q16" s="14">
        <f t="shared" si="1"/>
        <v>74</v>
      </c>
      <c r="R16" s="20">
        <f t="shared" si="2"/>
        <v>10</v>
      </c>
    </row>
    <row r="17" spans="1:18" ht="18" customHeight="1">
      <c r="A17" s="19">
        <v>11</v>
      </c>
      <c r="B17" s="2" t="s">
        <v>4659</v>
      </c>
      <c r="C17" s="1">
        <v>311220839</v>
      </c>
      <c r="D17" s="3" t="s">
        <v>4660</v>
      </c>
      <c r="E17" s="1" t="s">
        <v>67</v>
      </c>
      <c r="F17" s="10" t="s">
        <v>4541</v>
      </c>
      <c r="G17" s="2">
        <v>23</v>
      </c>
      <c r="H17" s="6">
        <v>56</v>
      </c>
      <c r="I17" s="6">
        <v>95</v>
      </c>
      <c r="J17" s="6">
        <v>68</v>
      </c>
      <c r="K17" s="6">
        <v>72</v>
      </c>
      <c r="L17" s="6">
        <v>76</v>
      </c>
      <c r="M17" s="6">
        <v>88</v>
      </c>
      <c r="N17" s="6">
        <v>76</v>
      </c>
      <c r="O17" s="6">
        <v>52</v>
      </c>
      <c r="P17" s="1">
        <f t="shared" si="0"/>
        <v>583</v>
      </c>
      <c r="Q17" s="14">
        <f t="shared" si="1"/>
        <v>72.875</v>
      </c>
      <c r="R17" s="20">
        <f t="shared" si="2"/>
        <v>11</v>
      </c>
    </row>
    <row r="18" spans="1:18" ht="18" customHeight="1">
      <c r="A18" s="19">
        <v>12</v>
      </c>
      <c r="B18" s="2" t="s">
        <v>4612</v>
      </c>
      <c r="C18" s="1">
        <v>4232736</v>
      </c>
      <c r="D18" s="3" t="s">
        <v>4613</v>
      </c>
      <c r="E18" s="1" t="s">
        <v>73</v>
      </c>
      <c r="F18" s="10" t="s">
        <v>4541</v>
      </c>
      <c r="G18" s="2">
        <v>22</v>
      </c>
      <c r="H18" s="6">
        <v>64</v>
      </c>
      <c r="I18" s="6">
        <v>95</v>
      </c>
      <c r="J18" s="6">
        <v>60</v>
      </c>
      <c r="K18" s="6">
        <v>56</v>
      </c>
      <c r="L18" s="6">
        <v>76</v>
      </c>
      <c r="M18" s="6">
        <v>68</v>
      </c>
      <c r="N18" s="6">
        <v>80</v>
      </c>
      <c r="O18" s="6">
        <v>80</v>
      </c>
      <c r="P18" s="1">
        <f t="shared" si="0"/>
        <v>579</v>
      </c>
      <c r="Q18" s="14">
        <f t="shared" si="1"/>
        <v>72.375</v>
      </c>
      <c r="R18" s="20">
        <f t="shared" si="2"/>
        <v>12</v>
      </c>
    </row>
    <row r="19" spans="1:18" ht="18" customHeight="1">
      <c r="A19" s="19">
        <v>13</v>
      </c>
      <c r="B19" s="2" t="s">
        <v>4595</v>
      </c>
      <c r="C19" s="1" t="s">
        <v>4596</v>
      </c>
      <c r="D19" s="3" t="s">
        <v>4597</v>
      </c>
      <c r="E19" s="1" t="s">
        <v>62</v>
      </c>
      <c r="F19" s="10" t="s">
        <v>4541</v>
      </c>
      <c r="G19" s="2">
        <v>22</v>
      </c>
      <c r="H19" s="6">
        <v>32</v>
      </c>
      <c r="I19" s="6">
        <v>100</v>
      </c>
      <c r="J19" s="6">
        <v>76</v>
      </c>
      <c r="K19" s="6">
        <v>76</v>
      </c>
      <c r="L19" s="6">
        <v>76</v>
      </c>
      <c r="M19" s="6">
        <v>80</v>
      </c>
      <c r="N19" s="6">
        <v>80</v>
      </c>
      <c r="O19" s="6">
        <v>56</v>
      </c>
      <c r="P19" s="1">
        <f t="shared" si="0"/>
        <v>576</v>
      </c>
      <c r="Q19" s="14">
        <f t="shared" si="1"/>
        <v>72</v>
      </c>
      <c r="R19" s="20">
        <f t="shared" si="2"/>
        <v>13</v>
      </c>
    </row>
    <row r="20" spans="1:18" ht="18" customHeight="1">
      <c r="A20" s="19">
        <v>14</v>
      </c>
      <c r="B20" s="2" t="s">
        <v>4657</v>
      </c>
      <c r="C20" s="1">
        <v>311220849</v>
      </c>
      <c r="D20" s="3" t="s">
        <v>4658</v>
      </c>
      <c r="E20" s="1" t="s">
        <v>67</v>
      </c>
      <c r="F20" s="10" t="s">
        <v>4541</v>
      </c>
      <c r="G20" s="2">
        <v>23</v>
      </c>
      <c r="H20" s="6">
        <v>56</v>
      </c>
      <c r="I20" s="6">
        <v>90</v>
      </c>
      <c r="J20" s="6">
        <v>76</v>
      </c>
      <c r="K20" s="6">
        <v>80</v>
      </c>
      <c r="L20" s="6">
        <v>36</v>
      </c>
      <c r="M20" s="6">
        <v>80</v>
      </c>
      <c r="N20" s="6">
        <v>84</v>
      </c>
      <c r="O20" s="6">
        <v>72</v>
      </c>
      <c r="P20" s="1">
        <f t="shared" si="0"/>
        <v>574</v>
      </c>
      <c r="Q20" s="14">
        <f t="shared" si="1"/>
        <v>71.75</v>
      </c>
      <c r="R20" s="20">
        <f t="shared" si="2"/>
        <v>14</v>
      </c>
    </row>
    <row r="21" spans="1:18" ht="18" customHeight="1">
      <c r="A21" s="19">
        <v>15</v>
      </c>
      <c r="B21" s="2" t="s">
        <v>4642</v>
      </c>
      <c r="C21" s="1">
        <v>4232564</v>
      </c>
      <c r="D21" s="3" t="s">
        <v>4643</v>
      </c>
      <c r="E21" s="1" t="s">
        <v>82</v>
      </c>
      <c r="F21" s="10" t="s">
        <v>4541</v>
      </c>
      <c r="G21" s="2">
        <v>23</v>
      </c>
      <c r="H21" s="6">
        <v>76</v>
      </c>
      <c r="I21" s="6">
        <v>95</v>
      </c>
      <c r="J21" s="6">
        <v>76</v>
      </c>
      <c r="K21" s="6">
        <v>76</v>
      </c>
      <c r="L21" s="6">
        <v>60</v>
      </c>
      <c r="M21" s="6">
        <v>60</v>
      </c>
      <c r="N21" s="6">
        <v>68</v>
      </c>
      <c r="O21" s="6">
        <v>60</v>
      </c>
      <c r="P21" s="1">
        <f t="shared" si="0"/>
        <v>571</v>
      </c>
      <c r="Q21" s="14">
        <f t="shared" si="1"/>
        <v>71.375</v>
      </c>
      <c r="R21" s="20">
        <f t="shared" si="2"/>
        <v>15</v>
      </c>
    </row>
    <row r="22" spans="1:18" ht="18" customHeight="1">
      <c r="A22" s="19">
        <v>16</v>
      </c>
      <c r="B22" s="2" t="s">
        <v>4591</v>
      </c>
      <c r="C22" s="1">
        <v>311220793</v>
      </c>
      <c r="D22" s="3" t="s">
        <v>4592</v>
      </c>
      <c r="E22" s="1" t="s">
        <v>71</v>
      </c>
      <c r="F22" s="10" t="s">
        <v>4541</v>
      </c>
      <c r="G22" s="2">
        <v>21</v>
      </c>
      <c r="H22" s="6">
        <v>60</v>
      </c>
      <c r="I22" s="6">
        <v>90</v>
      </c>
      <c r="J22" s="6">
        <v>76</v>
      </c>
      <c r="K22" s="6">
        <v>56</v>
      </c>
      <c r="L22" s="6">
        <v>88</v>
      </c>
      <c r="M22" s="6">
        <v>72</v>
      </c>
      <c r="N22" s="6">
        <v>68</v>
      </c>
      <c r="O22" s="6">
        <v>60</v>
      </c>
      <c r="P22" s="1">
        <f t="shared" si="0"/>
        <v>570</v>
      </c>
      <c r="Q22" s="14">
        <f t="shared" si="1"/>
        <v>71.25</v>
      </c>
      <c r="R22" s="20">
        <f t="shared" si="2"/>
        <v>16</v>
      </c>
    </row>
    <row r="23" spans="1:18" ht="18" customHeight="1">
      <c r="A23" s="19">
        <v>17</v>
      </c>
      <c r="B23" s="2" t="s">
        <v>4586</v>
      </c>
      <c r="C23" s="1">
        <v>311220831</v>
      </c>
      <c r="D23" s="3" t="s">
        <v>4587</v>
      </c>
      <c r="E23" s="1" t="s">
        <v>71</v>
      </c>
      <c r="F23" s="10" t="s">
        <v>4541</v>
      </c>
      <c r="G23" s="2">
        <v>21</v>
      </c>
      <c r="H23" s="6">
        <v>64</v>
      </c>
      <c r="I23" s="6">
        <v>95</v>
      </c>
      <c r="J23" s="6">
        <v>80</v>
      </c>
      <c r="K23" s="6">
        <v>76</v>
      </c>
      <c r="L23" s="6">
        <v>56</v>
      </c>
      <c r="M23" s="6">
        <v>56</v>
      </c>
      <c r="N23" s="6">
        <v>72</v>
      </c>
      <c r="O23" s="6">
        <v>68</v>
      </c>
      <c r="P23" s="1">
        <f t="shared" si="0"/>
        <v>567</v>
      </c>
      <c r="Q23" s="14">
        <f t="shared" si="1"/>
        <v>70.875</v>
      </c>
      <c r="R23" s="20">
        <f t="shared" si="2"/>
        <v>17</v>
      </c>
    </row>
    <row r="24" spans="1:18" ht="18" customHeight="1">
      <c r="A24" s="19">
        <v>18</v>
      </c>
      <c r="B24" s="2" t="s">
        <v>4618</v>
      </c>
      <c r="C24" s="1">
        <v>4232830</v>
      </c>
      <c r="D24" s="3" t="s">
        <v>4619</v>
      </c>
      <c r="E24" s="1" t="s">
        <v>77</v>
      </c>
      <c r="F24" s="10" t="s">
        <v>4541</v>
      </c>
      <c r="G24" s="2">
        <v>22</v>
      </c>
      <c r="H24" s="6">
        <v>64</v>
      </c>
      <c r="I24" s="6">
        <v>95</v>
      </c>
      <c r="J24" s="6">
        <v>44</v>
      </c>
      <c r="K24" s="6">
        <v>64</v>
      </c>
      <c r="L24" s="6">
        <v>72</v>
      </c>
      <c r="M24" s="6">
        <v>64</v>
      </c>
      <c r="N24" s="6">
        <v>80</v>
      </c>
      <c r="O24" s="6">
        <v>72</v>
      </c>
      <c r="P24" s="1">
        <f t="shared" si="0"/>
        <v>555</v>
      </c>
      <c r="Q24" s="14">
        <f t="shared" si="1"/>
        <v>69.375</v>
      </c>
      <c r="R24" s="20">
        <f t="shared" si="2"/>
        <v>18</v>
      </c>
    </row>
    <row r="25" spans="1:18" ht="18" customHeight="1">
      <c r="A25" s="19">
        <v>19</v>
      </c>
      <c r="B25" s="2" t="s">
        <v>4636</v>
      </c>
      <c r="C25" s="1">
        <v>4232975</v>
      </c>
      <c r="D25" s="3" t="s">
        <v>4637</v>
      </c>
      <c r="E25" s="1" t="s">
        <v>65</v>
      </c>
      <c r="F25" s="10" t="s">
        <v>4541</v>
      </c>
      <c r="G25" s="2">
        <v>23</v>
      </c>
      <c r="H25" s="6">
        <v>64</v>
      </c>
      <c r="I25" s="6">
        <v>100</v>
      </c>
      <c r="J25" s="6">
        <v>52</v>
      </c>
      <c r="K25" s="6">
        <v>52</v>
      </c>
      <c r="L25" s="6">
        <v>68</v>
      </c>
      <c r="M25" s="6">
        <v>60</v>
      </c>
      <c r="N25" s="6">
        <v>92</v>
      </c>
      <c r="O25" s="6">
        <v>64</v>
      </c>
      <c r="P25" s="1">
        <f t="shared" si="0"/>
        <v>552</v>
      </c>
      <c r="Q25" s="14">
        <f t="shared" si="1"/>
        <v>69</v>
      </c>
      <c r="R25" s="20">
        <f t="shared" si="2"/>
        <v>19</v>
      </c>
    </row>
    <row r="26" spans="1:18" ht="18" customHeight="1">
      <c r="A26" s="19">
        <v>20</v>
      </c>
      <c r="B26" s="2" t="s">
        <v>4603</v>
      </c>
      <c r="C26" s="1" t="s">
        <v>4604</v>
      </c>
      <c r="D26" s="3" t="s">
        <v>4605</v>
      </c>
      <c r="E26" s="1" t="s">
        <v>82</v>
      </c>
      <c r="F26" s="10" t="s">
        <v>4541</v>
      </c>
      <c r="G26" s="2">
        <v>22</v>
      </c>
      <c r="H26" s="6">
        <v>64</v>
      </c>
      <c r="I26" s="6">
        <v>100</v>
      </c>
      <c r="J26" s="6">
        <v>80</v>
      </c>
      <c r="K26" s="6">
        <v>48</v>
      </c>
      <c r="L26" s="6">
        <v>84</v>
      </c>
      <c r="M26" s="6">
        <v>44</v>
      </c>
      <c r="N26" s="6">
        <v>84</v>
      </c>
      <c r="O26" s="6">
        <v>44</v>
      </c>
      <c r="P26" s="1">
        <f t="shared" si="0"/>
        <v>548</v>
      </c>
      <c r="Q26" s="14">
        <f t="shared" si="1"/>
        <v>68.5</v>
      </c>
      <c r="R26" s="20">
        <f t="shared" si="2"/>
        <v>20</v>
      </c>
    </row>
    <row r="27" spans="1:18" ht="18" customHeight="1">
      <c r="A27" s="19">
        <v>21</v>
      </c>
      <c r="B27" s="2" t="s">
        <v>4620</v>
      </c>
      <c r="C27" s="1">
        <v>311220829</v>
      </c>
      <c r="D27" s="3" t="s">
        <v>4621</v>
      </c>
      <c r="E27" s="1" t="s">
        <v>77</v>
      </c>
      <c r="F27" s="10" t="s">
        <v>4541</v>
      </c>
      <c r="G27" s="2">
        <v>22</v>
      </c>
      <c r="H27" s="6">
        <v>36</v>
      </c>
      <c r="I27" s="6">
        <v>100</v>
      </c>
      <c r="J27" s="6">
        <v>64</v>
      </c>
      <c r="K27" s="6">
        <v>48</v>
      </c>
      <c r="L27" s="6">
        <v>76</v>
      </c>
      <c r="M27" s="6">
        <v>84</v>
      </c>
      <c r="N27" s="6">
        <v>68</v>
      </c>
      <c r="O27" s="6">
        <v>72</v>
      </c>
      <c r="P27" s="1">
        <f t="shared" si="0"/>
        <v>548</v>
      </c>
      <c r="Q27" s="14">
        <f t="shared" si="1"/>
        <v>68.5</v>
      </c>
      <c r="R27" s="20">
        <f t="shared" si="2"/>
        <v>20</v>
      </c>
    </row>
    <row r="28" spans="1:18" ht="18" customHeight="1">
      <c r="A28" s="19">
        <v>22</v>
      </c>
      <c r="B28" s="2" t="s">
        <v>4588</v>
      </c>
      <c r="C28" s="1" t="s">
        <v>4589</v>
      </c>
      <c r="D28" s="3" t="s">
        <v>4590</v>
      </c>
      <c r="E28" s="1" t="s">
        <v>71</v>
      </c>
      <c r="F28" s="10" t="s">
        <v>4541</v>
      </c>
      <c r="G28" s="2">
        <v>21</v>
      </c>
      <c r="H28" s="6">
        <v>60</v>
      </c>
      <c r="I28" s="6">
        <v>100</v>
      </c>
      <c r="J28" s="6">
        <v>68</v>
      </c>
      <c r="K28" s="6">
        <v>52</v>
      </c>
      <c r="L28" s="6">
        <v>44</v>
      </c>
      <c r="M28" s="6">
        <v>60</v>
      </c>
      <c r="N28" s="6">
        <v>84</v>
      </c>
      <c r="O28" s="6">
        <v>76</v>
      </c>
      <c r="P28" s="1">
        <f t="shared" si="0"/>
        <v>544</v>
      </c>
      <c r="Q28" s="14">
        <f t="shared" si="1"/>
        <v>68</v>
      </c>
      <c r="R28" s="20">
        <f t="shared" si="2"/>
        <v>22</v>
      </c>
    </row>
    <row r="29" spans="1:18" ht="18" customHeight="1">
      <c r="A29" s="19">
        <v>23</v>
      </c>
      <c r="B29" s="2" t="s">
        <v>4610</v>
      </c>
      <c r="C29" s="1">
        <v>4232977</v>
      </c>
      <c r="D29" s="3" t="s">
        <v>4611</v>
      </c>
      <c r="E29" s="1" t="s">
        <v>73</v>
      </c>
      <c r="F29" s="10" t="s">
        <v>4541</v>
      </c>
      <c r="G29" s="2">
        <v>22</v>
      </c>
      <c r="H29" s="6">
        <v>56</v>
      </c>
      <c r="I29" s="6">
        <v>100</v>
      </c>
      <c r="J29" s="6">
        <v>56</v>
      </c>
      <c r="K29" s="6">
        <v>64</v>
      </c>
      <c r="L29" s="6">
        <v>64</v>
      </c>
      <c r="M29" s="6">
        <v>56</v>
      </c>
      <c r="N29" s="6">
        <v>76</v>
      </c>
      <c r="O29" s="6">
        <v>72</v>
      </c>
      <c r="P29" s="1">
        <f t="shared" si="0"/>
        <v>544</v>
      </c>
      <c r="Q29" s="14">
        <f t="shared" si="1"/>
        <v>68</v>
      </c>
      <c r="R29" s="20">
        <f t="shared" si="2"/>
        <v>22</v>
      </c>
    </row>
    <row r="30" spans="1:18" ht="18" customHeight="1">
      <c r="A30" s="19">
        <v>24</v>
      </c>
      <c r="B30" s="2" t="s">
        <v>4600</v>
      </c>
      <c r="C30" s="1" t="s">
        <v>4601</v>
      </c>
      <c r="D30" s="3" t="s">
        <v>4602</v>
      </c>
      <c r="E30" s="1" t="s">
        <v>81</v>
      </c>
      <c r="F30" s="10" t="s">
        <v>4541</v>
      </c>
      <c r="G30" s="2">
        <v>22</v>
      </c>
      <c r="H30" s="6">
        <v>80</v>
      </c>
      <c r="I30" s="6">
        <v>100</v>
      </c>
      <c r="J30" s="6">
        <v>76</v>
      </c>
      <c r="K30" s="6">
        <v>48</v>
      </c>
      <c r="L30" s="6">
        <v>40</v>
      </c>
      <c r="M30" s="6">
        <v>64</v>
      </c>
      <c r="N30" s="6">
        <v>64</v>
      </c>
      <c r="O30" s="6">
        <v>66</v>
      </c>
      <c r="P30" s="1">
        <f t="shared" si="0"/>
        <v>538</v>
      </c>
      <c r="Q30" s="14">
        <f t="shared" si="1"/>
        <v>67.25</v>
      </c>
      <c r="R30" s="20">
        <f t="shared" si="2"/>
        <v>24</v>
      </c>
    </row>
    <row r="31" spans="1:18" ht="18" customHeight="1">
      <c r="A31" s="19">
        <v>25</v>
      </c>
      <c r="B31" s="2" t="s">
        <v>4558</v>
      </c>
      <c r="C31" s="1">
        <v>4232855</v>
      </c>
      <c r="D31" s="3" t="s">
        <v>4559</v>
      </c>
      <c r="E31" s="1" t="s">
        <v>69</v>
      </c>
      <c r="F31" s="10" t="s">
        <v>4541</v>
      </c>
      <c r="G31" s="2">
        <v>20</v>
      </c>
      <c r="H31" s="6">
        <v>66</v>
      </c>
      <c r="I31" s="6">
        <v>75</v>
      </c>
      <c r="J31" s="6">
        <v>88</v>
      </c>
      <c r="K31" s="6">
        <v>56</v>
      </c>
      <c r="L31" s="6">
        <v>60</v>
      </c>
      <c r="M31" s="6">
        <v>56</v>
      </c>
      <c r="N31" s="6">
        <v>84</v>
      </c>
      <c r="O31" s="6">
        <v>48</v>
      </c>
      <c r="P31" s="1">
        <f t="shared" si="0"/>
        <v>533</v>
      </c>
      <c r="Q31" s="14">
        <f t="shared" si="1"/>
        <v>66.625</v>
      </c>
      <c r="R31" s="20">
        <f t="shared" si="2"/>
        <v>25</v>
      </c>
    </row>
    <row r="32" spans="1:18" ht="18" customHeight="1">
      <c r="A32" s="19">
        <v>26</v>
      </c>
      <c r="B32" s="2" t="s">
        <v>4630</v>
      </c>
      <c r="C32" s="1">
        <v>311220775</v>
      </c>
      <c r="D32" s="3" t="s">
        <v>4631</v>
      </c>
      <c r="E32" s="1" t="s">
        <v>88</v>
      </c>
      <c r="F32" s="10" t="s">
        <v>4541</v>
      </c>
      <c r="G32" s="2">
        <v>23</v>
      </c>
      <c r="H32" s="6">
        <v>24</v>
      </c>
      <c r="I32" s="6">
        <v>100</v>
      </c>
      <c r="J32" s="6">
        <v>80</v>
      </c>
      <c r="K32" s="6">
        <v>80</v>
      </c>
      <c r="L32" s="6">
        <v>24</v>
      </c>
      <c r="M32" s="6">
        <v>68</v>
      </c>
      <c r="N32" s="6">
        <v>80</v>
      </c>
      <c r="O32" s="6">
        <v>48</v>
      </c>
      <c r="P32" s="1">
        <f t="shared" si="0"/>
        <v>504</v>
      </c>
      <c r="Q32" s="14">
        <f t="shared" si="1"/>
        <v>63</v>
      </c>
      <c r="R32" s="20">
        <f t="shared" si="2"/>
        <v>26</v>
      </c>
    </row>
    <row r="33" spans="1:18" ht="18" customHeight="1">
      <c r="A33" s="19">
        <v>27</v>
      </c>
      <c r="B33" s="2" t="s">
        <v>4576</v>
      </c>
      <c r="C33" s="1">
        <v>4232810</v>
      </c>
      <c r="D33" s="3" t="s">
        <v>4577</v>
      </c>
      <c r="E33" s="1" t="s">
        <v>57</v>
      </c>
      <c r="F33" s="10" t="s">
        <v>4541</v>
      </c>
      <c r="G33" s="2">
        <v>21</v>
      </c>
      <c r="H33" s="6">
        <v>36</v>
      </c>
      <c r="I33" s="6">
        <v>90</v>
      </c>
      <c r="J33" s="6">
        <v>68</v>
      </c>
      <c r="K33" s="6">
        <v>68</v>
      </c>
      <c r="L33" s="6">
        <v>48</v>
      </c>
      <c r="M33" s="6">
        <v>72</v>
      </c>
      <c r="N33" s="6">
        <v>72</v>
      </c>
      <c r="O33" s="6">
        <v>48</v>
      </c>
      <c r="P33" s="1">
        <f t="shared" si="0"/>
        <v>502</v>
      </c>
      <c r="Q33" s="14">
        <f t="shared" si="1"/>
        <v>62.75</v>
      </c>
      <c r="R33" s="20">
        <f t="shared" si="2"/>
        <v>27</v>
      </c>
    </row>
    <row r="34" spans="1:18" ht="18" customHeight="1">
      <c r="A34" s="19">
        <v>28</v>
      </c>
      <c r="B34" s="2" t="s">
        <v>4622</v>
      </c>
      <c r="C34" s="1">
        <v>311220809</v>
      </c>
      <c r="D34" s="3" t="s">
        <v>4623</v>
      </c>
      <c r="E34" s="1" t="s">
        <v>77</v>
      </c>
      <c r="F34" s="10" t="s">
        <v>4541</v>
      </c>
      <c r="G34" s="2">
        <v>22</v>
      </c>
      <c r="H34" s="6">
        <v>28</v>
      </c>
      <c r="I34" s="6">
        <v>100</v>
      </c>
      <c r="J34" s="6">
        <v>40</v>
      </c>
      <c r="K34" s="6">
        <v>36</v>
      </c>
      <c r="L34" s="6">
        <v>64</v>
      </c>
      <c r="M34" s="6">
        <v>84</v>
      </c>
      <c r="N34" s="6">
        <v>76</v>
      </c>
      <c r="O34" s="6">
        <v>60</v>
      </c>
      <c r="P34" s="1">
        <f t="shared" si="0"/>
        <v>488</v>
      </c>
      <c r="Q34" s="14">
        <f t="shared" si="1"/>
        <v>61</v>
      </c>
      <c r="R34" s="20">
        <f t="shared" si="2"/>
        <v>28</v>
      </c>
    </row>
    <row r="35" spans="1:18" ht="18" customHeight="1">
      <c r="A35" s="19">
        <v>29</v>
      </c>
      <c r="B35" s="2" t="s">
        <v>4634</v>
      </c>
      <c r="C35" s="1" t="s">
        <v>4635</v>
      </c>
      <c r="D35" s="3" t="s">
        <v>1927</v>
      </c>
      <c r="E35" s="1" t="s">
        <v>65</v>
      </c>
      <c r="F35" s="10" t="s">
        <v>4541</v>
      </c>
      <c r="G35" s="2">
        <v>23</v>
      </c>
      <c r="H35" s="6">
        <v>52</v>
      </c>
      <c r="I35" s="6">
        <v>95</v>
      </c>
      <c r="J35" s="6">
        <v>60</v>
      </c>
      <c r="K35" s="6">
        <v>60</v>
      </c>
      <c r="L35" s="6">
        <v>48</v>
      </c>
      <c r="M35" s="6">
        <v>64</v>
      </c>
      <c r="N35" s="6">
        <v>64</v>
      </c>
      <c r="O35" s="6">
        <v>44</v>
      </c>
      <c r="P35" s="1">
        <f t="shared" si="0"/>
        <v>487</v>
      </c>
      <c r="Q35" s="14">
        <f t="shared" si="1"/>
        <v>60.875</v>
      </c>
      <c r="R35" s="20">
        <f t="shared" si="2"/>
        <v>29</v>
      </c>
    </row>
    <row r="36" spans="1:18" ht="18" customHeight="1">
      <c r="A36" s="19">
        <v>30</v>
      </c>
      <c r="B36" s="2" t="s">
        <v>4651</v>
      </c>
      <c r="C36" s="1" t="s">
        <v>4652</v>
      </c>
      <c r="D36" s="3" t="s">
        <v>4653</v>
      </c>
      <c r="E36" s="1" t="s">
        <v>66</v>
      </c>
      <c r="F36" s="10" t="s">
        <v>4541</v>
      </c>
      <c r="G36" s="2">
        <v>23</v>
      </c>
      <c r="H36" s="6">
        <v>32</v>
      </c>
      <c r="I36" s="6">
        <v>90</v>
      </c>
      <c r="J36" s="6">
        <v>56</v>
      </c>
      <c r="K36" s="6">
        <v>68</v>
      </c>
      <c r="L36" s="6">
        <v>44</v>
      </c>
      <c r="M36" s="6">
        <v>58</v>
      </c>
      <c r="N36" s="6">
        <v>84</v>
      </c>
      <c r="O36" s="6">
        <v>48</v>
      </c>
      <c r="P36" s="1">
        <f t="shared" si="0"/>
        <v>480</v>
      </c>
      <c r="Q36" s="14">
        <f t="shared" si="1"/>
        <v>60</v>
      </c>
      <c r="R36" s="20">
        <f t="shared" si="2"/>
        <v>30</v>
      </c>
    </row>
    <row r="37" spans="1:18" ht="18" customHeight="1">
      <c r="A37" s="19">
        <v>31</v>
      </c>
      <c r="B37" s="2" t="s">
        <v>4570</v>
      </c>
      <c r="C37" s="1">
        <v>311220755</v>
      </c>
      <c r="D37" s="3" t="s">
        <v>4571</v>
      </c>
      <c r="E37" s="1" t="s">
        <v>57</v>
      </c>
      <c r="F37" s="10" t="s">
        <v>4541</v>
      </c>
      <c r="G37" s="2">
        <v>21</v>
      </c>
      <c r="H37" s="6">
        <v>32</v>
      </c>
      <c r="I37" s="6">
        <v>100</v>
      </c>
      <c r="J37" s="6">
        <v>60</v>
      </c>
      <c r="K37" s="6">
        <v>80</v>
      </c>
      <c r="L37" s="6">
        <v>40</v>
      </c>
      <c r="M37" s="6">
        <v>48</v>
      </c>
      <c r="N37" s="6">
        <v>72</v>
      </c>
      <c r="O37" s="6">
        <v>44</v>
      </c>
      <c r="P37" s="1">
        <f t="shared" si="0"/>
        <v>476</v>
      </c>
      <c r="Q37" s="14">
        <f t="shared" si="1"/>
        <v>59.5</v>
      </c>
      <c r="R37" s="20">
        <f t="shared" si="2"/>
        <v>31</v>
      </c>
    </row>
    <row r="38" spans="1:18" ht="18" customHeight="1">
      <c r="A38" s="19">
        <v>32</v>
      </c>
      <c r="B38" s="2" t="s">
        <v>4608</v>
      </c>
      <c r="C38" s="1">
        <v>311220814</v>
      </c>
      <c r="D38" s="3" t="s">
        <v>4609</v>
      </c>
      <c r="E38" s="1" t="s">
        <v>81</v>
      </c>
      <c r="F38" s="10" t="s">
        <v>4541</v>
      </c>
      <c r="G38" s="2">
        <v>22</v>
      </c>
      <c r="H38" s="6">
        <v>44</v>
      </c>
      <c r="I38" s="6">
        <v>100</v>
      </c>
      <c r="J38" s="6">
        <v>88</v>
      </c>
      <c r="K38" s="6">
        <v>52</v>
      </c>
      <c r="L38" s="6">
        <v>40</v>
      </c>
      <c r="M38" s="6">
        <v>32</v>
      </c>
      <c r="N38" s="6">
        <v>72</v>
      </c>
      <c r="O38" s="6">
        <v>40</v>
      </c>
      <c r="P38" s="1">
        <f t="shared" si="0"/>
        <v>468</v>
      </c>
      <c r="Q38" s="14">
        <f t="shared" si="1"/>
        <v>58.5</v>
      </c>
      <c r="R38" s="20">
        <f t="shared" si="2"/>
        <v>32</v>
      </c>
    </row>
    <row r="39" spans="1:18" ht="18" customHeight="1">
      <c r="A39" s="19">
        <v>33</v>
      </c>
      <c r="B39" s="2" t="s">
        <v>4649</v>
      </c>
      <c r="C39" s="1">
        <v>4232853</v>
      </c>
      <c r="D39" s="3" t="s">
        <v>4650</v>
      </c>
      <c r="E39" s="1" t="s">
        <v>66</v>
      </c>
      <c r="F39" s="10" t="s">
        <v>4541</v>
      </c>
      <c r="G39" s="2">
        <v>23</v>
      </c>
      <c r="H39" s="6">
        <v>56</v>
      </c>
      <c r="I39" s="6">
        <v>95</v>
      </c>
      <c r="J39" s="6">
        <v>64</v>
      </c>
      <c r="K39" s="6">
        <v>68</v>
      </c>
      <c r="L39" s="6">
        <v>40</v>
      </c>
      <c r="M39" s="6">
        <v>20</v>
      </c>
      <c r="N39" s="6">
        <v>58</v>
      </c>
      <c r="O39" s="6">
        <v>64</v>
      </c>
      <c r="P39" s="1">
        <f t="shared" ref="P39:P62" si="3">SUBTOTAL(9,H39:O39)</f>
        <v>465</v>
      </c>
      <c r="Q39" s="14">
        <f t="shared" ref="Q39:Q62" si="4">P39/8</f>
        <v>58.125</v>
      </c>
      <c r="R39" s="20">
        <f t="shared" ref="R39:R62" si="5">RANK(Q39,Q$7:Q$231,0)</f>
        <v>33</v>
      </c>
    </row>
    <row r="40" spans="1:18" ht="18" customHeight="1">
      <c r="A40" s="19">
        <v>34</v>
      </c>
      <c r="B40" s="2" t="s">
        <v>4598</v>
      </c>
      <c r="C40" s="1">
        <v>4232859</v>
      </c>
      <c r="D40" s="3" t="s">
        <v>4599</v>
      </c>
      <c r="E40" s="1" t="s">
        <v>81</v>
      </c>
      <c r="F40" s="10" t="s">
        <v>4541</v>
      </c>
      <c r="G40" s="2">
        <v>22</v>
      </c>
      <c r="H40" s="6">
        <v>32</v>
      </c>
      <c r="I40" s="6">
        <v>100</v>
      </c>
      <c r="J40" s="6">
        <v>64</v>
      </c>
      <c r="K40" s="6">
        <v>56</v>
      </c>
      <c r="L40" s="6">
        <v>76</v>
      </c>
      <c r="M40" s="6">
        <v>20</v>
      </c>
      <c r="N40" s="6">
        <v>76</v>
      </c>
      <c r="O40" s="6">
        <v>40</v>
      </c>
      <c r="P40" s="1">
        <f t="shared" si="3"/>
        <v>464</v>
      </c>
      <c r="Q40" s="14">
        <f t="shared" si="4"/>
        <v>58</v>
      </c>
      <c r="R40" s="20">
        <f t="shared" si="5"/>
        <v>34</v>
      </c>
    </row>
    <row r="41" spans="1:18" ht="18" customHeight="1">
      <c r="A41" s="19">
        <v>35</v>
      </c>
      <c r="B41" s="2" t="s">
        <v>4617</v>
      </c>
      <c r="C41" s="1">
        <v>4233030</v>
      </c>
      <c r="D41" s="3" t="s">
        <v>1217</v>
      </c>
      <c r="E41" s="1" t="s">
        <v>73</v>
      </c>
      <c r="F41" s="10" t="s">
        <v>4541</v>
      </c>
      <c r="G41" s="2">
        <v>22</v>
      </c>
      <c r="H41" s="6">
        <v>72</v>
      </c>
      <c r="I41" s="6">
        <v>100</v>
      </c>
      <c r="J41" s="6">
        <v>72</v>
      </c>
      <c r="K41" s="6">
        <v>52</v>
      </c>
      <c r="L41" s="6">
        <v>52</v>
      </c>
      <c r="M41" s="6">
        <v>8</v>
      </c>
      <c r="N41" s="6">
        <v>52</v>
      </c>
      <c r="O41" s="6">
        <v>56</v>
      </c>
      <c r="P41" s="1">
        <f t="shared" si="3"/>
        <v>464</v>
      </c>
      <c r="Q41" s="14">
        <f t="shared" si="4"/>
        <v>58</v>
      </c>
      <c r="R41" s="20">
        <f t="shared" si="5"/>
        <v>34</v>
      </c>
    </row>
    <row r="42" spans="1:18" ht="18" customHeight="1">
      <c r="A42" s="19">
        <v>36</v>
      </c>
      <c r="B42" s="2" t="s">
        <v>4614</v>
      </c>
      <c r="C42" s="1" t="s">
        <v>4615</v>
      </c>
      <c r="D42" s="3" t="s">
        <v>4616</v>
      </c>
      <c r="E42" s="1" t="s">
        <v>73</v>
      </c>
      <c r="F42" s="10" t="s">
        <v>4541</v>
      </c>
      <c r="G42" s="2">
        <v>22</v>
      </c>
      <c r="H42" s="6">
        <v>52</v>
      </c>
      <c r="I42" s="6">
        <v>80</v>
      </c>
      <c r="J42" s="6">
        <v>44</v>
      </c>
      <c r="K42" s="6">
        <v>56</v>
      </c>
      <c r="L42" s="6">
        <v>52</v>
      </c>
      <c r="M42" s="6">
        <v>40</v>
      </c>
      <c r="N42" s="6">
        <v>64</v>
      </c>
      <c r="O42" s="6">
        <v>72</v>
      </c>
      <c r="P42" s="1">
        <f t="shared" si="3"/>
        <v>460</v>
      </c>
      <c r="Q42" s="14">
        <f t="shared" si="4"/>
        <v>57.5</v>
      </c>
      <c r="R42" s="20">
        <f t="shared" si="5"/>
        <v>36</v>
      </c>
    </row>
    <row r="43" spans="1:18" ht="18" customHeight="1">
      <c r="A43" s="19">
        <v>37</v>
      </c>
      <c r="B43" s="2" t="s">
        <v>4606</v>
      </c>
      <c r="C43" s="1">
        <v>311220808</v>
      </c>
      <c r="D43" s="3" t="s">
        <v>4607</v>
      </c>
      <c r="E43" s="1" t="s">
        <v>81</v>
      </c>
      <c r="F43" s="10" t="s">
        <v>4541</v>
      </c>
      <c r="G43" s="2">
        <v>22</v>
      </c>
      <c r="H43" s="6">
        <v>44</v>
      </c>
      <c r="I43" s="6">
        <v>90</v>
      </c>
      <c r="J43" s="6">
        <v>32</v>
      </c>
      <c r="K43" s="6">
        <v>52</v>
      </c>
      <c r="L43" s="6">
        <v>74</v>
      </c>
      <c r="M43" s="6">
        <v>16</v>
      </c>
      <c r="N43" s="6">
        <v>88</v>
      </c>
      <c r="O43" s="6">
        <v>60</v>
      </c>
      <c r="P43" s="1">
        <f t="shared" si="3"/>
        <v>456</v>
      </c>
      <c r="Q43" s="14">
        <f t="shared" si="4"/>
        <v>57</v>
      </c>
      <c r="R43" s="20">
        <f t="shared" si="5"/>
        <v>37</v>
      </c>
    </row>
    <row r="44" spans="1:18" ht="18" customHeight="1">
      <c r="A44" s="19">
        <v>38</v>
      </c>
      <c r="B44" s="2" t="s">
        <v>4552</v>
      </c>
      <c r="C44" s="1">
        <v>4232856</v>
      </c>
      <c r="D44" s="3" t="s">
        <v>4553</v>
      </c>
      <c r="E44" s="1" t="s">
        <v>69</v>
      </c>
      <c r="F44" s="10" t="s">
        <v>4541</v>
      </c>
      <c r="G44" s="2">
        <v>20</v>
      </c>
      <c r="H44" s="6">
        <v>56</v>
      </c>
      <c r="I44" s="6">
        <v>90</v>
      </c>
      <c r="J44" s="6">
        <v>48</v>
      </c>
      <c r="K44" s="6">
        <v>64</v>
      </c>
      <c r="L44" s="6">
        <v>36</v>
      </c>
      <c r="M44" s="6">
        <v>52</v>
      </c>
      <c r="N44" s="6">
        <v>88</v>
      </c>
      <c r="O44" s="6">
        <v>20</v>
      </c>
      <c r="P44" s="1">
        <f t="shared" si="3"/>
        <v>454</v>
      </c>
      <c r="Q44" s="14">
        <f t="shared" si="4"/>
        <v>56.75</v>
      </c>
      <c r="R44" s="20">
        <f t="shared" si="5"/>
        <v>38</v>
      </c>
    </row>
    <row r="45" spans="1:18" ht="18" customHeight="1">
      <c r="A45" s="19">
        <v>39</v>
      </c>
      <c r="B45" s="2" t="s">
        <v>4638</v>
      </c>
      <c r="C45" s="1">
        <v>4232601</v>
      </c>
      <c r="D45" s="3" t="s">
        <v>4639</v>
      </c>
      <c r="E45" s="1" t="s">
        <v>65</v>
      </c>
      <c r="F45" s="10" t="s">
        <v>4541</v>
      </c>
      <c r="G45" s="2">
        <v>23</v>
      </c>
      <c r="H45" s="6">
        <v>60</v>
      </c>
      <c r="I45" s="6">
        <v>95</v>
      </c>
      <c r="J45" s="6">
        <v>44</v>
      </c>
      <c r="K45" s="6">
        <v>44</v>
      </c>
      <c r="L45" s="6">
        <v>64</v>
      </c>
      <c r="M45" s="6">
        <v>20</v>
      </c>
      <c r="N45" s="6">
        <v>92</v>
      </c>
      <c r="O45" s="6">
        <v>32</v>
      </c>
      <c r="P45" s="1">
        <f t="shared" si="3"/>
        <v>451</v>
      </c>
      <c r="Q45" s="14">
        <f t="shared" si="4"/>
        <v>56.375</v>
      </c>
      <c r="R45" s="20">
        <f t="shared" si="5"/>
        <v>39</v>
      </c>
    </row>
    <row r="46" spans="1:18" ht="18" customHeight="1">
      <c r="A46" s="19">
        <v>40</v>
      </c>
      <c r="B46" s="2" t="s">
        <v>4554</v>
      </c>
      <c r="C46" s="1">
        <v>311220782</v>
      </c>
      <c r="D46" s="3" t="s">
        <v>4555</v>
      </c>
      <c r="E46" s="1" t="s">
        <v>69</v>
      </c>
      <c r="F46" s="10" t="s">
        <v>4541</v>
      </c>
      <c r="G46" s="2">
        <v>20</v>
      </c>
      <c r="H46" s="6">
        <v>52</v>
      </c>
      <c r="I46" s="6">
        <v>60</v>
      </c>
      <c r="J46" s="6">
        <v>52</v>
      </c>
      <c r="K46" s="6">
        <v>60</v>
      </c>
      <c r="L46" s="6">
        <v>48</v>
      </c>
      <c r="M46" s="6">
        <v>40</v>
      </c>
      <c r="N46" s="6">
        <v>92</v>
      </c>
      <c r="O46" s="6">
        <v>32</v>
      </c>
      <c r="P46" s="1">
        <f t="shared" si="3"/>
        <v>436</v>
      </c>
      <c r="Q46" s="14">
        <f t="shared" si="4"/>
        <v>54.5</v>
      </c>
      <c r="R46" s="20">
        <f t="shared" si="5"/>
        <v>40</v>
      </c>
    </row>
    <row r="47" spans="1:18" ht="18" customHeight="1">
      <c r="A47" s="19">
        <v>41</v>
      </c>
      <c r="B47" s="2" t="s">
        <v>4572</v>
      </c>
      <c r="C47" s="1">
        <v>311220792</v>
      </c>
      <c r="D47" s="3" t="s">
        <v>4573</v>
      </c>
      <c r="E47" s="1" t="s">
        <v>57</v>
      </c>
      <c r="F47" s="10" t="s">
        <v>4541</v>
      </c>
      <c r="G47" s="2">
        <v>21</v>
      </c>
      <c r="H47" s="6">
        <v>36</v>
      </c>
      <c r="I47" s="6">
        <v>100</v>
      </c>
      <c r="J47" s="6">
        <v>56</v>
      </c>
      <c r="K47" s="6">
        <v>64</v>
      </c>
      <c r="L47" s="6">
        <v>28</v>
      </c>
      <c r="M47" s="6">
        <v>68</v>
      </c>
      <c r="N47" s="6">
        <v>52</v>
      </c>
      <c r="O47" s="6">
        <v>32</v>
      </c>
      <c r="P47" s="1">
        <f t="shared" si="3"/>
        <v>436</v>
      </c>
      <c r="Q47" s="14">
        <f t="shared" si="4"/>
        <v>54.5</v>
      </c>
      <c r="R47" s="20">
        <f t="shared" si="5"/>
        <v>40</v>
      </c>
    </row>
    <row r="48" spans="1:18" ht="18" customHeight="1">
      <c r="A48" s="19">
        <v>42</v>
      </c>
      <c r="B48" s="2" t="s">
        <v>4628</v>
      </c>
      <c r="C48" s="1">
        <v>4232562</v>
      </c>
      <c r="D48" s="3" t="s">
        <v>4629</v>
      </c>
      <c r="E48" s="1" t="s">
        <v>63</v>
      </c>
      <c r="F48" s="10" t="s">
        <v>4541</v>
      </c>
      <c r="G48" s="2">
        <v>23</v>
      </c>
      <c r="H48" s="6">
        <v>24</v>
      </c>
      <c r="I48" s="6">
        <v>100</v>
      </c>
      <c r="J48" s="6">
        <v>64</v>
      </c>
      <c r="K48" s="6">
        <v>56</v>
      </c>
      <c r="L48" s="6">
        <v>40</v>
      </c>
      <c r="M48" s="6">
        <v>44</v>
      </c>
      <c r="N48" s="6">
        <v>72</v>
      </c>
      <c r="O48" s="6">
        <v>16</v>
      </c>
      <c r="P48" s="1">
        <f t="shared" si="3"/>
        <v>416</v>
      </c>
      <c r="Q48" s="14">
        <f t="shared" si="4"/>
        <v>52</v>
      </c>
      <c r="R48" s="20">
        <f t="shared" si="5"/>
        <v>42</v>
      </c>
    </row>
    <row r="49" spans="1:18" ht="18" customHeight="1">
      <c r="A49" s="19">
        <v>43</v>
      </c>
      <c r="B49" s="2" t="s">
        <v>4632</v>
      </c>
      <c r="C49" s="1">
        <v>311220816</v>
      </c>
      <c r="D49" s="3" t="s">
        <v>4633</v>
      </c>
      <c r="E49" s="1" t="s">
        <v>2075</v>
      </c>
      <c r="F49" s="10" t="s">
        <v>4541</v>
      </c>
      <c r="G49" s="2">
        <v>23</v>
      </c>
      <c r="H49" s="6">
        <v>36</v>
      </c>
      <c r="I49" s="6">
        <v>80</v>
      </c>
      <c r="J49" s="6">
        <v>32</v>
      </c>
      <c r="K49" s="6">
        <v>72</v>
      </c>
      <c r="L49" s="6">
        <v>56</v>
      </c>
      <c r="M49" s="6">
        <v>68</v>
      </c>
      <c r="N49" s="6">
        <v>52</v>
      </c>
      <c r="O49" s="6">
        <v>12</v>
      </c>
      <c r="P49" s="1">
        <f t="shared" si="3"/>
        <v>408</v>
      </c>
      <c r="Q49" s="14">
        <f t="shared" si="4"/>
        <v>51</v>
      </c>
      <c r="R49" s="20">
        <f t="shared" si="5"/>
        <v>43</v>
      </c>
    </row>
    <row r="50" spans="1:18" ht="18" customHeight="1">
      <c r="A50" s="19">
        <v>44</v>
      </c>
      <c r="B50" s="2" t="s">
        <v>4578</v>
      </c>
      <c r="C50" s="1">
        <v>4232773</v>
      </c>
      <c r="D50" s="3" t="s">
        <v>4579</v>
      </c>
      <c r="E50" s="1" t="s">
        <v>57</v>
      </c>
      <c r="F50" s="10" t="s">
        <v>4541</v>
      </c>
      <c r="G50" s="2">
        <v>21</v>
      </c>
      <c r="H50" s="6">
        <v>44</v>
      </c>
      <c r="I50" s="6">
        <v>90</v>
      </c>
      <c r="J50" s="6">
        <v>52</v>
      </c>
      <c r="K50" s="6">
        <v>32</v>
      </c>
      <c r="L50" s="6">
        <v>36</v>
      </c>
      <c r="M50" s="6">
        <v>40</v>
      </c>
      <c r="N50" s="6">
        <v>72</v>
      </c>
      <c r="O50" s="6">
        <v>32</v>
      </c>
      <c r="P50" s="1">
        <f t="shared" si="3"/>
        <v>398</v>
      </c>
      <c r="Q50" s="14">
        <f t="shared" si="4"/>
        <v>49.75</v>
      </c>
      <c r="R50" s="20">
        <f t="shared" si="5"/>
        <v>44</v>
      </c>
    </row>
    <row r="51" spans="1:18" ht="18" customHeight="1">
      <c r="A51" s="19">
        <v>45</v>
      </c>
      <c r="B51" s="2" t="s">
        <v>4626</v>
      </c>
      <c r="C51" s="1">
        <v>311220966</v>
      </c>
      <c r="D51" s="3" t="s">
        <v>4627</v>
      </c>
      <c r="E51" s="1" t="s">
        <v>84</v>
      </c>
      <c r="F51" s="10" t="s">
        <v>4541</v>
      </c>
      <c r="G51" s="2">
        <v>22</v>
      </c>
      <c r="H51" s="6">
        <v>24</v>
      </c>
      <c r="I51" s="6">
        <v>100</v>
      </c>
      <c r="J51" s="6">
        <v>52</v>
      </c>
      <c r="K51" s="6">
        <v>52</v>
      </c>
      <c r="L51" s="6">
        <v>40</v>
      </c>
      <c r="M51" s="6">
        <v>32</v>
      </c>
      <c r="N51" s="6">
        <v>62</v>
      </c>
      <c r="O51" s="6">
        <v>32</v>
      </c>
      <c r="P51" s="1">
        <f t="shared" si="3"/>
        <v>394</v>
      </c>
      <c r="Q51" s="14">
        <f t="shared" si="4"/>
        <v>49.25</v>
      </c>
      <c r="R51" s="20">
        <f t="shared" si="5"/>
        <v>45</v>
      </c>
    </row>
    <row r="52" spans="1:18" ht="18" customHeight="1">
      <c r="A52" s="19">
        <v>46</v>
      </c>
      <c r="B52" s="2" t="s">
        <v>4544</v>
      </c>
      <c r="C52" s="1">
        <v>311220886</v>
      </c>
      <c r="D52" s="3" t="s">
        <v>4545</v>
      </c>
      <c r="E52" s="1" t="s">
        <v>74</v>
      </c>
      <c r="F52" s="10" t="s">
        <v>4541</v>
      </c>
      <c r="G52" s="2">
        <v>20</v>
      </c>
      <c r="H52" s="6">
        <v>48</v>
      </c>
      <c r="I52" s="6">
        <v>90</v>
      </c>
      <c r="J52" s="6">
        <v>60</v>
      </c>
      <c r="K52" s="6">
        <v>56</v>
      </c>
      <c r="L52" s="6">
        <v>12</v>
      </c>
      <c r="M52" s="6">
        <v>28</v>
      </c>
      <c r="N52" s="6">
        <v>84</v>
      </c>
      <c r="O52" s="6">
        <v>12</v>
      </c>
      <c r="P52" s="1">
        <f t="shared" si="3"/>
        <v>390</v>
      </c>
      <c r="Q52" s="14">
        <f t="shared" si="4"/>
        <v>48.75</v>
      </c>
      <c r="R52" s="20">
        <f t="shared" si="5"/>
        <v>46</v>
      </c>
    </row>
    <row r="53" spans="1:18" ht="18" customHeight="1">
      <c r="A53" s="19">
        <v>47</v>
      </c>
      <c r="B53" s="2" t="s">
        <v>4562</v>
      </c>
      <c r="C53" s="1" t="s">
        <v>4563</v>
      </c>
      <c r="D53" s="3" t="s">
        <v>4564</v>
      </c>
      <c r="E53" s="1" t="s">
        <v>70</v>
      </c>
      <c r="F53" s="10" t="s">
        <v>4541</v>
      </c>
      <c r="G53" s="2">
        <v>21</v>
      </c>
      <c r="H53" s="6">
        <v>48</v>
      </c>
      <c r="I53" s="6">
        <v>95</v>
      </c>
      <c r="J53" s="6">
        <v>40</v>
      </c>
      <c r="K53" s="6">
        <v>48</v>
      </c>
      <c r="L53" s="6">
        <v>36</v>
      </c>
      <c r="M53" s="6">
        <v>16</v>
      </c>
      <c r="N53" s="6">
        <v>80</v>
      </c>
      <c r="O53" s="6">
        <v>8</v>
      </c>
      <c r="P53" s="1">
        <f t="shared" si="3"/>
        <v>371</v>
      </c>
      <c r="Q53" s="14">
        <f t="shared" si="4"/>
        <v>46.375</v>
      </c>
      <c r="R53" s="20">
        <f t="shared" si="5"/>
        <v>47</v>
      </c>
    </row>
    <row r="54" spans="1:18" ht="18" customHeight="1">
      <c r="A54" s="19">
        <v>48</v>
      </c>
      <c r="B54" s="2" t="s">
        <v>4542</v>
      </c>
      <c r="C54" s="1">
        <v>4232996</v>
      </c>
      <c r="D54" s="3" t="s">
        <v>4543</v>
      </c>
      <c r="E54" s="1" t="s">
        <v>77</v>
      </c>
      <c r="F54" s="10" t="s">
        <v>4541</v>
      </c>
      <c r="G54" s="2">
        <v>20</v>
      </c>
      <c r="H54" s="6">
        <v>36</v>
      </c>
      <c r="I54" s="6">
        <v>100</v>
      </c>
      <c r="J54" s="6">
        <v>56</v>
      </c>
      <c r="K54" s="6">
        <v>52</v>
      </c>
      <c r="L54" s="6">
        <v>24</v>
      </c>
      <c r="M54" s="6">
        <v>40</v>
      </c>
      <c r="N54" s="6">
        <v>52</v>
      </c>
      <c r="O54" s="6">
        <v>4</v>
      </c>
      <c r="P54" s="1">
        <f t="shared" si="3"/>
        <v>364</v>
      </c>
      <c r="Q54" s="14">
        <f t="shared" si="4"/>
        <v>45.5</v>
      </c>
      <c r="R54" s="20">
        <f t="shared" si="5"/>
        <v>48</v>
      </c>
    </row>
    <row r="55" spans="1:18" ht="18" customHeight="1">
      <c r="A55" s="19">
        <v>49</v>
      </c>
      <c r="B55" s="2" t="s">
        <v>4560</v>
      </c>
      <c r="C55" s="1">
        <v>311220784</v>
      </c>
      <c r="D55" s="3" t="s">
        <v>4561</v>
      </c>
      <c r="E55" s="1" t="s">
        <v>79</v>
      </c>
      <c r="F55" s="10" t="s">
        <v>4541</v>
      </c>
      <c r="G55" s="2">
        <v>20</v>
      </c>
      <c r="H55" s="6">
        <v>24</v>
      </c>
      <c r="I55" s="6">
        <v>50</v>
      </c>
      <c r="J55" s="6">
        <v>28</v>
      </c>
      <c r="K55" s="6">
        <v>44</v>
      </c>
      <c r="L55" s="6">
        <v>64</v>
      </c>
      <c r="M55" s="6">
        <v>24</v>
      </c>
      <c r="N55" s="6">
        <v>84</v>
      </c>
      <c r="O55" s="6">
        <v>12</v>
      </c>
      <c r="P55" s="1">
        <f t="shared" si="3"/>
        <v>330</v>
      </c>
      <c r="Q55" s="14">
        <f t="shared" si="4"/>
        <v>41.25</v>
      </c>
      <c r="R55" s="20">
        <f t="shared" si="5"/>
        <v>49</v>
      </c>
    </row>
    <row r="56" spans="1:18" ht="18" customHeight="1">
      <c r="A56" s="19">
        <v>50</v>
      </c>
      <c r="B56" s="2" t="s">
        <v>4567</v>
      </c>
      <c r="C56" s="1" t="s">
        <v>4568</v>
      </c>
      <c r="D56" s="3" t="s">
        <v>4569</v>
      </c>
      <c r="E56" s="1" t="s">
        <v>56</v>
      </c>
      <c r="F56" s="10" t="s">
        <v>4541</v>
      </c>
      <c r="G56" s="2">
        <v>21</v>
      </c>
      <c r="H56" s="6">
        <v>20</v>
      </c>
      <c r="I56" s="6">
        <v>100</v>
      </c>
      <c r="J56" s="6">
        <v>20</v>
      </c>
      <c r="K56" s="6">
        <v>44</v>
      </c>
      <c r="L56" s="6">
        <v>56</v>
      </c>
      <c r="M56" s="6">
        <v>12</v>
      </c>
      <c r="N56" s="6">
        <v>44</v>
      </c>
      <c r="O56" s="6">
        <v>32</v>
      </c>
      <c r="P56" s="1">
        <f t="shared" si="3"/>
        <v>328</v>
      </c>
      <c r="Q56" s="14">
        <f t="shared" si="4"/>
        <v>41</v>
      </c>
      <c r="R56" s="20">
        <f t="shared" si="5"/>
        <v>50</v>
      </c>
    </row>
    <row r="57" spans="1:18" ht="18" customHeight="1">
      <c r="A57" s="19">
        <v>51</v>
      </c>
      <c r="B57" s="2" t="s">
        <v>4580</v>
      </c>
      <c r="C57" s="1">
        <v>4232776</v>
      </c>
      <c r="D57" s="3" t="s">
        <v>4581</v>
      </c>
      <c r="E57" s="1" t="s">
        <v>57</v>
      </c>
      <c r="F57" s="10" t="s">
        <v>4541</v>
      </c>
      <c r="G57" s="2">
        <v>21</v>
      </c>
      <c r="H57" s="6">
        <v>44</v>
      </c>
      <c r="I57" s="6">
        <v>90</v>
      </c>
      <c r="J57" s="6">
        <v>36</v>
      </c>
      <c r="K57" s="6">
        <v>12</v>
      </c>
      <c r="L57" s="6">
        <v>28</v>
      </c>
      <c r="M57" s="6">
        <v>8</v>
      </c>
      <c r="N57" s="6">
        <v>72</v>
      </c>
      <c r="O57" s="6">
        <v>36</v>
      </c>
      <c r="P57" s="1">
        <f t="shared" si="3"/>
        <v>326</v>
      </c>
      <c r="Q57" s="14">
        <f t="shared" si="4"/>
        <v>40.75</v>
      </c>
      <c r="R57" s="20">
        <f t="shared" si="5"/>
        <v>51</v>
      </c>
    </row>
    <row r="58" spans="1:18" ht="18" customHeight="1">
      <c r="A58" s="19">
        <v>52</v>
      </c>
      <c r="B58" s="2" t="s">
        <v>4574</v>
      </c>
      <c r="C58" s="1">
        <v>311220867</v>
      </c>
      <c r="D58" s="3" t="s">
        <v>4575</v>
      </c>
      <c r="E58" s="1" t="s">
        <v>57</v>
      </c>
      <c r="F58" s="10" t="s">
        <v>4541</v>
      </c>
      <c r="G58" s="2">
        <v>21</v>
      </c>
      <c r="H58" s="6">
        <v>36</v>
      </c>
      <c r="I58" s="6">
        <v>100</v>
      </c>
      <c r="J58" s="6">
        <v>40</v>
      </c>
      <c r="K58" s="6">
        <v>24</v>
      </c>
      <c r="L58" s="6">
        <v>48</v>
      </c>
      <c r="M58" s="6">
        <v>32</v>
      </c>
      <c r="N58" s="6">
        <v>32</v>
      </c>
      <c r="O58" s="6">
        <v>8</v>
      </c>
      <c r="P58" s="1">
        <f t="shared" si="3"/>
        <v>320</v>
      </c>
      <c r="Q58" s="14">
        <f t="shared" si="4"/>
        <v>40</v>
      </c>
      <c r="R58" s="20">
        <f t="shared" si="5"/>
        <v>52</v>
      </c>
    </row>
    <row r="59" spans="1:18" ht="18" customHeight="1">
      <c r="A59" s="19">
        <v>53</v>
      </c>
      <c r="B59" s="2" t="s">
        <v>4565</v>
      </c>
      <c r="C59" s="1">
        <v>4232635</v>
      </c>
      <c r="D59" s="3" t="s">
        <v>4566</v>
      </c>
      <c r="E59" s="1" t="s">
        <v>70</v>
      </c>
      <c r="F59" s="10" t="s">
        <v>4541</v>
      </c>
      <c r="G59" s="2">
        <v>21</v>
      </c>
      <c r="H59" s="6">
        <v>32</v>
      </c>
      <c r="I59" s="6">
        <v>75</v>
      </c>
      <c r="J59" s="6">
        <v>36</v>
      </c>
      <c r="K59" s="6">
        <v>28</v>
      </c>
      <c r="L59" s="6">
        <v>28</v>
      </c>
      <c r="M59" s="6">
        <v>32</v>
      </c>
      <c r="N59" s="6">
        <v>60</v>
      </c>
      <c r="O59" s="6">
        <v>8</v>
      </c>
      <c r="P59" s="1">
        <f t="shared" si="3"/>
        <v>299</v>
      </c>
      <c r="Q59" s="14">
        <f t="shared" si="4"/>
        <v>37.375</v>
      </c>
      <c r="R59" s="20">
        <f t="shared" si="5"/>
        <v>53</v>
      </c>
    </row>
    <row r="60" spans="1:18" ht="18" customHeight="1">
      <c r="A60" s="19">
        <v>54</v>
      </c>
      <c r="B60" s="2" t="s">
        <v>4593</v>
      </c>
      <c r="C60" s="1">
        <v>4232573</v>
      </c>
      <c r="D60" s="3" t="s">
        <v>4594</v>
      </c>
      <c r="E60" s="1" t="s">
        <v>60</v>
      </c>
      <c r="F60" s="10" t="s">
        <v>4541</v>
      </c>
      <c r="G60" s="2">
        <v>21</v>
      </c>
      <c r="H60" s="6">
        <v>32</v>
      </c>
      <c r="I60" s="6">
        <v>70</v>
      </c>
      <c r="J60" s="6">
        <v>36</v>
      </c>
      <c r="K60" s="6">
        <v>36</v>
      </c>
      <c r="L60" s="6">
        <v>24</v>
      </c>
      <c r="M60" s="6">
        <v>16</v>
      </c>
      <c r="N60" s="6">
        <v>48</v>
      </c>
      <c r="O60" s="6">
        <v>8</v>
      </c>
      <c r="P60" s="1">
        <f t="shared" si="3"/>
        <v>270</v>
      </c>
      <c r="Q60" s="14">
        <f t="shared" si="4"/>
        <v>33.75</v>
      </c>
      <c r="R60" s="20">
        <f t="shared" si="5"/>
        <v>54</v>
      </c>
    </row>
    <row r="61" spans="1:18" ht="18" customHeight="1">
      <c r="A61" s="19">
        <v>55</v>
      </c>
      <c r="B61" s="2" t="s">
        <v>4539</v>
      </c>
      <c r="C61" s="1">
        <v>4032265</v>
      </c>
      <c r="D61" s="3" t="s">
        <v>4540</v>
      </c>
      <c r="E61" s="1" t="s">
        <v>55</v>
      </c>
      <c r="F61" s="10" t="s">
        <v>4541</v>
      </c>
      <c r="G61" s="2">
        <v>20</v>
      </c>
      <c r="H61" s="6"/>
      <c r="I61" s="6"/>
      <c r="J61" s="6"/>
      <c r="K61" s="6"/>
      <c r="L61" s="6"/>
      <c r="M61" s="6"/>
      <c r="N61" s="6"/>
      <c r="O61" s="6"/>
      <c r="P61" s="1">
        <f t="shared" si="3"/>
        <v>0</v>
      </c>
      <c r="Q61" s="14">
        <f t="shared" si="4"/>
        <v>0</v>
      </c>
      <c r="R61" s="20">
        <f t="shared" si="5"/>
        <v>55</v>
      </c>
    </row>
    <row r="62" spans="1:18" ht="18" customHeight="1">
      <c r="A62" s="19">
        <v>56</v>
      </c>
      <c r="B62" s="28" t="s">
        <v>4546</v>
      </c>
      <c r="C62" s="29">
        <v>4232879</v>
      </c>
      <c r="D62" s="30" t="s">
        <v>4547</v>
      </c>
      <c r="E62" s="29" t="s">
        <v>76</v>
      </c>
      <c r="F62" s="31" t="s">
        <v>4541</v>
      </c>
      <c r="G62" s="28">
        <v>20</v>
      </c>
      <c r="H62" s="46"/>
      <c r="I62" s="46"/>
      <c r="J62" s="46"/>
      <c r="K62" s="46"/>
      <c r="L62" s="46"/>
      <c r="M62" s="46"/>
      <c r="N62" s="46"/>
      <c r="O62" s="46"/>
      <c r="P62" s="29">
        <f t="shared" si="3"/>
        <v>0</v>
      </c>
      <c r="Q62" s="41">
        <f t="shared" si="4"/>
        <v>0</v>
      </c>
      <c r="R62" s="33">
        <f t="shared" si="5"/>
        <v>55</v>
      </c>
    </row>
  </sheetData>
  <mergeCells count="4">
    <mergeCell ref="A1:P1"/>
    <mergeCell ref="A2:P2"/>
    <mergeCell ref="A3:P3"/>
    <mergeCell ref="A5:B5"/>
  </mergeCells>
  <conditionalFormatting sqref="H7:L7">
    <cfRule type="cellIs" dxfId="1857" priority="279" operator="lessThan">
      <formula>5</formula>
    </cfRule>
  </conditionalFormatting>
  <conditionalFormatting sqref="M7:O7">
    <cfRule type="cellIs" dxfId="1856" priority="280" operator="lessThan">
      <formula>5</formula>
    </cfRule>
  </conditionalFormatting>
  <conditionalFormatting sqref="H7:O7">
    <cfRule type="expression" dxfId="1855" priority="278">
      <formula>5</formula>
    </cfRule>
  </conditionalFormatting>
  <conditionalFormatting sqref="H7:O7">
    <cfRule type="cellIs" dxfId="1854" priority="277" operator="lessThan">
      <formula>50</formula>
    </cfRule>
  </conditionalFormatting>
  <conditionalFormatting sqref="Q7">
    <cfRule type="cellIs" dxfId="1853" priority="276" operator="lessThan">
      <formula>50</formula>
    </cfRule>
  </conditionalFormatting>
  <conditionalFormatting sqref="H8:L8">
    <cfRule type="cellIs" dxfId="1852" priority="274" operator="lessThan">
      <formula>5</formula>
    </cfRule>
  </conditionalFormatting>
  <conditionalFormatting sqref="M8:O8">
    <cfRule type="cellIs" dxfId="1851" priority="275" operator="lessThan">
      <formula>5</formula>
    </cfRule>
  </conditionalFormatting>
  <conditionalFormatting sqref="H8:O8">
    <cfRule type="expression" dxfId="1850" priority="273">
      <formula>5</formula>
    </cfRule>
  </conditionalFormatting>
  <conditionalFormatting sqref="H8:O8">
    <cfRule type="cellIs" dxfId="1849" priority="272" operator="lessThan">
      <formula>50</formula>
    </cfRule>
  </conditionalFormatting>
  <conditionalFormatting sqref="Q8">
    <cfRule type="cellIs" dxfId="1848" priority="271" operator="lessThan">
      <formula>50</formula>
    </cfRule>
  </conditionalFormatting>
  <conditionalFormatting sqref="H9:L9">
    <cfRule type="cellIs" dxfId="1847" priority="269" operator="lessThan">
      <formula>5</formula>
    </cfRule>
  </conditionalFormatting>
  <conditionalFormatting sqref="M9:O9">
    <cfRule type="cellIs" dxfId="1846" priority="270" operator="lessThan">
      <formula>5</formula>
    </cfRule>
  </conditionalFormatting>
  <conditionalFormatting sqref="H9:O9">
    <cfRule type="expression" dxfId="1845" priority="268">
      <formula>5</formula>
    </cfRule>
  </conditionalFormatting>
  <conditionalFormatting sqref="H9:O9">
    <cfRule type="cellIs" dxfId="1844" priority="267" operator="lessThan">
      <formula>50</formula>
    </cfRule>
  </conditionalFormatting>
  <conditionalFormatting sqref="Q9">
    <cfRule type="cellIs" dxfId="1843" priority="266" operator="lessThan">
      <formula>50</formula>
    </cfRule>
  </conditionalFormatting>
  <conditionalFormatting sqref="H10:L10">
    <cfRule type="cellIs" dxfId="1842" priority="264" operator="lessThan">
      <formula>5</formula>
    </cfRule>
  </conditionalFormatting>
  <conditionalFormatting sqref="M10:O10">
    <cfRule type="cellIs" dxfId="1841" priority="265" operator="lessThan">
      <formula>5</formula>
    </cfRule>
  </conditionalFormatting>
  <conditionalFormatting sqref="H10:O10">
    <cfRule type="expression" dxfId="1840" priority="263">
      <formula>5</formula>
    </cfRule>
  </conditionalFormatting>
  <conditionalFormatting sqref="H10:O10">
    <cfRule type="cellIs" dxfId="1839" priority="262" operator="lessThan">
      <formula>50</formula>
    </cfRule>
  </conditionalFormatting>
  <conditionalFormatting sqref="Q10">
    <cfRule type="cellIs" dxfId="1838" priority="261" operator="lessThan">
      <formula>50</formula>
    </cfRule>
  </conditionalFormatting>
  <conditionalFormatting sqref="H11:L11">
    <cfRule type="cellIs" dxfId="1837" priority="259" operator="lessThan">
      <formula>5</formula>
    </cfRule>
  </conditionalFormatting>
  <conditionalFormatting sqref="M11:O11">
    <cfRule type="cellIs" dxfId="1836" priority="260" operator="lessThan">
      <formula>5</formula>
    </cfRule>
  </conditionalFormatting>
  <conditionalFormatting sqref="H11:O11">
    <cfRule type="expression" dxfId="1835" priority="258">
      <formula>5</formula>
    </cfRule>
  </conditionalFormatting>
  <conditionalFormatting sqref="H11:O11">
    <cfRule type="cellIs" dxfId="1834" priority="257" operator="lessThan">
      <formula>50</formula>
    </cfRule>
  </conditionalFormatting>
  <conditionalFormatting sqref="Q11">
    <cfRule type="cellIs" dxfId="1833" priority="256" operator="lessThan">
      <formula>50</formula>
    </cfRule>
  </conditionalFormatting>
  <conditionalFormatting sqref="H12:L12">
    <cfRule type="cellIs" dxfId="1832" priority="254" operator="lessThan">
      <formula>5</formula>
    </cfRule>
  </conditionalFormatting>
  <conditionalFormatting sqref="M12:O12">
    <cfRule type="cellIs" dxfId="1831" priority="255" operator="lessThan">
      <formula>5</formula>
    </cfRule>
  </conditionalFormatting>
  <conditionalFormatting sqref="H12:O12">
    <cfRule type="expression" dxfId="1830" priority="253">
      <formula>5</formula>
    </cfRule>
  </conditionalFormatting>
  <conditionalFormatting sqref="H12:O12">
    <cfRule type="cellIs" dxfId="1829" priority="252" operator="lessThan">
      <formula>50</formula>
    </cfRule>
  </conditionalFormatting>
  <conditionalFormatting sqref="Q12">
    <cfRule type="cellIs" dxfId="1828" priority="251" operator="lessThan">
      <formula>50</formula>
    </cfRule>
  </conditionalFormatting>
  <conditionalFormatting sqref="H13:L13">
    <cfRule type="cellIs" dxfId="1827" priority="249" operator="lessThan">
      <formula>5</formula>
    </cfRule>
  </conditionalFormatting>
  <conditionalFormatting sqref="M13:O13">
    <cfRule type="cellIs" dxfId="1826" priority="250" operator="lessThan">
      <formula>5</formula>
    </cfRule>
  </conditionalFormatting>
  <conditionalFormatting sqref="H13:O13">
    <cfRule type="expression" dxfId="1825" priority="248">
      <formula>5</formula>
    </cfRule>
  </conditionalFormatting>
  <conditionalFormatting sqref="H13:O13">
    <cfRule type="cellIs" dxfId="1824" priority="247" operator="lessThan">
      <formula>50</formula>
    </cfRule>
  </conditionalFormatting>
  <conditionalFormatting sqref="Q13">
    <cfRule type="cellIs" dxfId="1823" priority="246" operator="lessThan">
      <formula>50</formula>
    </cfRule>
  </conditionalFormatting>
  <conditionalFormatting sqref="H14:L14">
    <cfRule type="cellIs" dxfId="1822" priority="244" operator="lessThan">
      <formula>5</formula>
    </cfRule>
  </conditionalFormatting>
  <conditionalFormatting sqref="M14:O14">
    <cfRule type="cellIs" dxfId="1821" priority="245" operator="lessThan">
      <formula>5</formula>
    </cfRule>
  </conditionalFormatting>
  <conditionalFormatting sqref="H14:O14">
    <cfRule type="expression" dxfId="1820" priority="243">
      <formula>5</formula>
    </cfRule>
  </conditionalFormatting>
  <conditionalFormatting sqref="H14:O14">
    <cfRule type="cellIs" dxfId="1819" priority="242" operator="lessThan">
      <formula>50</formula>
    </cfRule>
  </conditionalFormatting>
  <conditionalFormatting sqref="Q14">
    <cfRule type="cellIs" dxfId="1818" priority="241" operator="lessThan">
      <formula>50</formula>
    </cfRule>
  </conditionalFormatting>
  <conditionalFormatting sqref="H15:L15">
    <cfRule type="cellIs" dxfId="1817" priority="239" operator="lessThan">
      <formula>5</formula>
    </cfRule>
  </conditionalFormatting>
  <conditionalFormatting sqref="M15:O15">
    <cfRule type="cellIs" dxfId="1816" priority="240" operator="lessThan">
      <formula>5</formula>
    </cfRule>
  </conditionalFormatting>
  <conditionalFormatting sqref="H15:O15">
    <cfRule type="expression" dxfId="1815" priority="238">
      <formula>5</formula>
    </cfRule>
  </conditionalFormatting>
  <conditionalFormatting sqref="H15:O15">
    <cfRule type="cellIs" dxfId="1814" priority="237" operator="lessThan">
      <formula>50</formula>
    </cfRule>
  </conditionalFormatting>
  <conditionalFormatting sqref="Q15">
    <cfRule type="cellIs" dxfId="1813" priority="236" operator="lessThan">
      <formula>50</formula>
    </cfRule>
  </conditionalFormatting>
  <conditionalFormatting sqref="H16:L16">
    <cfRule type="cellIs" dxfId="1812" priority="234" operator="lessThan">
      <formula>5</formula>
    </cfRule>
  </conditionalFormatting>
  <conditionalFormatting sqref="M16:O16">
    <cfRule type="cellIs" dxfId="1811" priority="235" operator="lessThan">
      <formula>5</formula>
    </cfRule>
  </conditionalFormatting>
  <conditionalFormatting sqref="H16:O16">
    <cfRule type="expression" dxfId="1810" priority="233">
      <formula>5</formula>
    </cfRule>
  </conditionalFormatting>
  <conditionalFormatting sqref="H16:O16">
    <cfRule type="cellIs" dxfId="1809" priority="232" operator="lessThan">
      <formula>50</formula>
    </cfRule>
  </conditionalFormatting>
  <conditionalFormatting sqref="Q16">
    <cfRule type="cellIs" dxfId="1808" priority="231" operator="lessThan">
      <formula>50</formula>
    </cfRule>
  </conditionalFormatting>
  <conditionalFormatting sqref="H17:L17">
    <cfRule type="cellIs" dxfId="1807" priority="229" operator="lessThan">
      <formula>5</formula>
    </cfRule>
  </conditionalFormatting>
  <conditionalFormatting sqref="M17:O17">
    <cfRule type="cellIs" dxfId="1806" priority="230" operator="lessThan">
      <formula>5</formula>
    </cfRule>
  </conditionalFormatting>
  <conditionalFormatting sqref="H17:O17">
    <cfRule type="expression" dxfId="1805" priority="228">
      <formula>5</formula>
    </cfRule>
  </conditionalFormatting>
  <conditionalFormatting sqref="H17:O17">
    <cfRule type="cellIs" dxfId="1804" priority="227" operator="lessThan">
      <formula>50</formula>
    </cfRule>
  </conditionalFormatting>
  <conditionalFormatting sqref="Q17">
    <cfRule type="cellIs" dxfId="1803" priority="226" operator="lessThan">
      <formula>50</formula>
    </cfRule>
  </conditionalFormatting>
  <conditionalFormatting sqref="H18:L18">
    <cfRule type="cellIs" dxfId="1802" priority="224" operator="lessThan">
      <formula>5</formula>
    </cfRule>
  </conditionalFormatting>
  <conditionalFormatting sqref="M18:O18">
    <cfRule type="cellIs" dxfId="1801" priority="225" operator="lessThan">
      <formula>5</formula>
    </cfRule>
  </conditionalFormatting>
  <conditionalFormatting sqref="H18:O18">
    <cfRule type="expression" dxfId="1800" priority="223">
      <formula>5</formula>
    </cfRule>
  </conditionalFormatting>
  <conditionalFormatting sqref="H18:O18">
    <cfRule type="cellIs" dxfId="1799" priority="222" operator="lessThan">
      <formula>50</formula>
    </cfRule>
  </conditionalFormatting>
  <conditionalFormatting sqref="Q18">
    <cfRule type="cellIs" dxfId="1798" priority="221" operator="lessThan">
      <formula>50</formula>
    </cfRule>
  </conditionalFormatting>
  <conditionalFormatting sqref="H19:L19">
    <cfRule type="cellIs" dxfId="1797" priority="219" operator="lessThan">
      <formula>5</formula>
    </cfRule>
  </conditionalFormatting>
  <conditionalFormatting sqref="M19:O19">
    <cfRule type="cellIs" dxfId="1796" priority="220" operator="lessThan">
      <formula>5</formula>
    </cfRule>
  </conditionalFormatting>
  <conditionalFormatting sqref="H19:O19">
    <cfRule type="expression" dxfId="1795" priority="218">
      <formula>5</formula>
    </cfRule>
  </conditionalFormatting>
  <conditionalFormatting sqref="H19:O19">
    <cfRule type="cellIs" dxfId="1794" priority="217" operator="lessThan">
      <formula>50</formula>
    </cfRule>
  </conditionalFormatting>
  <conditionalFormatting sqref="Q19">
    <cfRule type="cellIs" dxfId="1793" priority="216" operator="lessThan">
      <formula>50</formula>
    </cfRule>
  </conditionalFormatting>
  <conditionalFormatting sqref="H20:L20">
    <cfRule type="cellIs" dxfId="1792" priority="214" operator="lessThan">
      <formula>5</formula>
    </cfRule>
  </conditionalFormatting>
  <conditionalFormatting sqref="M20:O20">
    <cfRule type="cellIs" dxfId="1791" priority="215" operator="lessThan">
      <formula>5</formula>
    </cfRule>
  </conditionalFormatting>
  <conditionalFormatting sqref="H20:O20">
    <cfRule type="expression" dxfId="1790" priority="213">
      <formula>5</formula>
    </cfRule>
  </conditionalFormatting>
  <conditionalFormatting sqref="H20:O20">
    <cfRule type="cellIs" dxfId="1789" priority="212" operator="lessThan">
      <formula>50</formula>
    </cfRule>
  </conditionalFormatting>
  <conditionalFormatting sqref="Q20">
    <cfRule type="cellIs" dxfId="1788" priority="211" operator="lessThan">
      <formula>50</formula>
    </cfRule>
  </conditionalFormatting>
  <conditionalFormatting sqref="H21:L21">
    <cfRule type="cellIs" dxfId="1787" priority="209" operator="lessThan">
      <formula>5</formula>
    </cfRule>
  </conditionalFormatting>
  <conditionalFormatting sqref="M21:O21">
    <cfRule type="cellIs" dxfId="1786" priority="210" operator="lessThan">
      <formula>5</formula>
    </cfRule>
  </conditionalFormatting>
  <conditionalFormatting sqref="H21:O21">
    <cfRule type="expression" dxfId="1785" priority="208">
      <formula>5</formula>
    </cfRule>
  </conditionalFormatting>
  <conditionalFormatting sqref="H21:O21">
    <cfRule type="cellIs" dxfId="1784" priority="207" operator="lessThan">
      <formula>50</formula>
    </cfRule>
  </conditionalFormatting>
  <conditionalFormatting sqref="Q21">
    <cfRule type="cellIs" dxfId="1783" priority="206" operator="lessThan">
      <formula>50</formula>
    </cfRule>
  </conditionalFormatting>
  <conditionalFormatting sqref="H22:L22">
    <cfRule type="cellIs" dxfId="1782" priority="204" operator="lessThan">
      <formula>5</formula>
    </cfRule>
  </conditionalFormatting>
  <conditionalFormatting sqref="M22:O22">
    <cfRule type="cellIs" dxfId="1781" priority="205" operator="lessThan">
      <formula>5</formula>
    </cfRule>
  </conditionalFormatting>
  <conditionalFormatting sqref="H22:O22">
    <cfRule type="expression" dxfId="1780" priority="203">
      <formula>5</formula>
    </cfRule>
  </conditionalFormatting>
  <conditionalFormatting sqref="H22:O22">
    <cfRule type="cellIs" dxfId="1779" priority="202" operator="lessThan">
      <formula>50</formula>
    </cfRule>
  </conditionalFormatting>
  <conditionalFormatting sqref="Q22">
    <cfRule type="cellIs" dxfId="1778" priority="201" operator="lessThan">
      <formula>50</formula>
    </cfRule>
  </conditionalFormatting>
  <conditionalFormatting sqref="H23:L23">
    <cfRule type="cellIs" dxfId="1777" priority="199" operator="lessThan">
      <formula>5</formula>
    </cfRule>
  </conditionalFormatting>
  <conditionalFormatting sqref="M23:O23">
    <cfRule type="cellIs" dxfId="1776" priority="200" operator="lessThan">
      <formula>5</formula>
    </cfRule>
  </conditionalFormatting>
  <conditionalFormatting sqref="H23:O23">
    <cfRule type="expression" dxfId="1775" priority="198">
      <formula>5</formula>
    </cfRule>
  </conditionalFormatting>
  <conditionalFormatting sqref="H23:O23">
    <cfRule type="cellIs" dxfId="1774" priority="197" operator="lessThan">
      <formula>50</formula>
    </cfRule>
  </conditionalFormatting>
  <conditionalFormatting sqref="Q23">
    <cfRule type="cellIs" dxfId="1773" priority="196" operator="lessThan">
      <formula>50</formula>
    </cfRule>
  </conditionalFormatting>
  <conditionalFormatting sqref="H24:L24">
    <cfRule type="cellIs" dxfId="1772" priority="194" operator="lessThan">
      <formula>5</formula>
    </cfRule>
  </conditionalFormatting>
  <conditionalFormatting sqref="M24:O24">
    <cfRule type="cellIs" dxfId="1771" priority="195" operator="lessThan">
      <formula>5</formula>
    </cfRule>
  </conditionalFormatting>
  <conditionalFormatting sqref="H24:O24">
    <cfRule type="expression" dxfId="1770" priority="193">
      <formula>5</formula>
    </cfRule>
  </conditionalFormatting>
  <conditionalFormatting sqref="H24:O24">
    <cfRule type="cellIs" dxfId="1769" priority="192" operator="lessThan">
      <formula>50</formula>
    </cfRule>
  </conditionalFormatting>
  <conditionalFormatting sqref="Q24">
    <cfRule type="cellIs" dxfId="1768" priority="191" operator="lessThan">
      <formula>50</formula>
    </cfRule>
  </conditionalFormatting>
  <conditionalFormatting sqref="H25:L25">
    <cfRule type="cellIs" dxfId="1767" priority="189" operator="lessThan">
      <formula>5</formula>
    </cfRule>
  </conditionalFormatting>
  <conditionalFormatting sqref="M25:O25">
    <cfRule type="cellIs" dxfId="1766" priority="190" operator="lessThan">
      <formula>5</formula>
    </cfRule>
  </conditionalFormatting>
  <conditionalFormatting sqref="H25:O25">
    <cfRule type="expression" dxfId="1765" priority="188">
      <formula>5</formula>
    </cfRule>
  </conditionalFormatting>
  <conditionalFormatting sqref="H25:O25">
    <cfRule type="cellIs" dxfId="1764" priority="187" operator="lessThan">
      <formula>50</formula>
    </cfRule>
  </conditionalFormatting>
  <conditionalFormatting sqref="Q25">
    <cfRule type="cellIs" dxfId="1763" priority="186" operator="lessThan">
      <formula>50</formula>
    </cfRule>
  </conditionalFormatting>
  <conditionalFormatting sqref="H26:L26">
    <cfRule type="cellIs" dxfId="1762" priority="184" operator="lessThan">
      <formula>5</formula>
    </cfRule>
  </conditionalFormatting>
  <conditionalFormatting sqref="M26:O26">
    <cfRule type="cellIs" dxfId="1761" priority="185" operator="lessThan">
      <formula>5</formula>
    </cfRule>
  </conditionalFormatting>
  <conditionalFormatting sqref="H26:O26">
    <cfRule type="expression" dxfId="1760" priority="183">
      <formula>5</formula>
    </cfRule>
  </conditionalFormatting>
  <conditionalFormatting sqref="H26:O26">
    <cfRule type="cellIs" dxfId="1759" priority="182" operator="lessThan">
      <formula>50</formula>
    </cfRule>
  </conditionalFormatting>
  <conditionalFormatting sqref="Q26">
    <cfRule type="cellIs" dxfId="1758" priority="181" operator="lessThan">
      <formula>50</formula>
    </cfRule>
  </conditionalFormatting>
  <conditionalFormatting sqref="H27:L27">
    <cfRule type="cellIs" dxfId="1757" priority="179" operator="lessThan">
      <formula>5</formula>
    </cfRule>
  </conditionalFormatting>
  <conditionalFormatting sqref="M27:O27">
    <cfRule type="cellIs" dxfId="1756" priority="180" operator="lessThan">
      <formula>5</formula>
    </cfRule>
  </conditionalFormatting>
  <conditionalFormatting sqref="H27:O27">
    <cfRule type="expression" dxfId="1755" priority="178">
      <formula>5</formula>
    </cfRule>
  </conditionalFormatting>
  <conditionalFormatting sqref="H27:O27">
    <cfRule type="cellIs" dxfId="1754" priority="177" operator="lessThan">
      <formula>50</formula>
    </cfRule>
  </conditionalFormatting>
  <conditionalFormatting sqref="Q27">
    <cfRule type="cellIs" dxfId="1753" priority="176" operator="lessThan">
      <formula>50</formula>
    </cfRule>
  </conditionalFormatting>
  <conditionalFormatting sqref="H28:L28">
    <cfRule type="cellIs" dxfId="1752" priority="174" operator="lessThan">
      <formula>5</formula>
    </cfRule>
  </conditionalFormatting>
  <conditionalFormatting sqref="M28:O28">
    <cfRule type="cellIs" dxfId="1751" priority="175" operator="lessThan">
      <formula>5</formula>
    </cfRule>
  </conditionalFormatting>
  <conditionalFormatting sqref="H28:O28">
    <cfRule type="expression" dxfId="1750" priority="173">
      <formula>5</formula>
    </cfRule>
  </conditionalFormatting>
  <conditionalFormatting sqref="H28:O28">
    <cfRule type="cellIs" dxfId="1749" priority="172" operator="lessThan">
      <formula>50</formula>
    </cfRule>
  </conditionalFormatting>
  <conditionalFormatting sqref="Q28">
    <cfRule type="cellIs" dxfId="1748" priority="171" operator="lessThan">
      <formula>50</formula>
    </cfRule>
  </conditionalFormatting>
  <conditionalFormatting sqref="H29:L29">
    <cfRule type="cellIs" dxfId="1747" priority="169" operator="lessThan">
      <formula>5</formula>
    </cfRule>
  </conditionalFormatting>
  <conditionalFormatting sqref="M29:O29">
    <cfRule type="cellIs" dxfId="1746" priority="170" operator="lessThan">
      <formula>5</formula>
    </cfRule>
  </conditionalFormatting>
  <conditionalFormatting sqref="H29:O29">
    <cfRule type="expression" dxfId="1745" priority="168">
      <formula>5</formula>
    </cfRule>
  </conditionalFormatting>
  <conditionalFormatting sqref="H29:O29">
    <cfRule type="cellIs" dxfId="1744" priority="167" operator="lessThan">
      <formula>50</formula>
    </cfRule>
  </conditionalFormatting>
  <conditionalFormatting sqref="Q29">
    <cfRule type="cellIs" dxfId="1743" priority="166" operator="lessThan">
      <formula>50</formula>
    </cfRule>
  </conditionalFormatting>
  <conditionalFormatting sqref="H30:L30">
    <cfRule type="cellIs" dxfId="1742" priority="164" operator="lessThan">
      <formula>5</formula>
    </cfRule>
  </conditionalFormatting>
  <conditionalFormatting sqref="M30:O30">
    <cfRule type="cellIs" dxfId="1741" priority="165" operator="lessThan">
      <formula>5</formula>
    </cfRule>
  </conditionalFormatting>
  <conditionalFormatting sqref="H30:O30">
    <cfRule type="expression" dxfId="1740" priority="163">
      <formula>5</formula>
    </cfRule>
  </conditionalFormatting>
  <conditionalFormatting sqref="H30:O30">
    <cfRule type="cellIs" dxfId="1739" priority="162" operator="lessThan">
      <formula>50</formula>
    </cfRule>
  </conditionalFormatting>
  <conditionalFormatting sqref="Q30">
    <cfRule type="cellIs" dxfId="1738" priority="161" operator="lessThan">
      <formula>50</formula>
    </cfRule>
  </conditionalFormatting>
  <conditionalFormatting sqref="H31:L31">
    <cfRule type="cellIs" dxfId="1737" priority="159" operator="lessThan">
      <formula>5</formula>
    </cfRule>
  </conditionalFormatting>
  <conditionalFormatting sqref="M31:O31">
    <cfRule type="cellIs" dxfId="1736" priority="160" operator="lessThan">
      <formula>5</formula>
    </cfRule>
  </conditionalFormatting>
  <conditionalFormatting sqref="H31:O31">
    <cfRule type="expression" dxfId="1735" priority="158">
      <formula>5</formula>
    </cfRule>
  </conditionalFormatting>
  <conditionalFormatting sqref="H31:O31">
    <cfRule type="cellIs" dxfId="1734" priority="157" operator="lessThan">
      <formula>50</formula>
    </cfRule>
  </conditionalFormatting>
  <conditionalFormatting sqref="Q31">
    <cfRule type="cellIs" dxfId="1733" priority="156" operator="lessThan">
      <formula>50</formula>
    </cfRule>
  </conditionalFormatting>
  <conditionalFormatting sqref="H32:L32">
    <cfRule type="cellIs" dxfId="1732" priority="154" operator="lessThan">
      <formula>5</formula>
    </cfRule>
  </conditionalFormatting>
  <conditionalFormatting sqref="M32:O32">
    <cfRule type="cellIs" dxfId="1731" priority="155" operator="lessThan">
      <formula>5</formula>
    </cfRule>
  </conditionalFormatting>
  <conditionalFormatting sqref="H32:O32">
    <cfRule type="expression" dxfId="1730" priority="153">
      <formula>5</formula>
    </cfRule>
  </conditionalFormatting>
  <conditionalFormatting sqref="H32:O32">
    <cfRule type="cellIs" dxfId="1729" priority="152" operator="lessThan">
      <formula>50</formula>
    </cfRule>
  </conditionalFormatting>
  <conditionalFormatting sqref="Q32">
    <cfRule type="cellIs" dxfId="1728" priority="151" operator="lessThan">
      <formula>50</formula>
    </cfRule>
  </conditionalFormatting>
  <conditionalFormatting sqref="H33:L33">
    <cfRule type="cellIs" dxfId="1727" priority="149" operator="lessThan">
      <formula>5</formula>
    </cfRule>
  </conditionalFormatting>
  <conditionalFormatting sqref="M33:O33">
    <cfRule type="cellIs" dxfId="1726" priority="150" operator="lessThan">
      <formula>5</formula>
    </cfRule>
  </conditionalFormatting>
  <conditionalFormatting sqref="H33:O33">
    <cfRule type="expression" dxfId="1725" priority="148">
      <formula>5</formula>
    </cfRule>
  </conditionalFormatting>
  <conditionalFormatting sqref="H33:O33">
    <cfRule type="cellIs" dxfId="1724" priority="147" operator="lessThan">
      <formula>50</formula>
    </cfRule>
  </conditionalFormatting>
  <conditionalFormatting sqref="Q33">
    <cfRule type="cellIs" dxfId="1723" priority="146" operator="lessThan">
      <formula>50</formula>
    </cfRule>
  </conditionalFormatting>
  <conditionalFormatting sqref="H34:L34">
    <cfRule type="cellIs" dxfId="1722" priority="144" operator="lessThan">
      <formula>5</formula>
    </cfRule>
  </conditionalFormatting>
  <conditionalFormatting sqref="M34:O34">
    <cfRule type="cellIs" dxfId="1721" priority="145" operator="lessThan">
      <formula>5</formula>
    </cfRule>
  </conditionalFormatting>
  <conditionalFormatting sqref="H34:O34">
    <cfRule type="expression" dxfId="1720" priority="143">
      <formula>5</formula>
    </cfRule>
  </conditionalFormatting>
  <conditionalFormatting sqref="H34:O34">
    <cfRule type="cellIs" dxfId="1719" priority="142" operator="lessThan">
      <formula>50</formula>
    </cfRule>
  </conditionalFormatting>
  <conditionalFormatting sqref="Q34">
    <cfRule type="cellIs" dxfId="1718" priority="141" operator="lessThan">
      <formula>50</formula>
    </cfRule>
  </conditionalFormatting>
  <conditionalFormatting sqref="H35:L35">
    <cfRule type="cellIs" dxfId="1717" priority="139" operator="lessThan">
      <formula>5</formula>
    </cfRule>
  </conditionalFormatting>
  <conditionalFormatting sqref="M35:O35">
    <cfRule type="cellIs" dxfId="1716" priority="140" operator="lessThan">
      <formula>5</formula>
    </cfRule>
  </conditionalFormatting>
  <conditionalFormatting sqref="H35:O35">
    <cfRule type="expression" dxfId="1715" priority="138">
      <formula>5</formula>
    </cfRule>
  </conditionalFormatting>
  <conditionalFormatting sqref="H35:O35">
    <cfRule type="cellIs" dxfId="1714" priority="137" operator="lessThan">
      <formula>50</formula>
    </cfRule>
  </conditionalFormatting>
  <conditionalFormatting sqref="Q35">
    <cfRule type="cellIs" dxfId="1713" priority="136" operator="lessThan">
      <formula>50</formula>
    </cfRule>
  </conditionalFormatting>
  <conditionalFormatting sqref="H36:L36">
    <cfRule type="cellIs" dxfId="1712" priority="134" operator="lessThan">
      <formula>5</formula>
    </cfRule>
  </conditionalFormatting>
  <conditionalFormatting sqref="M36:O36">
    <cfRule type="cellIs" dxfId="1711" priority="135" operator="lessThan">
      <formula>5</formula>
    </cfRule>
  </conditionalFormatting>
  <conditionalFormatting sqref="H36:O36">
    <cfRule type="expression" dxfId="1710" priority="133">
      <formula>5</formula>
    </cfRule>
  </conditionalFormatting>
  <conditionalFormatting sqref="H36:O36">
    <cfRule type="cellIs" dxfId="1709" priority="132" operator="lessThan">
      <formula>50</formula>
    </cfRule>
  </conditionalFormatting>
  <conditionalFormatting sqref="Q36">
    <cfRule type="cellIs" dxfId="1708" priority="131" operator="lessThan">
      <formula>50</formula>
    </cfRule>
  </conditionalFormatting>
  <conditionalFormatting sqref="H37:L37">
    <cfRule type="cellIs" dxfId="1707" priority="129" operator="lessThan">
      <formula>5</formula>
    </cfRule>
  </conditionalFormatting>
  <conditionalFormatting sqref="M37:O37">
    <cfRule type="cellIs" dxfId="1706" priority="130" operator="lessThan">
      <formula>5</formula>
    </cfRule>
  </conditionalFormatting>
  <conditionalFormatting sqref="H37:O37">
    <cfRule type="expression" dxfId="1705" priority="128">
      <formula>5</formula>
    </cfRule>
  </conditionalFormatting>
  <conditionalFormatting sqref="H37:O37">
    <cfRule type="cellIs" dxfId="1704" priority="127" operator="lessThan">
      <formula>50</formula>
    </cfRule>
  </conditionalFormatting>
  <conditionalFormatting sqref="Q37">
    <cfRule type="cellIs" dxfId="1703" priority="126" operator="lessThan">
      <formula>50</formula>
    </cfRule>
  </conditionalFormatting>
  <conditionalFormatting sqref="H38:L38">
    <cfRule type="cellIs" dxfId="1702" priority="124" operator="lessThan">
      <formula>5</formula>
    </cfRule>
  </conditionalFormatting>
  <conditionalFormatting sqref="M38:O38">
    <cfRule type="cellIs" dxfId="1701" priority="125" operator="lessThan">
      <formula>5</formula>
    </cfRule>
  </conditionalFormatting>
  <conditionalFormatting sqref="H38:O38">
    <cfRule type="expression" dxfId="1700" priority="123">
      <formula>5</formula>
    </cfRule>
  </conditionalFormatting>
  <conditionalFormatting sqref="H38:O38">
    <cfRule type="cellIs" dxfId="1699" priority="122" operator="lessThan">
      <formula>50</formula>
    </cfRule>
  </conditionalFormatting>
  <conditionalFormatting sqref="Q38">
    <cfRule type="cellIs" dxfId="1698" priority="121" operator="lessThan">
      <formula>50</formula>
    </cfRule>
  </conditionalFormatting>
  <conditionalFormatting sqref="H39:L39">
    <cfRule type="cellIs" dxfId="1697" priority="119" operator="lessThan">
      <formula>5</formula>
    </cfRule>
  </conditionalFormatting>
  <conditionalFormatting sqref="M39:O39">
    <cfRule type="cellIs" dxfId="1696" priority="120" operator="lessThan">
      <formula>5</formula>
    </cfRule>
  </conditionalFormatting>
  <conditionalFormatting sqref="H39:O39">
    <cfRule type="expression" dxfId="1695" priority="118">
      <formula>5</formula>
    </cfRule>
  </conditionalFormatting>
  <conditionalFormatting sqref="H39:O39">
    <cfRule type="cellIs" dxfId="1694" priority="117" operator="lessThan">
      <formula>50</formula>
    </cfRule>
  </conditionalFormatting>
  <conditionalFormatting sqref="Q39">
    <cfRule type="cellIs" dxfId="1693" priority="116" operator="lessThan">
      <formula>50</formula>
    </cfRule>
  </conditionalFormatting>
  <conditionalFormatting sqref="H40:L40">
    <cfRule type="cellIs" dxfId="1692" priority="114" operator="lessThan">
      <formula>5</formula>
    </cfRule>
  </conditionalFormatting>
  <conditionalFormatting sqref="M40:O40">
    <cfRule type="cellIs" dxfId="1691" priority="115" operator="lessThan">
      <formula>5</formula>
    </cfRule>
  </conditionalFormatting>
  <conditionalFormatting sqref="H40:O40">
    <cfRule type="expression" dxfId="1690" priority="113">
      <formula>5</formula>
    </cfRule>
  </conditionalFormatting>
  <conditionalFormatting sqref="H40:O40">
    <cfRule type="cellIs" dxfId="1689" priority="112" operator="lessThan">
      <formula>50</formula>
    </cfRule>
  </conditionalFormatting>
  <conditionalFormatting sqref="Q40">
    <cfRule type="cellIs" dxfId="1688" priority="111" operator="lessThan">
      <formula>50</formula>
    </cfRule>
  </conditionalFormatting>
  <conditionalFormatting sqref="H41:L41">
    <cfRule type="cellIs" dxfId="1687" priority="109" operator="lessThan">
      <formula>5</formula>
    </cfRule>
  </conditionalFormatting>
  <conditionalFormatting sqref="M41:O41">
    <cfRule type="cellIs" dxfId="1686" priority="110" operator="lessThan">
      <formula>5</formula>
    </cfRule>
  </conditionalFormatting>
  <conditionalFormatting sqref="H41:O41">
    <cfRule type="expression" dxfId="1685" priority="108">
      <formula>5</formula>
    </cfRule>
  </conditionalFormatting>
  <conditionalFormatting sqref="H41:O41">
    <cfRule type="cellIs" dxfId="1684" priority="107" operator="lessThan">
      <formula>50</formula>
    </cfRule>
  </conditionalFormatting>
  <conditionalFormatting sqref="Q41">
    <cfRule type="cellIs" dxfId="1683" priority="106" operator="lessThan">
      <formula>50</formula>
    </cfRule>
  </conditionalFormatting>
  <conditionalFormatting sqref="H42:L42">
    <cfRule type="cellIs" dxfId="1682" priority="104" operator="lessThan">
      <formula>5</formula>
    </cfRule>
  </conditionalFormatting>
  <conditionalFormatting sqref="M42:O42">
    <cfRule type="cellIs" dxfId="1681" priority="105" operator="lessThan">
      <formula>5</formula>
    </cfRule>
  </conditionalFormatting>
  <conditionalFormatting sqref="H42:O42">
    <cfRule type="expression" dxfId="1680" priority="103">
      <formula>5</formula>
    </cfRule>
  </conditionalFormatting>
  <conditionalFormatting sqref="H42:O42">
    <cfRule type="cellIs" dxfId="1679" priority="102" operator="lessThan">
      <formula>50</formula>
    </cfRule>
  </conditionalFormatting>
  <conditionalFormatting sqref="Q42">
    <cfRule type="cellIs" dxfId="1678" priority="101" operator="lessThan">
      <formula>50</formula>
    </cfRule>
  </conditionalFormatting>
  <conditionalFormatting sqref="H43:L43">
    <cfRule type="cellIs" dxfId="1677" priority="99" operator="lessThan">
      <formula>5</formula>
    </cfRule>
  </conditionalFormatting>
  <conditionalFormatting sqref="M43:O43">
    <cfRule type="cellIs" dxfId="1676" priority="100" operator="lessThan">
      <formula>5</formula>
    </cfRule>
  </conditionalFormatting>
  <conditionalFormatting sqref="H43:O43">
    <cfRule type="expression" dxfId="1675" priority="98">
      <formula>5</formula>
    </cfRule>
  </conditionalFormatting>
  <conditionalFormatting sqref="H43:O43">
    <cfRule type="cellIs" dxfId="1674" priority="97" operator="lessThan">
      <formula>50</formula>
    </cfRule>
  </conditionalFormatting>
  <conditionalFormatting sqref="Q43">
    <cfRule type="cellIs" dxfId="1673" priority="96" operator="lessThan">
      <formula>50</formula>
    </cfRule>
  </conditionalFormatting>
  <conditionalFormatting sqref="H44:L44">
    <cfRule type="cellIs" dxfId="1672" priority="94" operator="lessThan">
      <formula>5</formula>
    </cfRule>
  </conditionalFormatting>
  <conditionalFormatting sqref="M44:O44">
    <cfRule type="cellIs" dxfId="1671" priority="95" operator="lessThan">
      <formula>5</formula>
    </cfRule>
  </conditionalFormatting>
  <conditionalFormatting sqref="H44:O44">
    <cfRule type="expression" dxfId="1670" priority="93">
      <formula>5</formula>
    </cfRule>
  </conditionalFormatting>
  <conditionalFormatting sqref="H44:O44">
    <cfRule type="cellIs" dxfId="1669" priority="92" operator="lessThan">
      <formula>50</formula>
    </cfRule>
  </conditionalFormatting>
  <conditionalFormatting sqref="Q44">
    <cfRule type="cellIs" dxfId="1668" priority="91" operator="lessThan">
      <formula>50</formula>
    </cfRule>
  </conditionalFormatting>
  <conditionalFormatting sqref="H45:L45">
    <cfRule type="cellIs" dxfId="1667" priority="89" operator="lessThan">
      <formula>5</formula>
    </cfRule>
  </conditionalFormatting>
  <conditionalFormatting sqref="M45:O45">
    <cfRule type="cellIs" dxfId="1666" priority="90" operator="lessThan">
      <formula>5</formula>
    </cfRule>
  </conditionalFormatting>
  <conditionalFormatting sqref="H45:O45">
    <cfRule type="expression" dxfId="1665" priority="88">
      <formula>5</formula>
    </cfRule>
  </conditionalFormatting>
  <conditionalFormatting sqref="H45:O45">
    <cfRule type="cellIs" dxfId="1664" priority="87" operator="lessThan">
      <formula>50</formula>
    </cfRule>
  </conditionalFormatting>
  <conditionalFormatting sqref="Q45">
    <cfRule type="cellIs" dxfId="1663" priority="86" operator="lessThan">
      <formula>50</formula>
    </cfRule>
  </conditionalFormatting>
  <conditionalFormatting sqref="H46:L46">
    <cfRule type="cellIs" dxfId="1662" priority="84" operator="lessThan">
      <formula>5</formula>
    </cfRule>
  </conditionalFormatting>
  <conditionalFormatting sqref="M46:O46">
    <cfRule type="cellIs" dxfId="1661" priority="85" operator="lessThan">
      <formula>5</formula>
    </cfRule>
  </conditionalFormatting>
  <conditionalFormatting sqref="H46:O46">
    <cfRule type="expression" dxfId="1660" priority="83">
      <formula>5</formula>
    </cfRule>
  </conditionalFormatting>
  <conditionalFormatting sqref="H46:O46">
    <cfRule type="cellIs" dxfId="1659" priority="82" operator="lessThan">
      <formula>50</formula>
    </cfRule>
  </conditionalFormatting>
  <conditionalFormatting sqref="Q46">
    <cfRule type="cellIs" dxfId="1658" priority="81" operator="lessThan">
      <formula>50</formula>
    </cfRule>
  </conditionalFormatting>
  <conditionalFormatting sqref="H47:L47">
    <cfRule type="cellIs" dxfId="1657" priority="79" operator="lessThan">
      <formula>5</formula>
    </cfRule>
  </conditionalFormatting>
  <conditionalFormatting sqref="M47:O47">
    <cfRule type="cellIs" dxfId="1656" priority="80" operator="lessThan">
      <formula>5</formula>
    </cfRule>
  </conditionalFormatting>
  <conditionalFormatting sqref="H47:O47">
    <cfRule type="expression" dxfId="1655" priority="78">
      <formula>5</formula>
    </cfRule>
  </conditionalFormatting>
  <conditionalFormatting sqref="H47:O47">
    <cfRule type="cellIs" dxfId="1654" priority="77" operator="lessThan">
      <formula>50</formula>
    </cfRule>
  </conditionalFormatting>
  <conditionalFormatting sqref="Q47">
    <cfRule type="cellIs" dxfId="1653" priority="76" operator="lessThan">
      <formula>50</formula>
    </cfRule>
  </conditionalFormatting>
  <conditionalFormatting sqref="H48:L48">
    <cfRule type="cellIs" dxfId="1652" priority="74" operator="lessThan">
      <formula>5</formula>
    </cfRule>
  </conditionalFormatting>
  <conditionalFormatting sqref="M48:O48">
    <cfRule type="cellIs" dxfId="1651" priority="75" operator="lessThan">
      <formula>5</formula>
    </cfRule>
  </conditionalFormatting>
  <conditionalFormatting sqref="H48:O48">
    <cfRule type="expression" dxfId="1650" priority="73">
      <formula>5</formula>
    </cfRule>
  </conditionalFormatting>
  <conditionalFormatting sqref="H48:O48">
    <cfRule type="cellIs" dxfId="1649" priority="72" operator="lessThan">
      <formula>50</formula>
    </cfRule>
  </conditionalFormatting>
  <conditionalFormatting sqref="Q48">
    <cfRule type="cellIs" dxfId="1648" priority="71" operator="lessThan">
      <formula>50</formula>
    </cfRule>
  </conditionalFormatting>
  <conditionalFormatting sqref="H49:L49">
    <cfRule type="cellIs" dxfId="1647" priority="69" operator="lessThan">
      <formula>5</formula>
    </cfRule>
  </conditionalFormatting>
  <conditionalFormatting sqref="M49:O49">
    <cfRule type="cellIs" dxfId="1646" priority="70" operator="lessThan">
      <formula>5</formula>
    </cfRule>
  </conditionalFormatting>
  <conditionalFormatting sqref="H49:O49">
    <cfRule type="expression" dxfId="1645" priority="68">
      <formula>5</formula>
    </cfRule>
  </conditionalFormatting>
  <conditionalFormatting sqref="H49:O49">
    <cfRule type="cellIs" dxfId="1644" priority="67" operator="lessThan">
      <formula>50</formula>
    </cfRule>
  </conditionalFormatting>
  <conditionalFormatting sqref="Q49">
    <cfRule type="cellIs" dxfId="1643" priority="66" operator="lessThan">
      <formula>50</formula>
    </cfRule>
  </conditionalFormatting>
  <conditionalFormatting sqref="H50:L50">
    <cfRule type="cellIs" dxfId="1642" priority="64" operator="lessThan">
      <formula>5</formula>
    </cfRule>
  </conditionalFormatting>
  <conditionalFormatting sqref="M50:O50">
    <cfRule type="cellIs" dxfId="1641" priority="65" operator="lessThan">
      <formula>5</formula>
    </cfRule>
  </conditionalFormatting>
  <conditionalFormatting sqref="H50:O50">
    <cfRule type="expression" dxfId="1640" priority="63">
      <formula>5</formula>
    </cfRule>
  </conditionalFormatting>
  <conditionalFormatting sqref="H50:O50">
    <cfRule type="cellIs" dxfId="1639" priority="62" operator="lessThan">
      <formula>50</formula>
    </cfRule>
  </conditionalFormatting>
  <conditionalFormatting sqref="Q50">
    <cfRule type="cellIs" dxfId="1638" priority="61" operator="lessThan">
      <formula>50</formula>
    </cfRule>
  </conditionalFormatting>
  <conditionalFormatting sqref="H51:L51">
    <cfRule type="cellIs" dxfId="1637" priority="59" operator="lessThan">
      <formula>5</formula>
    </cfRule>
  </conditionalFormatting>
  <conditionalFormatting sqref="M51:O51">
    <cfRule type="cellIs" dxfId="1636" priority="60" operator="lessThan">
      <formula>5</formula>
    </cfRule>
  </conditionalFormatting>
  <conditionalFormatting sqref="H51:O51">
    <cfRule type="expression" dxfId="1635" priority="58">
      <formula>5</formula>
    </cfRule>
  </conditionalFormatting>
  <conditionalFormatting sqref="H51:O51">
    <cfRule type="cellIs" dxfId="1634" priority="57" operator="lessThan">
      <formula>50</formula>
    </cfRule>
  </conditionalFormatting>
  <conditionalFormatting sqref="Q51">
    <cfRule type="cellIs" dxfId="1633" priority="56" operator="lessThan">
      <formula>50</formula>
    </cfRule>
  </conditionalFormatting>
  <conditionalFormatting sqref="H52:L52">
    <cfRule type="cellIs" dxfId="1632" priority="54" operator="lessThan">
      <formula>5</formula>
    </cfRule>
  </conditionalFormatting>
  <conditionalFormatting sqref="M52:O52">
    <cfRule type="cellIs" dxfId="1631" priority="55" operator="lessThan">
      <formula>5</formula>
    </cfRule>
  </conditionalFormatting>
  <conditionalFormatting sqref="H52:O52">
    <cfRule type="expression" dxfId="1630" priority="53">
      <formula>5</formula>
    </cfRule>
  </conditionalFormatting>
  <conditionalFormatting sqref="H52:O52">
    <cfRule type="cellIs" dxfId="1629" priority="52" operator="lessThan">
      <formula>50</formula>
    </cfRule>
  </conditionalFormatting>
  <conditionalFormatting sqref="Q52">
    <cfRule type="cellIs" dxfId="1628" priority="51" operator="lessThan">
      <formula>50</formula>
    </cfRule>
  </conditionalFormatting>
  <conditionalFormatting sqref="H53:L53">
    <cfRule type="cellIs" dxfId="1627" priority="49" operator="lessThan">
      <formula>5</formula>
    </cfRule>
  </conditionalFormatting>
  <conditionalFormatting sqref="M53:O53">
    <cfRule type="cellIs" dxfId="1626" priority="50" operator="lessThan">
      <formula>5</formula>
    </cfRule>
  </conditionalFormatting>
  <conditionalFormatting sqref="H53:O53">
    <cfRule type="expression" dxfId="1625" priority="48">
      <formula>5</formula>
    </cfRule>
  </conditionalFormatting>
  <conditionalFormatting sqref="H53:O53">
    <cfRule type="cellIs" dxfId="1624" priority="47" operator="lessThan">
      <formula>50</formula>
    </cfRule>
  </conditionalFormatting>
  <conditionalFormatting sqref="Q53">
    <cfRule type="cellIs" dxfId="1623" priority="46" operator="lessThan">
      <formula>50</formula>
    </cfRule>
  </conditionalFormatting>
  <conditionalFormatting sqref="H54:L54">
    <cfRule type="cellIs" dxfId="1622" priority="44" operator="lessThan">
      <formula>5</formula>
    </cfRule>
  </conditionalFormatting>
  <conditionalFormatting sqref="M54:O54">
    <cfRule type="cellIs" dxfId="1621" priority="45" operator="lessThan">
      <formula>5</formula>
    </cfRule>
  </conditionalFormatting>
  <conditionalFormatting sqref="H54:O54">
    <cfRule type="expression" dxfId="1620" priority="43">
      <formula>5</formula>
    </cfRule>
  </conditionalFormatting>
  <conditionalFormatting sqref="H54:O54">
    <cfRule type="cellIs" dxfId="1619" priority="42" operator="lessThan">
      <formula>50</formula>
    </cfRule>
  </conditionalFormatting>
  <conditionalFormatting sqref="Q54">
    <cfRule type="cellIs" dxfId="1618" priority="41" operator="lessThan">
      <formula>50</formula>
    </cfRule>
  </conditionalFormatting>
  <conditionalFormatting sqref="H55:L55">
    <cfRule type="cellIs" dxfId="1617" priority="39" operator="lessThan">
      <formula>5</formula>
    </cfRule>
  </conditionalFormatting>
  <conditionalFormatting sqref="M55:O55">
    <cfRule type="cellIs" dxfId="1616" priority="40" operator="lessThan">
      <formula>5</formula>
    </cfRule>
  </conditionalFormatting>
  <conditionalFormatting sqref="H55:O55">
    <cfRule type="expression" dxfId="1615" priority="38">
      <formula>5</formula>
    </cfRule>
  </conditionalFormatting>
  <conditionalFormatting sqref="H55:O55">
    <cfRule type="cellIs" dxfId="1614" priority="37" operator="lessThan">
      <formula>50</formula>
    </cfRule>
  </conditionalFormatting>
  <conditionalFormatting sqref="Q55">
    <cfRule type="cellIs" dxfId="1613" priority="36" operator="lessThan">
      <formula>50</formula>
    </cfRule>
  </conditionalFormatting>
  <conditionalFormatting sqref="H56:L56">
    <cfRule type="cellIs" dxfId="1612" priority="34" operator="lessThan">
      <formula>5</formula>
    </cfRule>
  </conditionalFormatting>
  <conditionalFormatting sqref="M56:O56">
    <cfRule type="cellIs" dxfId="1611" priority="35" operator="lessThan">
      <formula>5</formula>
    </cfRule>
  </conditionalFormatting>
  <conditionalFormatting sqref="H56:O56">
    <cfRule type="expression" dxfId="1610" priority="33">
      <formula>5</formula>
    </cfRule>
  </conditionalFormatting>
  <conditionalFormatting sqref="H56:O56">
    <cfRule type="cellIs" dxfId="1609" priority="32" operator="lessThan">
      <formula>50</formula>
    </cfRule>
  </conditionalFormatting>
  <conditionalFormatting sqref="Q56">
    <cfRule type="cellIs" dxfId="1608" priority="31" operator="lessThan">
      <formula>50</formula>
    </cfRule>
  </conditionalFormatting>
  <conditionalFormatting sqref="H57:L57">
    <cfRule type="cellIs" dxfId="1607" priority="29" operator="lessThan">
      <formula>5</formula>
    </cfRule>
  </conditionalFormatting>
  <conditionalFormatting sqref="M57:O57">
    <cfRule type="cellIs" dxfId="1606" priority="30" operator="lessThan">
      <formula>5</formula>
    </cfRule>
  </conditionalFormatting>
  <conditionalFormatting sqref="H57:O57">
    <cfRule type="expression" dxfId="1605" priority="28">
      <formula>5</formula>
    </cfRule>
  </conditionalFormatting>
  <conditionalFormatting sqref="H57:O57">
    <cfRule type="cellIs" dxfId="1604" priority="27" operator="lessThan">
      <formula>50</formula>
    </cfRule>
  </conditionalFormatting>
  <conditionalFormatting sqref="Q57">
    <cfRule type="cellIs" dxfId="1603" priority="26" operator="lessThan">
      <formula>50</formula>
    </cfRule>
  </conditionalFormatting>
  <conditionalFormatting sqref="H58:L58">
    <cfRule type="cellIs" dxfId="1602" priority="24" operator="lessThan">
      <formula>5</formula>
    </cfRule>
  </conditionalFormatting>
  <conditionalFormatting sqref="M58:O58">
    <cfRule type="cellIs" dxfId="1601" priority="25" operator="lessThan">
      <formula>5</formula>
    </cfRule>
  </conditionalFormatting>
  <conditionalFormatting sqref="H58:O58">
    <cfRule type="expression" dxfId="1600" priority="23">
      <formula>5</formula>
    </cfRule>
  </conditionalFormatting>
  <conditionalFormatting sqref="H58:O58">
    <cfRule type="cellIs" dxfId="1599" priority="22" operator="lessThan">
      <formula>50</formula>
    </cfRule>
  </conditionalFormatting>
  <conditionalFormatting sqref="Q58">
    <cfRule type="cellIs" dxfId="1598" priority="21" operator="lessThan">
      <formula>50</formula>
    </cfRule>
  </conditionalFormatting>
  <conditionalFormatting sqref="H59:L59">
    <cfRule type="cellIs" dxfId="1597" priority="19" operator="lessThan">
      <formula>5</formula>
    </cfRule>
  </conditionalFormatting>
  <conditionalFormatting sqref="M59:O59">
    <cfRule type="cellIs" dxfId="1596" priority="20" operator="lessThan">
      <formula>5</formula>
    </cfRule>
  </conditionalFormatting>
  <conditionalFormatting sqref="H59:O59">
    <cfRule type="expression" dxfId="1595" priority="18">
      <formula>5</formula>
    </cfRule>
  </conditionalFormatting>
  <conditionalFormatting sqref="H59:O59">
    <cfRule type="cellIs" dxfId="1594" priority="17" operator="lessThan">
      <formula>50</formula>
    </cfRule>
  </conditionalFormatting>
  <conditionalFormatting sqref="Q59">
    <cfRule type="cellIs" dxfId="1593" priority="16" operator="lessThan">
      <formula>50</formula>
    </cfRule>
  </conditionalFormatting>
  <conditionalFormatting sqref="H60:L60">
    <cfRule type="cellIs" dxfId="1592" priority="14" operator="lessThan">
      <formula>5</formula>
    </cfRule>
  </conditionalFormatting>
  <conditionalFormatting sqref="M60:O60">
    <cfRule type="cellIs" dxfId="1591" priority="15" operator="lessThan">
      <formula>5</formula>
    </cfRule>
  </conditionalFormatting>
  <conditionalFormatting sqref="H60:O60">
    <cfRule type="expression" dxfId="1590" priority="13">
      <formula>5</formula>
    </cfRule>
  </conditionalFormatting>
  <conditionalFormatting sqref="H60:O60">
    <cfRule type="cellIs" dxfId="1589" priority="12" operator="lessThan">
      <formula>50</formula>
    </cfRule>
  </conditionalFormatting>
  <conditionalFormatting sqref="Q60">
    <cfRule type="cellIs" dxfId="1588" priority="11" operator="lessThan">
      <formula>50</formula>
    </cfRule>
  </conditionalFormatting>
  <conditionalFormatting sqref="H61:L61">
    <cfRule type="cellIs" dxfId="1587" priority="9" operator="lessThan">
      <formula>5</formula>
    </cfRule>
  </conditionalFormatting>
  <conditionalFormatting sqref="M61:O61">
    <cfRule type="cellIs" dxfId="1586" priority="10" operator="lessThan">
      <formula>5</formula>
    </cfRule>
  </conditionalFormatting>
  <conditionalFormatting sqref="H61:O61">
    <cfRule type="expression" dxfId="1585" priority="8">
      <formula>5</formula>
    </cfRule>
  </conditionalFormatting>
  <conditionalFormatting sqref="H61:O61">
    <cfRule type="cellIs" dxfId="1584" priority="7" operator="lessThan">
      <formula>50</formula>
    </cfRule>
  </conditionalFormatting>
  <conditionalFormatting sqref="Q61">
    <cfRule type="cellIs" dxfId="1583" priority="6" operator="lessThan">
      <formula>50</formula>
    </cfRule>
  </conditionalFormatting>
  <conditionalFormatting sqref="H62:L62">
    <cfRule type="cellIs" dxfId="1582" priority="4" operator="lessThan">
      <formula>5</formula>
    </cfRule>
  </conditionalFormatting>
  <conditionalFormatting sqref="M62:O62">
    <cfRule type="cellIs" dxfId="1581" priority="5" operator="lessThan">
      <formula>5</formula>
    </cfRule>
  </conditionalFormatting>
  <conditionalFormatting sqref="H62:O62">
    <cfRule type="expression" dxfId="1580" priority="3">
      <formula>5</formula>
    </cfRule>
  </conditionalFormatting>
  <conditionalFormatting sqref="H62:O62">
    <cfRule type="cellIs" dxfId="1579" priority="2" operator="lessThan">
      <formula>50</formula>
    </cfRule>
  </conditionalFormatting>
  <conditionalFormatting sqref="Q62">
    <cfRule type="cellIs" dxfId="1578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7:E15" xr:uid="{73D0BFD2-FE65-4565-A3D0-9010DC2BCB38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ABF5-5938-45E3-AE38-BA60D5130D2D}">
  <sheetPr codeName="Sheet113"/>
  <dimension ref="A1:T55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7" width="4.7109375" customWidth="1"/>
    <col min="18" max="18" width="6.7109375" customWidth="1"/>
    <col min="19" max="20" width="4.7109375" customWidth="1"/>
  </cols>
  <sheetData>
    <row r="1" spans="1:20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  <c r="R1" s="11"/>
      <c r="S1" s="11"/>
      <c r="T1" s="11"/>
    </row>
    <row r="2" spans="1:20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  <c r="R2" s="11"/>
      <c r="S2" s="11"/>
      <c r="T2" s="11"/>
    </row>
    <row r="3" spans="1:20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  <c r="R3" s="11"/>
      <c r="S3" s="11"/>
      <c r="T3" s="11"/>
    </row>
    <row r="4" spans="1:20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  <c r="R4" s="11"/>
      <c r="S4" s="11"/>
      <c r="T4" s="11"/>
    </row>
    <row r="5" spans="1:20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2"/>
      <c r="S5" s="12"/>
      <c r="T5" s="12"/>
    </row>
    <row r="6" spans="1:20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16</v>
      </c>
      <c r="I6" s="39" t="s">
        <v>28</v>
      </c>
      <c r="J6" s="39" t="s">
        <v>29</v>
      </c>
      <c r="K6" s="39" t="s">
        <v>30</v>
      </c>
      <c r="L6" s="39" t="s">
        <v>31</v>
      </c>
      <c r="M6" s="39" t="s">
        <v>32</v>
      </c>
      <c r="N6" s="39" t="s">
        <v>33</v>
      </c>
      <c r="O6" s="39" t="s">
        <v>3</v>
      </c>
      <c r="P6" s="39" t="s">
        <v>26</v>
      </c>
      <c r="Q6" s="39" t="s">
        <v>34</v>
      </c>
      <c r="R6" s="39" t="s">
        <v>5320</v>
      </c>
      <c r="S6" s="39" t="s">
        <v>5321</v>
      </c>
      <c r="T6" s="39" t="s">
        <v>5324</v>
      </c>
    </row>
    <row r="7" spans="1:20" ht="18" customHeight="1" thickTop="1">
      <c r="A7" s="19">
        <v>1</v>
      </c>
      <c r="B7" s="2" t="s">
        <v>4745</v>
      </c>
      <c r="C7" s="1">
        <v>321260271</v>
      </c>
      <c r="D7" s="3" t="s">
        <v>4746</v>
      </c>
      <c r="E7" s="1" t="s">
        <v>66</v>
      </c>
      <c r="F7" s="10" t="s">
        <v>4664</v>
      </c>
      <c r="G7" s="2" t="s">
        <v>97</v>
      </c>
      <c r="H7" s="4">
        <v>100</v>
      </c>
      <c r="I7" s="4">
        <v>88</v>
      </c>
      <c r="J7" s="4">
        <v>100</v>
      </c>
      <c r="K7" s="4">
        <v>96</v>
      </c>
      <c r="L7" s="4">
        <v>60</v>
      </c>
      <c r="M7" s="4">
        <v>96</v>
      </c>
      <c r="N7" s="4">
        <v>88</v>
      </c>
      <c r="O7" s="4">
        <v>100</v>
      </c>
      <c r="P7" s="4">
        <v>88</v>
      </c>
      <c r="Q7" s="4">
        <v>100</v>
      </c>
      <c r="R7" s="1">
        <f t="shared" ref="R7:R38" si="0">SUBTOTAL(9,H7:Q7)</f>
        <v>916</v>
      </c>
      <c r="S7" s="1">
        <f t="shared" ref="S7:S38" si="1">R7/10</f>
        <v>91.6</v>
      </c>
      <c r="T7" s="20">
        <f t="shared" ref="T7:T38" si="2">RANK(S7,S$7:S$156,0)</f>
        <v>1</v>
      </c>
    </row>
    <row r="8" spans="1:20" ht="18" customHeight="1">
      <c r="A8" s="19">
        <v>2</v>
      </c>
      <c r="B8" s="2" t="s">
        <v>4678</v>
      </c>
      <c r="C8" s="1">
        <v>321260218</v>
      </c>
      <c r="D8" s="3" t="s">
        <v>4679</v>
      </c>
      <c r="E8" s="1" t="s">
        <v>55</v>
      </c>
      <c r="F8" s="10" t="s">
        <v>4664</v>
      </c>
      <c r="G8" s="2" t="s">
        <v>95</v>
      </c>
      <c r="H8" s="4">
        <v>96</v>
      </c>
      <c r="I8" s="4">
        <v>72</v>
      </c>
      <c r="J8" s="4">
        <v>88</v>
      </c>
      <c r="K8" s="4">
        <v>76</v>
      </c>
      <c r="L8" s="4">
        <v>80</v>
      </c>
      <c r="M8" s="4">
        <v>88</v>
      </c>
      <c r="N8" s="4">
        <v>93</v>
      </c>
      <c r="O8" s="4">
        <v>100</v>
      </c>
      <c r="P8" s="4">
        <v>76</v>
      </c>
      <c r="Q8" s="4">
        <v>60</v>
      </c>
      <c r="R8" s="1">
        <f t="shared" si="0"/>
        <v>829</v>
      </c>
      <c r="S8" s="1">
        <f t="shared" si="1"/>
        <v>82.9</v>
      </c>
      <c r="T8" s="20">
        <f t="shared" si="2"/>
        <v>2</v>
      </c>
    </row>
    <row r="9" spans="1:20" ht="18" customHeight="1">
      <c r="A9" s="19">
        <v>3</v>
      </c>
      <c r="B9" s="2" t="s">
        <v>4747</v>
      </c>
      <c r="C9" s="1">
        <v>321260273</v>
      </c>
      <c r="D9" s="3" t="s">
        <v>4748</v>
      </c>
      <c r="E9" s="1" t="s">
        <v>67</v>
      </c>
      <c r="F9" s="10" t="s">
        <v>4664</v>
      </c>
      <c r="G9" s="2" t="s">
        <v>97</v>
      </c>
      <c r="H9" s="4">
        <v>72</v>
      </c>
      <c r="I9" s="4">
        <v>72</v>
      </c>
      <c r="J9" s="4">
        <v>60</v>
      </c>
      <c r="K9" s="4">
        <v>92</v>
      </c>
      <c r="L9" s="4">
        <v>76</v>
      </c>
      <c r="M9" s="4">
        <v>72</v>
      </c>
      <c r="N9" s="4">
        <v>56</v>
      </c>
      <c r="O9" s="4">
        <v>100</v>
      </c>
      <c r="P9" s="4">
        <v>64</v>
      </c>
      <c r="Q9" s="4">
        <v>72</v>
      </c>
      <c r="R9" s="1">
        <f t="shared" si="0"/>
        <v>736</v>
      </c>
      <c r="S9" s="1">
        <f t="shared" si="1"/>
        <v>73.599999999999994</v>
      </c>
      <c r="T9" s="20">
        <f t="shared" si="2"/>
        <v>3</v>
      </c>
    </row>
    <row r="10" spans="1:20" ht="18" customHeight="1">
      <c r="A10" s="19">
        <v>4</v>
      </c>
      <c r="B10" s="2" t="s">
        <v>4721</v>
      </c>
      <c r="C10" s="1">
        <v>321260254</v>
      </c>
      <c r="D10" s="3" t="s">
        <v>4722</v>
      </c>
      <c r="E10" s="1" t="s">
        <v>84</v>
      </c>
      <c r="F10" s="10" t="s">
        <v>4664</v>
      </c>
      <c r="G10" s="2" t="s">
        <v>96</v>
      </c>
      <c r="H10" s="4">
        <v>72</v>
      </c>
      <c r="I10" s="4">
        <v>48</v>
      </c>
      <c r="J10" s="4">
        <v>76</v>
      </c>
      <c r="K10" s="4">
        <v>76</v>
      </c>
      <c r="L10" s="4">
        <v>44</v>
      </c>
      <c r="M10" s="4">
        <v>60</v>
      </c>
      <c r="N10" s="4">
        <v>68</v>
      </c>
      <c r="O10" s="4">
        <v>100</v>
      </c>
      <c r="P10" s="4">
        <v>76</v>
      </c>
      <c r="Q10" s="4">
        <v>72</v>
      </c>
      <c r="R10" s="1">
        <f t="shared" si="0"/>
        <v>692</v>
      </c>
      <c r="S10" s="1">
        <f t="shared" si="1"/>
        <v>69.2</v>
      </c>
      <c r="T10" s="20">
        <f t="shared" si="2"/>
        <v>4</v>
      </c>
    </row>
    <row r="11" spans="1:20" ht="18" customHeight="1">
      <c r="A11" s="19">
        <v>5</v>
      </c>
      <c r="B11" s="2" t="s">
        <v>4735</v>
      </c>
      <c r="C11" s="1">
        <v>321260265</v>
      </c>
      <c r="D11" s="3" t="s">
        <v>4736</v>
      </c>
      <c r="E11" s="1" t="s">
        <v>88</v>
      </c>
      <c r="F11" s="10" t="s">
        <v>4664</v>
      </c>
      <c r="G11" s="2" t="s">
        <v>96</v>
      </c>
      <c r="H11" s="4">
        <v>76</v>
      </c>
      <c r="I11" s="4">
        <v>48</v>
      </c>
      <c r="J11" s="4">
        <v>24</v>
      </c>
      <c r="K11" s="4">
        <v>68</v>
      </c>
      <c r="L11" s="4">
        <v>36</v>
      </c>
      <c r="M11" s="4">
        <v>84</v>
      </c>
      <c r="N11" s="4">
        <v>64</v>
      </c>
      <c r="O11" s="4">
        <v>100</v>
      </c>
      <c r="P11" s="4">
        <v>80</v>
      </c>
      <c r="Q11" s="4">
        <v>68</v>
      </c>
      <c r="R11" s="1">
        <f t="shared" si="0"/>
        <v>648</v>
      </c>
      <c r="S11" s="1">
        <f t="shared" si="1"/>
        <v>64.8</v>
      </c>
      <c r="T11" s="20">
        <f t="shared" si="2"/>
        <v>5</v>
      </c>
    </row>
    <row r="12" spans="1:20" ht="18" customHeight="1">
      <c r="A12" s="19">
        <v>6</v>
      </c>
      <c r="B12" s="2" t="s">
        <v>4743</v>
      </c>
      <c r="C12" s="1">
        <v>321260270</v>
      </c>
      <c r="D12" s="3" t="s">
        <v>4744</v>
      </c>
      <c r="E12" s="1" t="s">
        <v>82</v>
      </c>
      <c r="F12" s="10" t="s">
        <v>4664</v>
      </c>
      <c r="G12" s="2" t="s">
        <v>97</v>
      </c>
      <c r="H12" s="4">
        <v>76</v>
      </c>
      <c r="I12" s="4">
        <v>64</v>
      </c>
      <c r="J12" s="4">
        <v>24</v>
      </c>
      <c r="K12" s="4">
        <v>72</v>
      </c>
      <c r="L12" s="4">
        <v>48</v>
      </c>
      <c r="M12" s="4">
        <v>84</v>
      </c>
      <c r="N12" s="4">
        <v>44</v>
      </c>
      <c r="O12" s="4">
        <v>92</v>
      </c>
      <c r="P12" s="4">
        <v>48</v>
      </c>
      <c r="Q12" s="4">
        <v>60</v>
      </c>
      <c r="R12" s="1">
        <f t="shared" si="0"/>
        <v>612</v>
      </c>
      <c r="S12" s="1">
        <f t="shared" si="1"/>
        <v>61.2</v>
      </c>
      <c r="T12" s="20">
        <f t="shared" si="2"/>
        <v>6</v>
      </c>
    </row>
    <row r="13" spans="1:20" ht="18" customHeight="1">
      <c r="A13" s="19">
        <v>7</v>
      </c>
      <c r="B13" s="2" t="s">
        <v>4715</v>
      </c>
      <c r="C13" s="1">
        <v>321260247</v>
      </c>
      <c r="D13" s="3" t="s">
        <v>4716</v>
      </c>
      <c r="E13" s="1" t="s">
        <v>80</v>
      </c>
      <c r="F13" s="10" t="s">
        <v>4664</v>
      </c>
      <c r="G13" s="2" t="s">
        <v>96</v>
      </c>
      <c r="H13" s="4">
        <v>76</v>
      </c>
      <c r="I13" s="4">
        <v>44</v>
      </c>
      <c r="J13" s="4">
        <v>56</v>
      </c>
      <c r="K13" s="4">
        <v>80</v>
      </c>
      <c r="L13" s="4">
        <v>32</v>
      </c>
      <c r="M13" s="4">
        <v>64</v>
      </c>
      <c r="N13" s="4">
        <v>28</v>
      </c>
      <c r="O13" s="4">
        <v>100</v>
      </c>
      <c r="P13" s="4">
        <v>76</v>
      </c>
      <c r="Q13" s="4">
        <v>48</v>
      </c>
      <c r="R13" s="1">
        <f t="shared" si="0"/>
        <v>604</v>
      </c>
      <c r="S13" s="1">
        <f t="shared" si="1"/>
        <v>60.4</v>
      </c>
      <c r="T13" s="20">
        <f t="shared" si="2"/>
        <v>7</v>
      </c>
    </row>
    <row r="14" spans="1:20" ht="18" customHeight="1">
      <c r="A14" s="19">
        <v>8</v>
      </c>
      <c r="B14" s="2" t="s">
        <v>4759</v>
      </c>
      <c r="C14" s="1">
        <v>321260281</v>
      </c>
      <c r="D14" s="3" t="s">
        <v>4760</v>
      </c>
      <c r="E14" s="1" t="s">
        <v>76</v>
      </c>
      <c r="F14" s="10" t="s">
        <v>4664</v>
      </c>
      <c r="G14" s="2" t="s">
        <v>97</v>
      </c>
      <c r="H14" s="4">
        <v>68</v>
      </c>
      <c r="I14" s="4">
        <v>44</v>
      </c>
      <c r="J14" s="4">
        <v>32</v>
      </c>
      <c r="K14" s="4">
        <v>84</v>
      </c>
      <c r="L14" s="4">
        <v>44</v>
      </c>
      <c r="M14" s="4">
        <v>60</v>
      </c>
      <c r="N14" s="4">
        <v>28</v>
      </c>
      <c r="O14" s="4">
        <v>100</v>
      </c>
      <c r="P14" s="4">
        <v>76</v>
      </c>
      <c r="Q14" s="4">
        <v>60</v>
      </c>
      <c r="R14" s="1">
        <f t="shared" si="0"/>
        <v>596</v>
      </c>
      <c r="S14" s="1">
        <f t="shared" si="1"/>
        <v>59.6</v>
      </c>
      <c r="T14" s="20">
        <f t="shared" si="2"/>
        <v>8</v>
      </c>
    </row>
    <row r="15" spans="1:20" ht="18" customHeight="1">
      <c r="A15" s="19">
        <v>9</v>
      </c>
      <c r="B15" s="2" t="s">
        <v>4676</v>
      </c>
      <c r="C15" s="1">
        <v>321260214</v>
      </c>
      <c r="D15" s="3" t="s">
        <v>4677</v>
      </c>
      <c r="E15" s="1" t="s">
        <v>69</v>
      </c>
      <c r="F15" s="10" t="s">
        <v>4664</v>
      </c>
      <c r="G15" s="2" t="s">
        <v>95</v>
      </c>
      <c r="H15" s="4">
        <v>72</v>
      </c>
      <c r="I15" s="4">
        <v>48</v>
      </c>
      <c r="J15" s="4">
        <v>44</v>
      </c>
      <c r="K15" s="4">
        <v>44</v>
      </c>
      <c r="L15" s="4">
        <v>48</v>
      </c>
      <c r="M15" s="4">
        <v>68</v>
      </c>
      <c r="N15" s="4">
        <v>34</v>
      </c>
      <c r="O15" s="4">
        <v>100</v>
      </c>
      <c r="P15" s="4">
        <v>68</v>
      </c>
      <c r="Q15" s="4">
        <v>68</v>
      </c>
      <c r="R15" s="1">
        <f t="shared" si="0"/>
        <v>594</v>
      </c>
      <c r="S15" s="1">
        <f t="shared" si="1"/>
        <v>59.4</v>
      </c>
      <c r="T15" s="20">
        <f t="shared" si="2"/>
        <v>9</v>
      </c>
    </row>
    <row r="16" spans="1:20" ht="18" customHeight="1">
      <c r="A16" s="19">
        <v>10</v>
      </c>
      <c r="B16" s="2" t="s">
        <v>4704</v>
      </c>
      <c r="C16" s="1">
        <v>321260237</v>
      </c>
      <c r="D16" s="3" t="s">
        <v>1217</v>
      </c>
      <c r="E16" s="1" t="s">
        <v>60</v>
      </c>
      <c r="F16" s="10" t="s">
        <v>4664</v>
      </c>
      <c r="G16" s="2" t="s">
        <v>96</v>
      </c>
      <c r="H16" s="4">
        <v>92</v>
      </c>
      <c r="I16" s="4">
        <v>64</v>
      </c>
      <c r="J16" s="4">
        <v>28</v>
      </c>
      <c r="K16" s="4">
        <v>28</v>
      </c>
      <c r="L16" s="4">
        <v>56</v>
      </c>
      <c r="M16" s="4">
        <v>64</v>
      </c>
      <c r="N16" s="4">
        <v>36</v>
      </c>
      <c r="O16" s="4">
        <v>88</v>
      </c>
      <c r="P16" s="4">
        <v>80</v>
      </c>
      <c r="Q16" s="4">
        <v>48</v>
      </c>
      <c r="R16" s="1">
        <f t="shared" si="0"/>
        <v>584</v>
      </c>
      <c r="S16" s="1">
        <f t="shared" si="1"/>
        <v>58.4</v>
      </c>
      <c r="T16" s="20">
        <f t="shared" si="2"/>
        <v>10</v>
      </c>
    </row>
    <row r="17" spans="1:20" ht="18" customHeight="1">
      <c r="A17" s="19">
        <v>11</v>
      </c>
      <c r="B17" s="2" t="s">
        <v>4757</v>
      </c>
      <c r="C17" s="1">
        <v>321260280</v>
      </c>
      <c r="D17" s="3" t="s">
        <v>4758</v>
      </c>
      <c r="E17" s="1" t="s">
        <v>76</v>
      </c>
      <c r="F17" s="10" t="s">
        <v>4664</v>
      </c>
      <c r="G17" s="2" t="s">
        <v>97</v>
      </c>
      <c r="H17" s="4">
        <v>96</v>
      </c>
      <c r="I17" s="4">
        <v>24</v>
      </c>
      <c r="J17" s="4">
        <v>28</v>
      </c>
      <c r="K17" s="4">
        <v>48</v>
      </c>
      <c r="L17" s="4">
        <v>48</v>
      </c>
      <c r="M17" s="4">
        <v>64</v>
      </c>
      <c r="N17" s="4">
        <v>44</v>
      </c>
      <c r="O17" s="4">
        <v>92</v>
      </c>
      <c r="P17" s="4">
        <v>80</v>
      </c>
      <c r="Q17" s="4">
        <v>48</v>
      </c>
      <c r="R17" s="1">
        <f t="shared" si="0"/>
        <v>572</v>
      </c>
      <c r="S17" s="1">
        <f t="shared" si="1"/>
        <v>57.2</v>
      </c>
      <c r="T17" s="20">
        <f t="shared" si="2"/>
        <v>11</v>
      </c>
    </row>
    <row r="18" spans="1:20" ht="18" customHeight="1">
      <c r="A18" s="19">
        <v>12</v>
      </c>
      <c r="B18" s="2" t="s">
        <v>4717</v>
      </c>
      <c r="C18" s="1">
        <v>321260250</v>
      </c>
      <c r="D18" s="3" t="s">
        <v>4718</v>
      </c>
      <c r="E18" s="1" t="s">
        <v>81</v>
      </c>
      <c r="F18" s="10" t="s">
        <v>4664</v>
      </c>
      <c r="G18" s="2" t="s">
        <v>96</v>
      </c>
      <c r="H18" s="4">
        <v>56</v>
      </c>
      <c r="I18" s="4">
        <v>16</v>
      </c>
      <c r="J18" s="4">
        <v>44</v>
      </c>
      <c r="K18" s="4">
        <v>96</v>
      </c>
      <c r="L18" s="4">
        <v>52</v>
      </c>
      <c r="M18" s="4">
        <v>56</v>
      </c>
      <c r="N18" s="4">
        <v>44</v>
      </c>
      <c r="O18" s="4">
        <v>100</v>
      </c>
      <c r="P18" s="4">
        <v>32</v>
      </c>
      <c r="Q18" s="4">
        <v>56</v>
      </c>
      <c r="R18" s="1">
        <f t="shared" si="0"/>
        <v>552</v>
      </c>
      <c r="S18" s="1">
        <f t="shared" si="1"/>
        <v>55.2</v>
      </c>
      <c r="T18" s="20">
        <f t="shared" si="2"/>
        <v>12</v>
      </c>
    </row>
    <row r="19" spans="1:20" ht="18" customHeight="1">
      <c r="A19" s="19">
        <v>13</v>
      </c>
      <c r="B19" s="2" t="s">
        <v>4723</v>
      </c>
      <c r="C19" s="1">
        <v>321260256</v>
      </c>
      <c r="D19" s="3" t="s">
        <v>4724</v>
      </c>
      <c r="E19" s="1" t="s">
        <v>84</v>
      </c>
      <c r="F19" s="10" t="s">
        <v>4664</v>
      </c>
      <c r="G19" s="2" t="s">
        <v>96</v>
      </c>
      <c r="H19" s="4">
        <v>76</v>
      </c>
      <c r="I19" s="4">
        <v>24</v>
      </c>
      <c r="J19" s="4">
        <v>48</v>
      </c>
      <c r="K19" s="4">
        <v>52</v>
      </c>
      <c r="L19" s="4">
        <v>48</v>
      </c>
      <c r="M19" s="4">
        <v>56</v>
      </c>
      <c r="N19" s="4">
        <v>20</v>
      </c>
      <c r="O19" s="4">
        <v>100</v>
      </c>
      <c r="P19" s="4">
        <v>76</v>
      </c>
      <c r="Q19" s="4">
        <v>52</v>
      </c>
      <c r="R19" s="1">
        <f t="shared" si="0"/>
        <v>552</v>
      </c>
      <c r="S19" s="1">
        <f t="shared" si="1"/>
        <v>55.2</v>
      </c>
      <c r="T19" s="20">
        <f t="shared" si="2"/>
        <v>12</v>
      </c>
    </row>
    <row r="20" spans="1:20" ht="18" customHeight="1">
      <c r="A20" s="19">
        <v>14</v>
      </c>
      <c r="B20" s="2" t="s">
        <v>4668</v>
      </c>
      <c r="C20" s="1" t="s">
        <v>4669</v>
      </c>
      <c r="D20" s="3" t="s">
        <v>2459</v>
      </c>
      <c r="E20" s="1" t="s">
        <v>72</v>
      </c>
      <c r="F20" s="10" t="s">
        <v>4664</v>
      </c>
      <c r="G20" s="2" t="s">
        <v>95</v>
      </c>
      <c r="H20" s="4">
        <v>80</v>
      </c>
      <c r="I20" s="4">
        <v>28</v>
      </c>
      <c r="J20" s="4">
        <v>12</v>
      </c>
      <c r="K20" s="4">
        <v>44</v>
      </c>
      <c r="L20" s="4">
        <v>40</v>
      </c>
      <c r="M20" s="4">
        <v>80</v>
      </c>
      <c r="N20" s="4">
        <v>28</v>
      </c>
      <c r="O20" s="4">
        <v>100</v>
      </c>
      <c r="P20" s="4">
        <v>72</v>
      </c>
      <c r="Q20" s="4">
        <v>60</v>
      </c>
      <c r="R20" s="1">
        <f t="shared" si="0"/>
        <v>544</v>
      </c>
      <c r="S20" s="1">
        <f t="shared" si="1"/>
        <v>54.4</v>
      </c>
      <c r="T20" s="20">
        <f t="shared" si="2"/>
        <v>14</v>
      </c>
    </row>
    <row r="21" spans="1:20" ht="18" customHeight="1">
      <c r="A21" s="19">
        <v>15</v>
      </c>
      <c r="B21" s="2" t="s">
        <v>4680</v>
      </c>
      <c r="C21" s="1">
        <v>321260220</v>
      </c>
      <c r="D21" s="3" t="s">
        <v>4681</v>
      </c>
      <c r="E21" s="1" t="s">
        <v>55</v>
      </c>
      <c r="F21" s="10" t="s">
        <v>4664</v>
      </c>
      <c r="G21" s="2" t="s">
        <v>95</v>
      </c>
      <c r="H21" s="4">
        <v>60</v>
      </c>
      <c r="I21" s="4">
        <v>24</v>
      </c>
      <c r="J21" s="4">
        <v>28</v>
      </c>
      <c r="K21" s="4">
        <v>72</v>
      </c>
      <c r="L21" s="4">
        <v>32</v>
      </c>
      <c r="M21" s="4">
        <v>68</v>
      </c>
      <c r="N21" s="4">
        <v>4</v>
      </c>
      <c r="O21" s="4">
        <v>92</v>
      </c>
      <c r="P21" s="4">
        <v>72</v>
      </c>
      <c r="Q21" s="4">
        <v>56</v>
      </c>
      <c r="R21" s="1">
        <f t="shared" si="0"/>
        <v>508</v>
      </c>
      <c r="S21" s="1">
        <f t="shared" si="1"/>
        <v>50.8</v>
      </c>
      <c r="T21" s="20">
        <f t="shared" si="2"/>
        <v>15</v>
      </c>
    </row>
    <row r="22" spans="1:20" ht="18" customHeight="1">
      <c r="A22" s="19">
        <v>16</v>
      </c>
      <c r="B22" s="2" t="s">
        <v>4753</v>
      </c>
      <c r="C22" s="1">
        <v>321260277</v>
      </c>
      <c r="D22" s="3" t="s">
        <v>4754</v>
      </c>
      <c r="E22" s="1" t="s">
        <v>75</v>
      </c>
      <c r="F22" s="10" t="s">
        <v>4664</v>
      </c>
      <c r="G22" s="2" t="s">
        <v>97</v>
      </c>
      <c r="H22" s="4">
        <v>88</v>
      </c>
      <c r="I22" s="4">
        <v>24</v>
      </c>
      <c r="J22" s="4">
        <v>20</v>
      </c>
      <c r="K22" s="4">
        <v>48</v>
      </c>
      <c r="L22" s="4">
        <v>24</v>
      </c>
      <c r="M22" s="4">
        <v>24</v>
      </c>
      <c r="N22" s="4">
        <v>32</v>
      </c>
      <c r="O22" s="4">
        <v>100</v>
      </c>
      <c r="P22" s="4">
        <v>64</v>
      </c>
      <c r="Q22" s="4">
        <v>80</v>
      </c>
      <c r="R22" s="1">
        <f t="shared" si="0"/>
        <v>504</v>
      </c>
      <c r="S22" s="1">
        <f t="shared" si="1"/>
        <v>50.4</v>
      </c>
      <c r="T22" s="20">
        <f t="shared" si="2"/>
        <v>16</v>
      </c>
    </row>
    <row r="23" spans="1:20" ht="18" customHeight="1">
      <c r="A23" s="19">
        <v>17</v>
      </c>
      <c r="B23" s="2" t="s">
        <v>4682</v>
      </c>
      <c r="C23" s="1">
        <v>321260222</v>
      </c>
      <c r="D23" s="3" t="s">
        <v>4683</v>
      </c>
      <c r="E23" s="1" t="s">
        <v>55</v>
      </c>
      <c r="F23" s="10" t="s">
        <v>4664</v>
      </c>
      <c r="G23" s="2" t="s">
        <v>95</v>
      </c>
      <c r="H23" s="4">
        <v>84</v>
      </c>
      <c r="I23" s="4">
        <v>52</v>
      </c>
      <c r="J23" s="4">
        <v>28</v>
      </c>
      <c r="K23" s="4">
        <v>60</v>
      </c>
      <c r="L23" s="4">
        <v>20</v>
      </c>
      <c r="M23" s="4">
        <v>40</v>
      </c>
      <c r="N23" s="4">
        <v>28</v>
      </c>
      <c r="O23" s="4">
        <v>92</v>
      </c>
      <c r="P23" s="4">
        <v>68</v>
      </c>
      <c r="Q23" s="4">
        <v>28</v>
      </c>
      <c r="R23" s="1">
        <f t="shared" si="0"/>
        <v>500</v>
      </c>
      <c r="S23" s="1">
        <f t="shared" si="1"/>
        <v>50</v>
      </c>
      <c r="T23" s="20">
        <f t="shared" si="2"/>
        <v>17</v>
      </c>
    </row>
    <row r="24" spans="1:20" ht="18" customHeight="1">
      <c r="A24" s="19">
        <v>18</v>
      </c>
      <c r="B24" s="2" t="s">
        <v>4690</v>
      </c>
      <c r="C24" s="1">
        <v>321260227</v>
      </c>
      <c r="D24" s="3" t="s">
        <v>4691</v>
      </c>
      <c r="E24" s="1" t="s">
        <v>70</v>
      </c>
      <c r="F24" s="10" t="s">
        <v>4664</v>
      </c>
      <c r="G24" s="2" t="s">
        <v>95</v>
      </c>
      <c r="H24" s="4">
        <v>64</v>
      </c>
      <c r="I24" s="4">
        <v>24</v>
      </c>
      <c r="J24" s="4">
        <v>40</v>
      </c>
      <c r="K24" s="4">
        <v>24</v>
      </c>
      <c r="L24" s="4">
        <v>48</v>
      </c>
      <c r="M24" s="4">
        <v>56</v>
      </c>
      <c r="N24" s="4">
        <v>28</v>
      </c>
      <c r="O24" s="4">
        <v>100</v>
      </c>
      <c r="P24" s="4">
        <v>76</v>
      </c>
      <c r="Q24" s="4">
        <v>36</v>
      </c>
      <c r="R24" s="1">
        <f t="shared" si="0"/>
        <v>496</v>
      </c>
      <c r="S24" s="1">
        <f t="shared" si="1"/>
        <v>49.6</v>
      </c>
      <c r="T24" s="20">
        <f t="shared" si="2"/>
        <v>18</v>
      </c>
    </row>
    <row r="25" spans="1:20" ht="18" customHeight="1">
      <c r="A25" s="19">
        <v>19</v>
      </c>
      <c r="B25" s="2" t="s">
        <v>4707</v>
      </c>
      <c r="C25" s="1">
        <v>321260239</v>
      </c>
      <c r="D25" s="3" t="s">
        <v>4708</v>
      </c>
      <c r="E25" s="1" t="s">
        <v>60</v>
      </c>
      <c r="F25" s="10" t="s">
        <v>4664</v>
      </c>
      <c r="G25" s="2" t="s">
        <v>96</v>
      </c>
      <c r="H25" s="4">
        <v>80</v>
      </c>
      <c r="I25" s="4">
        <v>20</v>
      </c>
      <c r="J25" s="4">
        <v>64</v>
      </c>
      <c r="K25" s="4">
        <v>32</v>
      </c>
      <c r="L25" s="4">
        <v>44</v>
      </c>
      <c r="M25" s="4">
        <v>40</v>
      </c>
      <c r="N25" s="4">
        <v>12</v>
      </c>
      <c r="O25" s="4">
        <v>100</v>
      </c>
      <c r="P25" s="4">
        <v>48</v>
      </c>
      <c r="Q25" s="4">
        <v>52</v>
      </c>
      <c r="R25" s="1">
        <f t="shared" si="0"/>
        <v>492</v>
      </c>
      <c r="S25" s="1">
        <f t="shared" si="1"/>
        <v>49.2</v>
      </c>
      <c r="T25" s="20">
        <f t="shared" si="2"/>
        <v>19</v>
      </c>
    </row>
    <row r="26" spans="1:20" ht="18" customHeight="1">
      <c r="A26" s="19">
        <v>20</v>
      </c>
      <c r="B26" s="2" t="s">
        <v>4739</v>
      </c>
      <c r="C26" s="1">
        <v>321260267</v>
      </c>
      <c r="D26" s="3" t="s">
        <v>4740</v>
      </c>
      <c r="E26" s="1" t="s">
        <v>2075</v>
      </c>
      <c r="F26" s="10" t="s">
        <v>4664</v>
      </c>
      <c r="G26" s="2" t="s">
        <v>96</v>
      </c>
      <c r="H26" s="4">
        <v>64</v>
      </c>
      <c r="I26" s="4">
        <v>16</v>
      </c>
      <c r="J26" s="4">
        <v>64</v>
      </c>
      <c r="K26" s="4">
        <v>40</v>
      </c>
      <c r="L26" s="4">
        <v>32</v>
      </c>
      <c r="M26" s="4">
        <v>56</v>
      </c>
      <c r="N26" s="4">
        <v>24</v>
      </c>
      <c r="O26" s="4">
        <v>100</v>
      </c>
      <c r="P26" s="4">
        <v>52</v>
      </c>
      <c r="Q26" s="4">
        <v>44</v>
      </c>
      <c r="R26" s="1">
        <f t="shared" si="0"/>
        <v>492</v>
      </c>
      <c r="S26" s="1">
        <f t="shared" si="1"/>
        <v>49.2</v>
      </c>
      <c r="T26" s="20">
        <f t="shared" si="2"/>
        <v>19</v>
      </c>
    </row>
    <row r="27" spans="1:20" ht="18" customHeight="1">
      <c r="A27" s="19">
        <v>21</v>
      </c>
      <c r="B27" s="2" t="s">
        <v>4755</v>
      </c>
      <c r="C27" s="1">
        <v>321260279</v>
      </c>
      <c r="D27" s="3" t="s">
        <v>4756</v>
      </c>
      <c r="E27" s="1" t="s">
        <v>75</v>
      </c>
      <c r="F27" s="10" t="s">
        <v>4664</v>
      </c>
      <c r="G27" s="2" t="s">
        <v>97</v>
      </c>
      <c r="H27" s="4">
        <v>84</v>
      </c>
      <c r="I27" s="4">
        <v>12</v>
      </c>
      <c r="J27" s="4">
        <v>28</v>
      </c>
      <c r="K27" s="4">
        <v>60</v>
      </c>
      <c r="L27" s="4">
        <v>24</v>
      </c>
      <c r="M27" s="4">
        <v>44</v>
      </c>
      <c r="N27" s="4">
        <v>12</v>
      </c>
      <c r="O27" s="4">
        <v>96</v>
      </c>
      <c r="P27" s="4">
        <v>56</v>
      </c>
      <c r="Q27" s="4">
        <v>72</v>
      </c>
      <c r="R27" s="1">
        <f t="shared" si="0"/>
        <v>488</v>
      </c>
      <c r="S27" s="1">
        <f t="shared" si="1"/>
        <v>48.8</v>
      </c>
      <c r="T27" s="20">
        <f t="shared" si="2"/>
        <v>21</v>
      </c>
    </row>
    <row r="28" spans="1:20" ht="18" customHeight="1">
      <c r="A28" s="19">
        <v>22</v>
      </c>
      <c r="B28" s="2" t="s">
        <v>4751</v>
      </c>
      <c r="C28" s="1">
        <v>321260275</v>
      </c>
      <c r="D28" s="3" t="s">
        <v>4752</v>
      </c>
      <c r="E28" s="1" t="s">
        <v>75</v>
      </c>
      <c r="F28" s="10" t="s">
        <v>4664</v>
      </c>
      <c r="G28" s="2" t="s">
        <v>97</v>
      </c>
      <c r="H28" s="4">
        <v>88</v>
      </c>
      <c r="I28" s="4">
        <v>32</v>
      </c>
      <c r="J28" s="4">
        <v>36</v>
      </c>
      <c r="K28" s="4">
        <v>32</v>
      </c>
      <c r="L28" s="4">
        <v>24</v>
      </c>
      <c r="M28" s="4">
        <v>28</v>
      </c>
      <c r="N28" s="4">
        <v>12</v>
      </c>
      <c r="O28" s="4">
        <v>100</v>
      </c>
      <c r="P28" s="4">
        <v>44</v>
      </c>
      <c r="Q28" s="4">
        <v>72</v>
      </c>
      <c r="R28" s="1">
        <f t="shared" si="0"/>
        <v>468</v>
      </c>
      <c r="S28" s="1">
        <f t="shared" si="1"/>
        <v>46.8</v>
      </c>
      <c r="T28" s="20">
        <f t="shared" si="2"/>
        <v>22</v>
      </c>
    </row>
    <row r="29" spans="1:20" ht="18" customHeight="1">
      <c r="A29" s="19">
        <v>23</v>
      </c>
      <c r="B29" s="2" t="s">
        <v>4719</v>
      </c>
      <c r="C29" s="1">
        <v>321260253</v>
      </c>
      <c r="D29" s="3" t="s">
        <v>4720</v>
      </c>
      <c r="E29" s="1" t="s">
        <v>73</v>
      </c>
      <c r="F29" s="10" t="s">
        <v>4664</v>
      </c>
      <c r="G29" s="2" t="s">
        <v>96</v>
      </c>
      <c r="H29" s="4">
        <v>60</v>
      </c>
      <c r="I29" s="4">
        <v>40</v>
      </c>
      <c r="J29" s="4">
        <v>20</v>
      </c>
      <c r="K29" s="4">
        <v>52</v>
      </c>
      <c r="L29" s="4">
        <v>40</v>
      </c>
      <c r="M29" s="4">
        <v>52</v>
      </c>
      <c r="N29" s="4">
        <v>20</v>
      </c>
      <c r="O29" s="4">
        <v>100</v>
      </c>
      <c r="P29" s="4">
        <v>40</v>
      </c>
      <c r="Q29" s="4">
        <v>36</v>
      </c>
      <c r="R29" s="1">
        <f t="shared" si="0"/>
        <v>460</v>
      </c>
      <c r="S29" s="1">
        <f t="shared" si="1"/>
        <v>46</v>
      </c>
      <c r="T29" s="20">
        <f t="shared" si="2"/>
        <v>23</v>
      </c>
    </row>
    <row r="30" spans="1:20" ht="18" customHeight="1">
      <c r="A30" s="19">
        <v>24</v>
      </c>
      <c r="B30" s="2" t="s">
        <v>4670</v>
      </c>
      <c r="C30" s="1" t="s">
        <v>4671</v>
      </c>
      <c r="D30" s="3" t="s">
        <v>4672</v>
      </c>
      <c r="E30" s="1" t="s">
        <v>81</v>
      </c>
      <c r="F30" s="10" t="s">
        <v>4664</v>
      </c>
      <c r="G30" s="2" t="s">
        <v>95</v>
      </c>
      <c r="H30" s="4">
        <v>96</v>
      </c>
      <c r="I30" s="4">
        <v>16</v>
      </c>
      <c r="J30" s="4">
        <v>44</v>
      </c>
      <c r="K30" s="4">
        <v>24</v>
      </c>
      <c r="L30" s="4">
        <v>40</v>
      </c>
      <c r="M30" s="4">
        <v>32</v>
      </c>
      <c r="N30" s="4">
        <v>24</v>
      </c>
      <c r="O30" s="4">
        <v>100</v>
      </c>
      <c r="P30" s="4">
        <v>64</v>
      </c>
      <c r="Q30" s="4">
        <v>12</v>
      </c>
      <c r="R30" s="1">
        <f t="shared" si="0"/>
        <v>452</v>
      </c>
      <c r="S30" s="1">
        <f t="shared" si="1"/>
        <v>45.2</v>
      </c>
      <c r="T30" s="20">
        <f t="shared" si="2"/>
        <v>24</v>
      </c>
    </row>
    <row r="31" spans="1:20" ht="18" customHeight="1">
      <c r="A31" s="19">
        <v>25</v>
      </c>
      <c r="B31" s="2" t="s">
        <v>4733</v>
      </c>
      <c r="C31" s="1">
        <v>321260264</v>
      </c>
      <c r="D31" s="3" t="s">
        <v>4734</v>
      </c>
      <c r="E31" s="1" t="s">
        <v>78</v>
      </c>
      <c r="F31" s="10" t="s">
        <v>4664</v>
      </c>
      <c r="G31" s="2" t="s">
        <v>96</v>
      </c>
      <c r="H31" s="4">
        <v>60</v>
      </c>
      <c r="I31" s="4">
        <v>8</v>
      </c>
      <c r="J31" s="4">
        <v>20</v>
      </c>
      <c r="K31" s="4">
        <v>60</v>
      </c>
      <c r="L31" s="4">
        <v>40</v>
      </c>
      <c r="M31" s="4">
        <v>60</v>
      </c>
      <c r="N31" s="4">
        <v>12</v>
      </c>
      <c r="O31" s="4">
        <v>72</v>
      </c>
      <c r="P31" s="4">
        <v>72</v>
      </c>
      <c r="Q31" s="4">
        <v>48</v>
      </c>
      <c r="R31" s="1">
        <f t="shared" si="0"/>
        <v>452</v>
      </c>
      <c r="S31" s="1">
        <f t="shared" si="1"/>
        <v>45.2</v>
      </c>
      <c r="T31" s="20">
        <f t="shared" si="2"/>
        <v>24</v>
      </c>
    </row>
    <row r="32" spans="1:20" ht="18" customHeight="1">
      <c r="A32" s="19">
        <v>26</v>
      </c>
      <c r="B32" s="2" t="s">
        <v>4737</v>
      </c>
      <c r="C32" s="1">
        <v>321260266</v>
      </c>
      <c r="D32" s="3" t="s">
        <v>4738</v>
      </c>
      <c r="E32" s="1" t="s">
        <v>88</v>
      </c>
      <c r="F32" s="10" t="s">
        <v>4664</v>
      </c>
      <c r="G32" s="2" t="s">
        <v>96</v>
      </c>
      <c r="H32" s="4">
        <v>40</v>
      </c>
      <c r="I32" s="4">
        <v>20</v>
      </c>
      <c r="J32" s="4">
        <v>28</v>
      </c>
      <c r="K32" s="4">
        <v>44</v>
      </c>
      <c r="L32" s="4">
        <v>16</v>
      </c>
      <c r="M32" s="4">
        <v>64</v>
      </c>
      <c r="N32" s="4">
        <v>28</v>
      </c>
      <c r="O32" s="4">
        <v>100</v>
      </c>
      <c r="P32" s="4">
        <v>40</v>
      </c>
      <c r="Q32" s="4">
        <v>68</v>
      </c>
      <c r="R32" s="1">
        <f t="shared" si="0"/>
        <v>448</v>
      </c>
      <c r="S32" s="1">
        <f t="shared" si="1"/>
        <v>44.8</v>
      </c>
      <c r="T32" s="20">
        <f t="shared" si="2"/>
        <v>26</v>
      </c>
    </row>
    <row r="33" spans="1:20" ht="18" customHeight="1">
      <c r="A33" s="19">
        <v>27</v>
      </c>
      <c r="B33" s="2" t="s">
        <v>4694</v>
      </c>
      <c r="C33" s="1">
        <v>321260229</v>
      </c>
      <c r="D33" s="3" t="s">
        <v>4695</v>
      </c>
      <c r="E33" s="1" t="s">
        <v>56</v>
      </c>
      <c r="F33" s="10" t="s">
        <v>4664</v>
      </c>
      <c r="G33" s="2" t="s">
        <v>95</v>
      </c>
      <c r="H33" s="4">
        <v>72</v>
      </c>
      <c r="I33" s="4">
        <v>16</v>
      </c>
      <c r="J33" s="4">
        <v>40</v>
      </c>
      <c r="K33" s="4">
        <v>40</v>
      </c>
      <c r="L33" s="4">
        <v>32</v>
      </c>
      <c r="M33" s="4">
        <v>32</v>
      </c>
      <c r="N33" s="4">
        <v>44</v>
      </c>
      <c r="O33" s="4">
        <v>88</v>
      </c>
      <c r="P33" s="4">
        <v>32</v>
      </c>
      <c r="Q33" s="4">
        <v>44</v>
      </c>
      <c r="R33" s="1">
        <f t="shared" si="0"/>
        <v>440</v>
      </c>
      <c r="S33" s="1">
        <f t="shared" si="1"/>
        <v>44</v>
      </c>
      <c r="T33" s="20">
        <f t="shared" si="2"/>
        <v>27</v>
      </c>
    </row>
    <row r="34" spans="1:20" ht="18" customHeight="1">
      <c r="A34" s="19">
        <v>28</v>
      </c>
      <c r="B34" s="2" t="s">
        <v>4696</v>
      </c>
      <c r="C34" s="1">
        <v>321260230</v>
      </c>
      <c r="D34" s="3" t="s">
        <v>4697</v>
      </c>
      <c r="E34" s="1" t="s">
        <v>56</v>
      </c>
      <c r="F34" s="10" t="s">
        <v>4664</v>
      </c>
      <c r="G34" s="2" t="s">
        <v>95</v>
      </c>
      <c r="H34" s="4">
        <v>56</v>
      </c>
      <c r="I34" s="4">
        <v>12</v>
      </c>
      <c r="J34" s="4">
        <v>20</v>
      </c>
      <c r="K34" s="4">
        <v>56</v>
      </c>
      <c r="L34" s="4">
        <v>40</v>
      </c>
      <c r="M34" s="4">
        <v>72</v>
      </c>
      <c r="N34" s="4">
        <v>0</v>
      </c>
      <c r="O34" s="4">
        <v>96</v>
      </c>
      <c r="P34" s="4">
        <v>44</v>
      </c>
      <c r="Q34" s="4">
        <v>44</v>
      </c>
      <c r="R34" s="1">
        <f t="shared" si="0"/>
        <v>440</v>
      </c>
      <c r="S34" s="1">
        <f t="shared" si="1"/>
        <v>44</v>
      </c>
      <c r="T34" s="20">
        <f t="shared" si="2"/>
        <v>27</v>
      </c>
    </row>
    <row r="35" spans="1:20" ht="18" customHeight="1">
      <c r="A35" s="19">
        <v>29</v>
      </c>
      <c r="B35" s="2" t="s">
        <v>4731</v>
      </c>
      <c r="C35" s="1">
        <v>321260262</v>
      </c>
      <c r="D35" s="3" t="s">
        <v>4732</v>
      </c>
      <c r="E35" s="1" t="s">
        <v>64</v>
      </c>
      <c r="F35" s="10" t="s">
        <v>4664</v>
      </c>
      <c r="G35" s="2" t="s">
        <v>96</v>
      </c>
      <c r="H35" s="4">
        <v>60</v>
      </c>
      <c r="I35" s="4">
        <v>16</v>
      </c>
      <c r="J35" s="4">
        <v>32</v>
      </c>
      <c r="K35" s="4">
        <v>40</v>
      </c>
      <c r="L35" s="4">
        <v>48</v>
      </c>
      <c r="M35" s="4">
        <v>68</v>
      </c>
      <c r="N35" s="4">
        <v>0</v>
      </c>
      <c r="O35" s="4">
        <v>88</v>
      </c>
      <c r="P35" s="4">
        <v>60</v>
      </c>
      <c r="Q35" s="4">
        <v>24</v>
      </c>
      <c r="R35" s="1">
        <f t="shared" si="0"/>
        <v>436</v>
      </c>
      <c r="S35" s="1">
        <f t="shared" si="1"/>
        <v>43.6</v>
      </c>
      <c r="T35" s="20">
        <f t="shared" si="2"/>
        <v>29</v>
      </c>
    </row>
    <row r="36" spans="1:20" ht="18" customHeight="1">
      <c r="A36" s="19">
        <v>30</v>
      </c>
      <c r="B36" s="2" t="s">
        <v>4749</v>
      </c>
      <c r="C36" s="1">
        <v>321260274</v>
      </c>
      <c r="D36" s="3" t="s">
        <v>4750</v>
      </c>
      <c r="E36" s="1" t="s">
        <v>67</v>
      </c>
      <c r="F36" s="10" t="s">
        <v>4664</v>
      </c>
      <c r="G36" s="2" t="s">
        <v>97</v>
      </c>
      <c r="H36" s="4">
        <v>68</v>
      </c>
      <c r="I36" s="4">
        <v>64</v>
      </c>
      <c r="J36" s="4">
        <v>36</v>
      </c>
      <c r="K36" s="4">
        <v>24</v>
      </c>
      <c r="L36" s="4">
        <v>28</v>
      </c>
      <c r="M36" s="4">
        <v>28</v>
      </c>
      <c r="N36" s="4">
        <v>8</v>
      </c>
      <c r="O36" s="4">
        <v>96</v>
      </c>
      <c r="P36" s="4">
        <v>48</v>
      </c>
      <c r="Q36" s="4">
        <v>36</v>
      </c>
      <c r="R36" s="1">
        <f t="shared" si="0"/>
        <v>436</v>
      </c>
      <c r="S36" s="1">
        <f t="shared" si="1"/>
        <v>43.6</v>
      </c>
      <c r="T36" s="20">
        <f t="shared" si="2"/>
        <v>29</v>
      </c>
    </row>
    <row r="37" spans="1:20" ht="18" customHeight="1">
      <c r="A37" s="19">
        <v>31</v>
      </c>
      <c r="B37" s="2" t="s">
        <v>4661</v>
      </c>
      <c r="C37" s="1" t="s">
        <v>4662</v>
      </c>
      <c r="D37" s="3" t="s">
        <v>4663</v>
      </c>
      <c r="E37" s="1" t="s">
        <v>79</v>
      </c>
      <c r="F37" s="10" t="s">
        <v>4664</v>
      </c>
      <c r="G37" s="2" t="s">
        <v>95</v>
      </c>
      <c r="H37" s="4">
        <v>52</v>
      </c>
      <c r="I37" s="4">
        <v>24</v>
      </c>
      <c r="J37" s="4">
        <v>28</v>
      </c>
      <c r="K37" s="4">
        <v>32</v>
      </c>
      <c r="L37" s="4">
        <v>40</v>
      </c>
      <c r="M37" s="4">
        <v>36</v>
      </c>
      <c r="N37" s="4">
        <v>36</v>
      </c>
      <c r="O37" s="4">
        <v>92</v>
      </c>
      <c r="P37" s="4">
        <v>68</v>
      </c>
      <c r="Q37" s="4">
        <v>24</v>
      </c>
      <c r="R37" s="1">
        <f t="shared" si="0"/>
        <v>432</v>
      </c>
      <c r="S37" s="1">
        <f t="shared" si="1"/>
        <v>43.2</v>
      </c>
      <c r="T37" s="20">
        <f t="shared" si="2"/>
        <v>31</v>
      </c>
    </row>
    <row r="38" spans="1:20" ht="18" customHeight="1">
      <c r="A38" s="19">
        <v>32</v>
      </c>
      <c r="B38" s="2" t="s">
        <v>4692</v>
      </c>
      <c r="C38" s="1">
        <v>321260228</v>
      </c>
      <c r="D38" s="3" t="s">
        <v>4693</v>
      </c>
      <c r="E38" s="1" t="s">
        <v>70</v>
      </c>
      <c r="F38" s="10" t="s">
        <v>4664</v>
      </c>
      <c r="G38" s="2" t="s">
        <v>95</v>
      </c>
      <c r="H38" s="4">
        <v>44</v>
      </c>
      <c r="I38" s="4">
        <v>16</v>
      </c>
      <c r="J38" s="4">
        <v>20</v>
      </c>
      <c r="K38" s="4">
        <v>32</v>
      </c>
      <c r="L38" s="4">
        <v>12</v>
      </c>
      <c r="M38" s="4">
        <v>48</v>
      </c>
      <c r="N38" s="4">
        <v>84</v>
      </c>
      <c r="O38" s="4">
        <v>100</v>
      </c>
      <c r="P38" s="4">
        <v>48</v>
      </c>
      <c r="Q38" s="4">
        <v>20</v>
      </c>
      <c r="R38" s="1">
        <f t="shared" si="0"/>
        <v>424</v>
      </c>
      <c r="S38" s="1">
        <f t="shared" si="1"/>
        <v>42.4</v>
      </c>
      <c r="T38" s="20">
        <f t="shared" si="2"/>
        <v>32</v>
      </c>
    </row>
    <row r="39" spans="1:20" ht="18" customHeight="1">
      <c r="A39" s="19">
        <v>33</v>
      </c>
      <c r="B39" s="2" t="s">
        <v>4673</v>
      </c>
      <c r="C39" s="1" t="s">
        <v>4674</v>
      </c>
      <c r="D39" s="3" t="s">
        <v>4675</v>
      </c>
      <c r="E39" s="1" t="s">
        <v>78</v>
      </c>
      <c r="F39" s="10" t="s">
        <v>4664</v>
      </c>
      <c r="G39" s="2" t="s">
        <v>95</v>
      </c>
      <c r="H39" s="4">
        <v>68</v>
      </c>
      <c r="I39" s="4">
        <v>28</v>
      </c>
      <c r="J39" s="4">
        <v>12</v>
      </c>
      <c r="K39" s="4">
        <v>36</v>
      </c>
      <c r="L39" s="4">
        <v>32</v>
      </c>
      <c r="M39" s="4">
        <v>40</v>
      </c>
      <c r="N39" s="4">
        <v>32</v>
      </c>
      <c r="O39" s="4">
        <v>80</v>
      </c>
      <c r="P39" s="4">
        <v>52</v>
      </c>
      <c r="Q39" s="4">
        <v>36</v>
      </c>
      <c r="R39" s="1">
        <f t="shared" ref="R39:R55" si="3">SUBTOTAL(9,H39:Q39)</f>
        <v>416</v>
      </c>
      <c r="S39" s="1">
        <f t="shared" ref="S39:S55" si="4">R39/10</f>
        <v>41.6</v>
      </c>
      <c r="T39" s="20">
        <f t="shared" ref="T39:T55" si="5">RANK(S39,S$7:S$156,0)</f>
        <v>33</v>
      </c>
    </row>
    <row r="40" spans="1:20" ht="18" customHeight="1">
      <c r="A40" s="19">
        <v>34</v>
      </c>
      <c r="B40" s="2" t="s">
        <v>4705</v>
      </c>
      <c r="C40" s="1">
        <v>321260238</v>
      </c>
      <c r="D40" s="3" t="s">
        <v>4706</v>
      </c>
      <c r="E40" s="1" t="s">
        <v>60</v>
      </c>
      <c r="F40" s="10" t="s">
        <v>4664</v>
      </c>
      <c r="G40" s="2" t="s">
        <v>96</v>
      </c>
      <c r="H40" s="4">
        <v>40</v>
      </c>
      <c r="I40" s="4">
        <v>36</v>
      </c>
      <c r="J40" s="4">
        <v>32</v>
      </c>
      <c r="K40" s="4">
        <v>48</v>
      </c>
      <c r="L40" s="4">
        <v>32</v>
      </c>
      <c r="M40" s="4">
        <v>56</v>
      </c>
      <c r="N40" s="4">
        <v>16</v>
      </c>
      <c r="O40" s="4">
        <v>88</v>
      </c>
      <c r="P40" s="4">
        <v>52</v>
      </c>
      <c r="Q40" s="4">
        <v>12</v>
      </c>
      <c r="R40" s="1">
        <f t="shared" si="3"/>
        <v>412</v>
      </c>
      <c r="S40" s="1">
        <f t="shared" si="4"/>
        <v>41.2</v>
      </c>
      <c r="T40" s="20">
        <f t="shared" si="5"/>
        <v>34</v>
      </c>
    </row>
    <row r="41" spans="1:20" ht="18" customHeight="1">
      <c r="A41" s="19">
        <v>35</v>
      </c>
      <c r="B41" s="2" t="s">
        <v>4729</v>
      </c>
      <c r="C41" s="1">
        <v>321260260</v>
      </c>
      <c r="D41" s="3" t="s">
        <v>4730</v>
      </c>
      <c r="E41" s="1" t="s">
        <v>74</v>
      </c>
      <c r="F41" s="10" t="s">
        <v>4664</v>
      </c>
      <c r="G41" s="2" t="s">
        <v>96</v>
      </c>
      <c r="H41" s="4">
        <v>52</v>
      </c>
      <c r="I41" s="4">
        <v>12</v>
      </c>
      <c r="J41" s="4">
        <v>52</v>
      </c>
      <c r="K41" s="4">
        <v>48</v>
      </c>
      <c r="L41" s="4">
        <v>16</v>
      </c>
      <c r="M41" s="4">
        <v>28</v>
      </c>
      <c r="N41" s="4">
        <v>12</v>
      </c>
      <c r="O41" s="4">
        <v>100</v>
      </c>
      <c r="P41" s="4">
        <v>48</v>
      </c>
      <c r="Q41" s="4">
        <v>44</v>
      </c>
      <c r="R41" s="1">
        <f t="shared" si="3"/>
        <v>412</v>
      </c>
      <c r="S41" s="1">
        <f t="shared" si="4"/>
        <v>41.2</v>
      </c>
      <c r="T41" s="20">
        <f t="shared" si="5"/>
        <v>34</v>
      </c>
    </row>
    <row r="42" spans="1:20" ht="18" customHeight="1">
      <c r="A42" s="19">
        <v>36</v>
      </c>
      <c r="B42" s="2" t="s">
        <v>4741</v>
      </c>
      <c r="C42" s="1">
        <v>321260269</v>
      </c>
      <c r="D42" s="3" t="s">
        <v>4742</v>
      </c>
      <c r="E42" s="1" t="s">
        <v>82</v>
      </c>
      <c r="F42" s="10" t="s">
        <v>4664</v>
      </c>
      <c r="G42" s="2" t="s">
        <v>97</v>
      </c>
      <c r="H42" s="4">
        <v>56</v>
      </c>
      <c r="I42" s="4">
        <v>24</v>
      </c>
      <c r="J42" s="4">
        <v>20</v>
      </c>
      <c r="K42" s="4">
        <v>24</v>
      </c>
      <c r="L42" s="4">
        <v>16</v>
      </c>
      <c r="M42" s="4">
        <v>44</v>
      </c>
      <c r="N42" s="4">
        <v>40</v>
      </c>
      <c r="O42" s="4">
        <v>100</v>
      </c>
      <c r="P42" s="4">
        <v>56</v>
      </c>
      <c r="Q42" s="4">
        <v>24</v>
      </c>
      <c r="R42" s="1">
        <f t="shared" si="3"/>
        <v>404</v>
      </c>
      <c r="S42" s="1">
        <f t="shared" si="4"/>
        <v>40.4</v>
      </c>
      <c r="T42" s="20">
        <f t="shared" si="5"/>
        <v>36</v>
      </c>
    </row>
    <row r="43" spans="1:20" ht="18" customHeight="1">
      <c r="A43" s="19">
        <v>37</v>
      </c>
      <c r="B43" s="2" t="s">
        <v>4665</v>
      </c>
      <c r="C43" s="1" t="s">
        <v>4666</v>
      </c>
      <c r="D43" s="3" t="s">
        <v>4667</v>
      </c>
      <c r="E43" s="1" t="s">
        <v>57</v>
      </c>
      <c r="F43" s="10" t="s">
        <v>4664</v>
      </c>
      <c r="G43" s="2" t="s">
        <v>95</v>
      </c>
      <c r="H43" s="4">
        <v>40</v>
      </c>
      <c r="I43" s="4">
        <v>28</v>
      </c>
      <c r="J43" s="4">
        <v>12</v>
      </c>
      <c r="K43" s="4">
        <v>24</v>
      </c>
      <c r="L43" s="4">
        <v>52</v>
      </c>
      <c r="M43" s="4">
        <v>48</v>
      </c>
      <c r="N43" s="4">
        <v>16</v>
      </c>
      <c r="O43" s="4">
        <v>92</v>
      </c>
      <c r="P43" s="4">
        <v>52</v>
      </c>
      <c r="Q43" s="4">
        <v>36</v>
      </c>
      <c r="R43" s="1">
        <f t="shared" si="3"/>
        <v>400</v>
      </c>
      <c r="S43" s="1">
        <f t="shared" si="4"/>
        <v>40</v>
      </c>
      <c r="T43" s="20">
        <f t="shared" si="5"/>
        <v>37</v>
      </c>
    </row>
    <row r="44" spans="1:20" ht="18" customHeight="1">
      <c r="A44" s="19">
        <v>38</v>
      </c>
      <c r="B44" s="2" t="s">
        <v>4709</v>
      </c>
      <c r="C44" s="1">
        <v>321260240</v>
      </c>
      <c r="D44" s="3" t="s">
        <v>4710</v>
      </c>
      <c r="E44" s="1" t="s">
        <v>61</v>
      </c>
      <c r="F44" s="10" t="s">
        <v>4664</v>
      </c>
      <c r="G44" s="2" t="s">
        <v>96</v>
      </c>
      <c r="H44" s="4">
        <v>52</v>
      </c>
      <c r="I44" s="4">
        <v>32</v>
      </c>
      <c r="J44" s="4">
        <v>20</v>
      </c>
      <c r="K44" s="4">
        <v>52</v>
      </c>
      <c r="L44" s="4">
        <v>20</v>
      </c>
      <c r="M44" s="4">
        <v>40</v>
      </c>
      <c r="N44" s="4">
        <v>28</v>
      </c>
      <c r="O44" s="4">
        <v>100</v>
      </c>
      <c r="P44" s="4">
        <v>20</v>
      </c>
      <c r="Q44" s="4">
        <v>36</v>
      </c>
      <c r="R44" s="1">
        <f t="shared" si="3"/>
        <v>400</v>
      </c>
      <c r="S44" s="1">
        <f t="shared" si="4"/>
        <v>40</v>
      </c>
      <c r="T44" s="20">
        <f t="shared" si="5"/>
        <v>37</v>
      </c>
    </row>
    <row r="45" spans="1:20" ht="18" customHeight="1">
      <c r="A45" s="19">
        <v>39</v>
      </c>
      <c r="B45" s="2" t="s">
        <v>4700</v>
      </c>
      <c r="C45" s="1">
        <v>321260234</v>
      </c>
      <c r="D45" s="3" t="s">
        <v>4701</v>
      </c>
      <c r="E45" s="1" t="s">
        <v>58</v>
      </c>
      <c r="F45" s="10" t="s">
        <v>4664</v>
      </c>
      <c r="G45" s="2" t="s">
        <v>95</v>
      </c>
      <c r="H45" s="4">
        <v>60</v>
      </c>
      <c r="I45" s="4">
        <v>24</v>
      </c>
      <c r="J45" s="4">
        <v>16</v>
      </c>
      <c r="K45" s="4">
        <v>36</v>
      </c>
      <c r="L45" s="4">
        <v>20</v>
      </c>
      <c r="M45" s="4">
        <v>32</v>
      </c>
      <c r="N45" s="4">
        <v>20</v>
      </c>
      <c r="O45" s="4">
        <v>68</v>
      </c>
      <c r="P45" s="4">
        <v>56</v>
      </c>
      <c r="Q45" s="4">
        <v>32</v>
      </c>
      <c r="R45" s="1">
        <f t="shared" si="3"/>
        <v>364</v>
      </c>
      <c r="S45" s="1">
        <f t="shared" si="4"/>
        <v>36.4</v>
      </c>
      <c r="T45" s="20">
        <f t="shared" si="5"/>
        <v>39</v>
      </c>
    </row>
    <row r="46" spans="1:20" ht="18" customHeight="1">
      <c r="A46" s="19">
        <v>40</v>
      </c>
      <c r="B46" s="2" t="s">
        <v>4684</v>
      </c>
      <c r="C46" s="1">
        <v>321260223</v>
      </c>
      <c r="D46" s="3" t="s">
        <v>4685</v>
      </c>
      <c r="E46" s="1" t="s">
        <v>55</v>
      </c>
      <c r="F46" s="10" t="s">
        <v>4664</v>
      </c>
      <c r="G46" s="2" t="s">
        <v>95</v>
      </c>
      <c r="H46" s="4">
        <v>48</v>
      </c>
      <c r="I46" s="4">
        <v>24</v>
      </c>
      <c r="J46" s="4">
        <v>12</v>
      </c>
      <c r="K46" s="4">
        <v>12</v>
      </c>
      <c r="L46" s="4">
        <v>24</v>
      </c>
      <c r="M46" s="4">
        <v>40</v>
      </c>
      <c r="N46" s="4">
        <v>20</v>
      </c>
      <c r="O46" s="4">
        <v>88</v>
      </c>
      <c r="P46" s="4">
        <v>72</v>
      </c>
      <c r="Q46" s="4">
        <v>20</v>
      </c>
      <c r="R46" s="1">
        <f t="shared" si="3"/>
        <v>360</v>
      </c>
      <c r="S46" s="1">
        <f t="shared" si="4"/>
        <v>36</v>
      </c>
      <c r="T46" s="20">
        <f t="shared" si="5"/>
        <v>40</v>
      </c>
    </row>
    <row r="47" spans="1:20" ht="18" customHeight="1">
      <c r="A47" s="19">
        <v>41</v>
      </c>
      <c r="B47" s="2" t="s">
        <v>4727</v>
      </c>
      <c r="C47" s="1">
        <v>321260259</v>
      </c>
      <c r="D47" s="3" t="s">
        <v>4728</v>
      </c>
      <c r="E47" s="1" t="s">
        <v>74</v>
      </c>
      <c r="F47" s="10" t="s">
        <v>4664</v>
      </c>
      <c r="G47" s="2" t="s">
        <v>96</v>
      </c>
      <c r="H47" s="4">
        <v>40</v>
      </c>
      <c r="I47" s="4">
        <v>12</v>
      </c>
      <c r="J47" s="4">
        <v>16</v>
      </c>
      <c r="K47" s="4">
        <v>28</v>
      </c>
      <c r="L47" s="4">
        <v>28</v>
      </c>
      <c r="M47" s="4">
        <v>36</v>
      </c>
      <c r="N47" s="4">
        <v>32</v>
      </c>
      <c r="O47" s="4">
        <v>96</v>
      </c>
      <c r="P47" s="4">
        <v>60</v>
      </c>
      <c r="Q47" s="4">
        <v>12</v>
      </c>
      <c r="R47" s="1">
        <f t="shared" si="3"/>
        <v>360</v>
      </c>
      <c r="S47" s="1">
        <f t="shared" si="4"/>
        <v>36</v>
      </c>
      <c r="T47" s="20">
        <f t="shared" si="5"/>
        <v>40</v>
      </c>
    </row>
    <row r="48" spans="1:20" ht="18" customHeight="1">
      <c r="A48" s="19">
        <v>42</v>
      </c>
      <c r="B48" s="2" t="s">
        <v>4725</v>
      </c>
      <c r="C48" s="1">
        <v>321260257</v>
      </c>
      <c r="D48" s="3" t="s">
        <v>4726</v>
      </c>
      <c r="E48" s="1" t="s">
        <v>84</v>
      </c>
      <c r="F48" s="10" t="s">
        <v>4664</v>
      </c>
      <c r="G48" s="2" t="s">
        <v>96</v>
      </c>
      <c r="H48" s="4">
        <v>44</v>
      </c>
      <c r="I48" s="4">
        <v>16</v>
      </c>
      <c r="J48" s="4">
        <v>8</v>
      </c>
      <c r="K48" s="4">
        <v>44</v>
      </c>
      <c r="L48" s="4">
        <v>24</v>
      </c>
      <c r="M48" s="4">
        <v>64</v>
      </c>
      <c r="N48" s="4">
        <v>0</v>
      </c>
      <c r="O48" s="4">
        <v>92</v>
      </c>
      <c r="P48" s="4">
        <v>52</v>
      </c>
      <c r="Q48" s="4">
        <v>12</v>
      </c>
      <c r="R48" s="1">
        <f t="shared" si="3"/>
        <v>356</v>
      </c>
      <c r="S48" s="1">
        <f t="shared" si="4"/>
        <v>35.6</v>
      </c>
      <c r="T48" s="20">
        <f t="shared" si="5"/>
        <v>42</v>
      </c>
    </row>
    <row r="49" spans="1:20" ht="18" customHeight="1">
      <c r="A49" s="19">
        <v>43</v>
      </c>
      <c r="B49" s="2" t="s">
        <v>4761</v>
      </c>
      <c r="C49" s="1">
        <v>321260283</v>
      </c>
      <c r="D49" s="3" t="s">
        <v>4762</v>
      </c>
      <c r="E49" s="1" t="s">
        <v>85</v>
      </c>
      <c r="F49" s="10" t="s">
        <v>4664</v>
      </c>
      <c r="G49" s="2" t="s">
        <v>97</v>
      </c>
      <c r="H49" s="4">
        <v>60</v>
      </c>
      <c r="I49" s="4">
        <v>24</v>
      </c>
      <c r="J49" s="4">
        <v>28</v>
      </c>
      <c r="K49" s="4">
        <v>24</v>
      </c>
      <c r="L49" s="4">
        <v>4</v>
      </c>
      <c r="M49" s="4">
        <v>36</v>
      </c>
      <c r="N49" s="4">
        <v>12</v>
      </c>
      <c r="O49" s="4">
        <v>100</v>
      </c>
      <c r="P49" s="4">
        <v>44</v>
      </c>
      <c r="Q49" s="4">
        <v>12</v>
      </c>
      <c r="R49" s="1">
        <f t="shared" si="3"/>
        <v>344</v>
      </c>
      <c r="S49" s="1">
        <f t="shared" si="4"/>
        <v>34.4</v>
      </c>
      <c r="T49" s="20">
        <f t="shared" si="5"/>
        <v>43</v>
      </c>
    </row>
    <row r="50" spans="1:20" ht="18" customHeight="1">
      <c r="A50" s="19">
        <v>44</v>
      </c>
      <c r="B50" s="2" t="s">
        <v>4686</v>
      </c>
      <c r="C50" s="1">
        <v>321260224</v>
      </c>
      <c r="D50" s="3" t="s">
        <v>4687</v>
      </c>
      <c r="E50" s="1" t="s">
        <v>55</v>
      </c>
      <c r="F50" s="10" t="s">
        <v>4664</v>
      </c>
      <c r="G50" s="2" t="s">
        <v>95</v>
      </c>
      <c r="H50" s="4">
        <v>60</v>
      </c>
      <c r="I50" s="4">
        <v>8</v>
      </c>
      <c r="J50" s="4">
        <v>24</v>
      </c>
      <c r="K50" s="4">
        <v>4</v>
      </c>
      <c r="L50" s="4">
        <v>8</v>
      </c>
      <c r="M50" s="4">
        <v>20</v>
      </c>
      <c r="N50" s="4">
        <v>16</v>
      </c>
      <c r="O50" s="4">
        <v>96</v>
      </c>
      <c r="P50" s="4">
        <v>44</v>
      </c>
      <c r="Q50" s="4">
        <v>32</v>
      </c>
      <c r="R50" s="1">
        <f t="shared" si="3"/>
        <v>312</v>
      </c>
      <c r="S50" s="1">
        <f t="shared" si="4"/>
        <v>31.2</v>
      </c>
      <c r="T50" s="20">
        <f t="shared" si="5"/>
        <v>44</v>
      </c>
    </row>
    <row r="51" spans="1:20" ht="18" customHeight="1">
      <c r="A51" s="19">
        <v>45</v>
      </c>
      <c r="B51" s="2" t="s">
        <v>4711</v>
      </c>
      <c r="C51" s="1">
        <v>321260242</v>
      </c>
      <c r="D51" s="3" t="s">
        <v>4712</v>
      </c>
      <c r="E51" s="1" t="s">
        <v>61</v>
      </c>
      <c r="F51" s="10" t="s">
        <v>4664</v>
      </c>
      <c r="G51" s="2" t="s">
        <v>96</v>
      </c>
      <c r="H51" s="4">
        <v>44</v>
      </c>
      <c r="I51" s="4">
        <v>32</v>
      </c>
      <c r="J51" s="4">
        <v>12</v>
      </c>
      <c r="K51" s="4">
        <v>24</v>
      </c>
      <c r="L51" s="4">
        <v>16</v>
      </c>
      <c r="M51" s="4">
        <v>16</v>
      </c>
      <c r="N51" s="4">
        <v>8</v>
      </c>
      <c r="O51" s="4">
        <v>100</v>
      </c>
      <c r="P51" s="4">
        <v>24</v>
      </c>
      <c r="Q51" s="4">
        <v>36</v>
      </c>
      <c r="R51" s="1">
        <f t="shared" si="3"/>
        <v>312</v>
      </c>
      <c r="S51" s="1">
        <f t="shared" si="4"/>
        <v>31.2</v>
      </c>
      <c r="T51" s="20">
        <f t="shared" si="5"/>
        <v>44</v>
      </c>
    </row>
    <row r="52" spans="1:20" ht="18" customHeight="1">
      <c r="A52" s="19">
        <v>46</v>
      </c>
      <c r="B52" s="2" t="s">
        <v>4713</v>
      </c>
      <c r="C52" s="1">
        <v>321260244</v>
      </c>
      <c r="D52" s="3" t="s">
        <v>4714</v>
      </c>
      <c r="E52" s="1" t="s">
        <v>62</v>
      </c>
      <c r="F52" s="10" t="s">
        <v>4664</v>
      </c>
      <c r="G52" s="2" t="s">
        <v>96</v>
      </c>
      <c r="H52" s="4">
        <v>8</v>
      </c>
      <c r="I52" s="4">
        <v>28</v>
      </c>
      <c r="J52" s="4">
        <v>12</v>
      </c>
      <c r="K52" s="4">
        <v>20</v>
      </c>
      <c r="L52" s="4">
        <v>28</v>
      </c>
      <c r="M52" s="4">
        <v>32</v>
      </c>
      <c r="N52" s="4">
        <v>24</v>
      </c>
      <c r="O52" s="4">
        <v>92</v>
      </c>
      <c r="P52" s="4">
        <v>40</v>
      </c>
      <c r="Q52" s="4">
        <v>12</v>
      </c>
      <c r="R52" s="1">
        <f t="shared" si="3"/>
        <v>296</v>
      </c>
      <c r="S52" s="1">
        <f t="shared" si="4"/>
        <v>29.6</v>
      </c>
      <c r="T52" s="20">
        <f t="shared" si="5"/>
        <v>46</v>
      </c>
    </row>
    <row r="53" spans="1:20" ht="18" customHeight="1">
      <c r="A53" s="19">
        <v>47</v>
      </c>
      <c r="B53" s="2" t="s">
        <v>4702</v>
      </c>
      <c r="C53" s="1">
        <v>321260236</v>
      </c>
      <c r="D53" s="3" t="s">
        <v>4703</v>
      </c>
      <c r="E53" s="1" t="s">
        <v>59</v>
      </c>
      <c r="F53" s="10" t="s">
        <v>4664</v>
      </c>
      <c r="G53" s="2" t="s">
        <v>95</v>
      </c>
      <c r="H53" s="4">
        <v>24</v>
      </c>
      <c r="I53" s="4">
        <v>24</v>
      </c>
      <c r="J53" s="4">
        <v>20</v>
      </c>
      <c r="K53" s="4">
        <v>4</v>
      </c>
      <c r="L53" s="4">
        <v>20</v>
      </c>
      <c r="M53" s="4">
        <v>16</v>
      </c>
      <c r="N53" s="4">
        <v>20</v>
      </c>
      <c r="O53" s="4">
        <v>84</v>
      </c>
      <c r="P53" s="4">
        <v>16</v>
      </c>
      <c r="Q53" s="4">
        <v>16</v>
      </c>
      <c r="R53" s="1">
        <f t="shared" si="3"/>
        <v>244</v>
      </c>
      <c r="S53" s="1">
        <f t="shared" si="4"/>
        <v>24.4</v>
      </c>
      <c r="T53" s="20">
        <f t="shared" si="5"/>
        <v>47</v>
      </c>
    </row>
    <row r="54" spans="1:20" ht="18" customHeight="1">
      <c r="A54" s="19">
        <v>48</v>
      </c>
      <c r="B54" s="2" t="s">
        <v>4688</v>
      </c>
      <c r="C54" s="1">
        <v>321260225</v>
      </c>
      <c r="D54" s="3" t="s">
        <v>4689</v>
      </c>
      <c r="E54" s="1" t="s">
        <v>79</v>
      </c>
      <c r="F54" s="10" t="s">
        <v>4664</v>
      </c>
      <c r="G54" s="2" t="s">
        <v>95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1">
        <f t="shared" si="3"/>
        <v>0</v>
      </c>
      <c r="S54" s="1">
        <f t="shared" si="4"/>
        <v>0</v>
      </c>
      <c r="T54" s="20">
        <f t="shared" si="5"/>
        <v>48</v>
      </c>
    </row>
    <row r="55" spans="1:20" ht="18" customHeight="1">
      <c r="A55" s="19">
        <v>49</v>
      </c>
      <c r="B55" s="28" t="s">
        <v>4698</v>
      </c>
      <c r="C55" s="29">
        <v>321260232</v>
      </c>
      <c r="D55" s="30" t="s">
        <v>4699</v>
      </c>
      <c r="E55" s="29" t="s">
        <v>57</v>
      </c>
      <c r="F55" s="31" t="s">
        <v>4664</v>
      </c>
      <c r="G55" s="28" t="s">
        <v>95</v>
      </c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29">
        <f t="shared" si="3"/>
        <v>0</v>
      </c>
      <c r="S55" s="29">
        <f t="shared" si="4"/>
        <v>0</v>
      </c>
      <c r="T55" s="33">
        <f t="shared" si="5"/>
        <v>48</v>
      </c>
    </row>
  </sheetData>
  <mergeCells count="4">
    <mergeCell ref="A1:P1"/>
    <mergeCell ref="A2:P2"/>
    <mergeCell ref="A3:P3"/>
    <mergeCell ref="A5:B5"/>
  </mergeCells>
  <conditionalFormatting sqref="H7:Q7">
    <cfRule type="expression" dxfId="1557" priority="195">
      <formula>5</formula>
    </cfRule>
    <cfRule type="cellIs" dxfId="1556" priority="196" operator="lessThan">
      <formula>5</formula>
    </cfRule>
  </conditionalFormatting>
  <conditionalFormatting sqref="H7:Q7">
    <cfRule type="cellIs" dxfId="1555" priority="194" operator="lessThan">
      <formula>50</formula>
    </cfRule>
  </conditionalFormatting>
  <conditionalFormatting sqref="S7">
    <cfRule type="cellIs" dxfId="1554" priority="193" operator="lessThan">
      <formula>50</formula>
    </cfRule>
  </conditionalFormatting>
  <conditionalFormatting sqref="H8:Q8">
    <cfRule type="expression" dxfId="1553" priority="191">
      <formula>5</formula>
    </cfRule>
    <cfRule type="cellIs" dxfId="1552" priority="192" operator="lessThan">
      <formula>5</formula>
    </cfRule>
  </conditionalFormatting>
  <conditionalFormatting sqref="H8:Q8">
    <cfRule type="cellIs" dxfId="1551" priority="190" operator="lessThan">
      <formula>50</formula>
    </cfRule>
  </conditionalFormatting>
  <conditionalFormatting sqref="S8">
    <cfRule type="cellIs" dxfId="1550" priority="189" operator="lessThan">
      <formula>50</formula>
    </cfRule>
  </conditionalFormatting>
  <conditionalFormatting sqref="H9:Q9">
    <cfRule type="expression" dxfId="1549" priority="187">
      <formula>5</formula>
    </cfRule>
    <cfRule type="cellIs" dxfId="1548" priority="188" operator="lessThan">
      <formula>5</formula>
    </cfRule>
  </conditionalFormatting>
  <conditionalFormatting sqref="H9:Q9">
    <cfRule type="cellIs" dxfId="1547" priority="186" operator="lessThan">
      <formula>50</formula>
    </cfRule>
  </conditionalFormatting>
  <conditionalFormatting sqref="S9">
    <cfRule type="cellIs" dxfId="1546" priority="185" operator="lessThan">
      <formula>50</formula>
    </cfRule>
  </conditionalFormatting>
  <conditionalFormatting sqref="H10:Q10">
    <cfRule type="expression" dxfId="1545" priority="183">
      <formula>5</formula>
    </cfRule>
    <cfRule type="cellIs" dxfId="1544" priority="184" operator="lessThan">
      <formula>5</formula>
    </cfRule>
  </conditionalFormatting>
  <conditionalFormatting sqref="H10:Q10">
    <cfRule type="cellIs" dxfId="1543" priority="182" operator="lessThan">
      <formula>50</formula>
    </cfRule>
  </conditionalFormatting>
  <conditionalFormatting sqref="S10">
    <cfRule type="cellIs" dxfId="1542" priority="181" operator="lessThan">
      <formula>50</formula>
    </cfRule>
  </conditionalFormatting>
  <conditionalFormatting sqref="H11:Q11">
    <cfRule type="expression" dxfId="1541" priority="179">
      <formula>5</formula>
    </cfRule>
    <cfRule type="cellIs" dxfId="1540" priority="180" operator="lessThan">
      <formula>5</formula>
    </cfRule>
  </conditionalFormatting>
  <conditionalFormatting sqref="H11:Q11">
    <cfRule type="cellIs" dxfId="1539" priority="178" operator="lessThan">
      <formula>50</formula>
    </cfRule>
  </conditionalFormatting>
  <conditionalFormatting sqref="S11">
    <cfRule type="cellIs" dxfId="1538" priority="177" operator="lessThan">
      <formula>50</formula>
    </cfRule>
  </conditionalFormatting>
  <conditionalFormatting sqref="H12:Q12">
    <cfRule type="expression" dxfId="1537" priority="175">
      <formula>5</formula>
    </cfRule>
    <cfRule type="cellIs" dxfId="1536" priority="176" operator="lessThan">
      <formula>5</formula>
    </cfRule>
  </conditionalFormatting>
  <conditionalFormatting sqref="H12:Q12">
    <cfRule type="cellIs" dxfId="1535" priority="174" operator="lessThan">
      <formula>50</formula>
    </cfRule>
  </conditionalFormatting>
  <conditionalFormatting sqref="S12">
    <cfRule type="cellIs" dxfId="1534" priority="173" operator="lessThan">
      <formula>50</formula>
    </cfRule>
  </conditionalFormatting>
  <conditionalFormatting sqref="H13:Q13">
    <cfRule type="expression" dxfId="1533" priority="171">
      <formula>5</formula>
    </cfRule>
    <cfRule type="cellIs" dxfId="1532" priority="172" operator="lessThan">
      <formula>5</formula>
    </cfRule>
  </conditionalFormatting>
  <conditionalFormatting sqref="H13:Q13">
    <cfRule type="cellIs" dxfId="1531" priority="170" operator="lessThan">
      <formula>50</formula>
    </cfRule>
  </conditionalFormatting>
  <conditionalFormatting sqref="S13">
    <cfRule type="cellIs" dxfId="1530" priority="169" operator="lessThan">
      <formula>50</formula>
    </cfRule>
  </conditionalFormatting>
  <conditionalFormatting sqref="H14:Q14">
    <cfRule type="expression" dxfId="1529" priority="167">
      <formula>5</formula>
    </cfRule>
    <cfRule type="cellIs" dxfId="1528" priority="168" operator="lessThan">
      <formula>5</formula>
    </cfRule>
  </conditionalFormatting>
  <conditionalFormatting sqref="H14:Q14">
    <cfRule type="cellIs" dxfId="1527" priority="166" operator="lessThan">
      <formula>50</formula>
    </cfRule>
  </conditionalFormatting>
  <conditionalFormatting sqref="S14">
    <cfRule type="cellIs" dxfId="1526" priority="165" operator="lessThan">
      <formula>50</formula>
    </cfRule>
  </conditionalFormatting>
  <conditionalFormatting sqref="H15:Q15">
    <cfRule type="expression" dxfId="1525" priority="163">
      <formula>5</formula>
    </cfRule>
    <cfRule type="cellIs" dxfId="1524" priority="164" operator="lessThan">
      <formula>5</formula>
    </cfRule>
  </conditionalFormatting>
  <conditionalFormatting sqref="H15:Q15">
    <cfRule type="cellIs" dxfId="1523" priority="162" operator="lessThan">
      <formula>50</formula>
    </cfRule>
  </conditionalFormatting>
  <conditionalFormatting sqref="S15">
    <cfRule type="cellIs" dxfId="1522" priority="161" operator="lessThan">
      <formula>50</formula>
    </cfRule>
  </conditionalFormatting>
  <conditionalFormatting sqref="H16:Q16">
    <cfRule type="expression" dxfId="1521" priority="159">
      <formula>5</formula>
    </cfRule>
    <cfRule type="cellIs" dxfId="1520" priority="160" operator="lessThan">
      <formula>5</formula>
    </cfRule>
  </conditionalFormatting>
  <conditionalFormatting sqref="H16:Q16">
    <cfRule type="cellIs" dxfId="1519" priority="158" operator="lessThan">
      <formula>50</formula>
    </cfRule>
  </conditionalFormatting>
  <conditionalFormatting sqref="S16">
    <cfRule type="cellIs" dxfId="1518" priority="157" operator="lessThan">
      <formula>50</formula>
    </cfRule>
  </conditionalFormatting>
  <conditionalFormatting sqref="H17:Q17">
    <cfRule type="expression" dxfId="1517" priority="155">
      <formula>5</formula>
    </cfRule>
    <cfRule type="cellIs" dxfId="1516" priority="156" operator="lessThan">
      <formula>5</formula>
    </cfRule>
  </conditionalFormatting>
  <conditionalFormatting sqref="H17:Q17">
    <cfRule type="cellIs" dxfId="1515" priority="154" operator="lessThan">
      <formula>50</formula>
    </cfRule>
  </conditionalFormatting>
  <conditionalFormatting sqref="S17">
    <cfRule type="cellIs" dxfId="1514" priority="153" operator="lessThan">
      <formula>50</formula>
    </cfRule>
  </conditionalFormatting>
  <conditionalFormatting sqref="H18:Q18">
    <cfRule type="expression" dxfId="1513" priority="151">
      <formula>5</formula>
    </cfRule>
    <cfRule type="cellIs" dxfId="1512" priority="152" operator="lessThan">
      <formula>5</formula>
    </cfRule>
  </conditionalFormatting>
  <conditionalFormatting sqref="H18:Q18">
    <cfRule type="cellIs" dxfId="1511" priority="150" operator="lessThan">
      <formula>50</formula>
    </cfRule>
  </conditionalFormatting>
  <conditionalFormatting sqref="S18">
    <cfRule type="cellIs" dxfId="1510" priority="149" operator="lessThan">
      <formula>50</formula>
    </cfRule>
  </conditionalFormatting>
  <conditionalFormatting sqref="H19:Q19">
    <cfRule type="expression" dxfId="1509" priority="147">
      <formula>5</formula>
    </cfRule>
    <cfRule type="cellIs" dxfId="1508" priority="148" operator="lessThan">
      <formula>5</formula>
    </cfRule>
  </conditionalFormatting>
  <conditionalFormatting sqref="H19:Q19">
    <cfRule type="cellIs" dxfId="1507" priority="146" operator="lessThan">
      <formula>50</formula>
    </cfRule>
  </conditionalFormatting>
  <conditionalFormatting sqref="S19">
    <cfRule type="cellIs" dxfId="1506" priority="145" operator="lessThan">
      <formula>50</formula>
    </cfRule>
  </conditionalFormatting>
  <conditionalFormatting sqref="H20:Q20">
    <cfRule type="expression" dxfId="1505" priority="143">
      <formula>5</formula>
    </cfRule>
    <cfRule type="cellIs" dxfId="1504" priority="144" operator="lessThan">
      <formula>5</formula>
    </cfRule>
  </conditionalFormatting>
  <conditionalFormatting sqref="H20:Q20">
    <cfRule type="cellIs" dxfId="1503" priority="142" operator="lessThan">
      <formula>50</formula>
    </cfRule>
  </conditionalFormatting>
  <conditionalFormatting sqref="S20">
    <cfRule type="cellIs" dxfId="1502" priority="141" operator="lessThan">
      <formula>50</formula>
    </cfRule>
  </conditionalFormatting>
  <conditionalFormatting sqref="H21:Q21">
    <cfRule type="expression" dxfId="1501" priority="139">
      <formula>5</formula>
    </cfRule>
    <cfRule type="cellIs" dxfId="1500" priority="140" operator="lessThan">
      <formula>5</formula>
    </cfRule>
  </conditionalFormatting>
  <conditionalFormatting sqref="H21:Q21">
    <cfRule type="cellIs" dxfId="1499" priority="138" operator="lessThan">
      <formula>50</formula>
    </cfRule>
  </conditionalFormatting>
  <conditionalFormatting sqref="S21">
    <cfRule type="cellIs" dxfId="1498" priority="137" operator="lessThan">
      <formula>50</formula>
    </cfRule>
  </conditionalFormatting>
  <conditionalFormatting sqref="H22:Q22">
    <cfRule type="expression" dxfId="1497" priority="135">
      <formula>5</formula>
    </cfRule>
    <cfRule type="cellIs" dxfId="1496" priority="136" operator="lessThan">
      <formula>5</formula>
    </cfRule>
  </conditionalFormatting>
  <conditionalFormatting sqref="H22:Q22">
    <cfRule type="cellIs" dxfId="1495" priority="134" operator="lessThan">
      <formula>50</formula>
    </cfRule>
  </conditionalFormatting>
  <conditionalFormatting sqref="S22">
    <cfRule type="cellIs" dxfId="1494" priority="133" operator="lessThan">
      <formula>50</formula>
    </cfRule>
  </conditionalFormatting>
  <conditionalFormatting sqref="H23:Q23">
    <cfRule type="expression" dxfId="1493" priority="131">
      <formula>5</formula>
    </cfRule>
    <cfRule type="cellIs" dxfId="1492" priority="132" operator="lessThan">
      <formula>5</formula>
    </cfRule>
  </conditionalFormatting>
  <conditionalFormatting sqref="H23:Q23">
    <cfRule type="cellIs" dxfId="1491" priority="130" operator="lessThan">
      <formula>50</formula>
    </cfRule>
  </conditionalFormatting>
  <conditionalFormatting sqref="S23">
    <cfRule type="cellIs" dxfId="1490" priority="129" operator="lessThan">
      <formula>50</formula>
    </cfRule>
  </conditionalFormatting>
  <conditionalFormatting sqref="H24:Q24">
    <cfRule type="expression" dxfId="1489" priority="127">
      <formula>5</formula>
    </cfRule>
    <cfRule type="cellIs" dxfId="1488" priority="128" operator="lessThan">
      <formula>5</formula>
    </cfRule>
  </conditionalFormatting>
  <conditionalFormatting sqref="H24:Q24">
    <cfRule type="cellIs" dxfId="1487" priority="126" operator="lessThan">
      <formula>50</formula>
    </cfRule>
  </conditionalFormatting>
  <conditionalFormatting sqref="S24">
    <cfRule type="cellIs" dxfId="1486" priority="125" operator="lessThan">
      <formula>50</formula>
    </cfRule>
  </conditionalFormatting>
  <conditionalFormatting sqref="H25:Q25">
    <cfRule type="expression" dxfId="1485" priority="123">
      <formula>5</formula>
    </cfRule>
    <cfRule type="cellIs" dxfId="1484" priority="124" operator="lessThan">
      <formula>5</formula>
    </cfRule>
  </conditionalFormatting>
  <conditionalFormatting sqref="H25:Q25">
    <cfRule type="cellIs" dxfId="1483" priority="122" operator="lessThan">
      <formula>50</formula>
    </cfRule>
  </conditionalFormatting>
  <conditionalFormatting sqref="S25">
    <cfRule type="cellIs" dxfId="1482" priority="121" operator="lessThan">
      <formula>50</formula>
    </cfRule>
  </conditionalFormatting>
  <conditionalFormatting sqref="H26:Q26">
    <cfRule type="expression" dxfId="1481" priority="119">
      <formula>5</formula>
    </cfRule>
    <cfRule type="cellIs" dxfId="1480" priority="120" operator="lessThan">
      <formula>5</formula>
    </cfRule>
  </conditionalFormatting>
  <conditionalFormatting sqref="H26:Q26">
    <cfRule type="cellIs" dxfId="1479" priority="118" operator="lessThan">
      <formula>50</formula>
    </cfRule>
  </conditionalFormatting>
  <conditionalFormatting sqref="S26">
    <cfRule type="cellIs" dxfId="1478" priority="117" operator="lessThan">
      <formula>50</formula>
    </cfRule>
  </conditionalFormatting>
  <conditionalFormatting sqref="H27:Q27">
    <cfRule type="expression" dxfId="1477" priority="115">
      <formula>5</formula>
    </cfRule>
    <cfRule type="cellIs" dxfId="1476" priority="116" operator="lessThan">
      <formula>5</formula>
    </cfRule>
  </conditionalFormatting>
  <conditionalFormatting sqref="H27:Q27">
    <cfRule type="cellIs" dxfId="1475" priority="114" operator="lessThan">
      <formula>50</formula>
    </cfRule>
  </conditionalFormatting>
  <conditionalFormatting sqref="S27">
    <cfRule type="cellIs" dxfId="1474" priority="113" operator="lessThan">
      <formula>50</formula>
    </cfRule>
  </conditionalFormatting>
  <conditionalFormatting sqref="H28:Q28">
    <cfRule type="expression" dxfId="1473" priority="111">
      <formula>5</formula>
    </cfRule>
    <cfRule type="cellIs" dxfId="1472" priority="112" operator="lessThan">
      <formula>5</formula>
    </cfRule>
  </conditionalFormatting>
  <conditionalFormatting sqref="H28:Q28">
    <cfRule type="cellIs" dxfId="1471" priority="110" operator="lessThan">
      <formula>50</formula>
    </cfRule>
  </conditionalFormatting>
  <conditionalFormatting sqref="S28">
    <cfRule type="cellIs" dxfId="1470" priority="109" operator="lessThan">
      <formula>50</formula>
    </cfRule>
  </conditionalFormatting>
  <conditionalFormatting sqref="H29:Q29">
    <cfRule type="expression" dxfId="1469" priority="107">
      <formula>5</formula>
    </cfRule>
    <cfRule type="cellIs" dxfId="1468" priority="108" operator="lessThan">
      <formula>5</formula>
    </cfRule>
  </conditionalFormatting>
  <conditionalFormatting sqref="H29:Q29">
    <cfRule type="cellIs" dxfId="1467" priority="106" operator="lessThan">
      <formula>50</formula>
    </cfRule>
  </conditionalFormatting>
  <conditionalFormatting sqref="S29">
    <cfRule type="cellIs" dxfId="1466" priority="105" operator="lessThan">
      <formula>50</formula>
    </cfRule>
  </conditionalFormatting>
  <conditionalFormatting sqref="H30:Q30">
    <cfRule type="expression" dxfId="1465" priority="103">
      <formula>5</formula>
    </cfRule>
    <cfRule type="cellIs" dxfId="1464" priority="104" operator="lessThan">
      <formula>5</formula>
    </cfRule>
  </conditionalFormatting>
  <conditionalFormatting sqref="H30:Q30">
    <cfRule type="cellIs" dxfId="1463" priority="102" operator="lessThan">
      <formula>50</formula>
    </cfRule>
  </conditionalFormatting>
  <conditionalFormatting sqref="S30">
    <cfRule type="cellIs" dxfId="1462" priority="101" operator="lessThan">
      <formula>50</formula>
    </cfRule>
  </conditionalFormatting>
  <conditionalFormatting sqref="H31:Q31">
    <cfRule type="expression" dxfId="1461" priority="99">
      <formula>5</formula>
    </cfRule>
    <cfRule type="cellIs" dxfId="1460" priority="100" operator="lessThan">
      <formula>5</formula>
    </cfRule>
  </conditionalFormatting>
  <conditionalFormatting sqref="H31:Q31">
    <cfRule type="cellIs" dxfId="1459" priority="98" operator="lessThan">
      <formula>50</formula>
    </cfRule>
  </conditionalFormatting>
  <conditionalFormatting sqref="S31">
    <cfRule type="cellIs" dxfId="1458" priority="97" operator="lessThan">
      <formula>50</formula>
    </cfRule>
  </conditionalFormatting>
  <conditionalFormatting sqref="H32:Q32">
    <cfRule type="expression" dxfId="1457" priority="95">
      <formula>5</formula>
    </cfRule>
    <cfRule type="cellIs" dxfId="1456" priority="96" operator="lessThan">
      <formula>5</formula>
    </cfRule>
  </conditionalFormatting>
  <conditionalFormatting sqref="H32:Q32">
    <cfRule type="cellIs" dxfId="1455" priority="94" operator="lessThan">
      <formula>50</formula>
    </cfRule>
  </conditionalFormatting>
  <conditionalFormatting sqref="S32">
    <cfRule type="cellIs" dxfId="1454" priority="93" operator="lessThan">
      <formula>50</formula>
    </cfRule>
  </conditionalFormatting>
  <conditionalFormatting sqref="H33:Q33">
    <cfRule type="expression" dxfId="1453" priority="91">
      <formula>5</formula>
    </cfRule>
    <cfRule type="cellIs" dxfId="1452" priority="92" operator="lessThan">
      <formula>5</formula>
    </cfRule>
  </conditionalFormatting>
  <conditionalFormatting sqref="H33:Q33">
    <cfRule type="cellIs" dxfId="1451" priority="90" operator="lessThan">
      <formula>50</formula>
    </cfRule>
  </conditionalFormatting>
  <conditionalFormatting sqref="S33">
    <cfRule type="cellIs" dxfId="1450" priority="89" operator="lessThan">
      <formula>50</formula>
    </cfRule>
  </conditionalFormatting>
  <conditionalFormatting sqref="H34:Q34">
    <cfRule type="expression" dxfId="1449" priority="87">
      <formula>5</formula>
    </cfRule>
    <cfRule type="cellIs" dxfId="1448" priority="88" operator="lessThan">
      <formula>5</formula>
    </cfRule>
  </conditionalFormatting>
  <conditionalFormatting sqref="H34:Q34">
    <cfRule type="cellIs" dxfId="1447" priority="86" operator="lessThan">
      <formula>50</formula>
    </cfRule>
  </conditionalFormatting>
  <conditionalFormatting sqref="S34">
    <cfRule type="cellIs" dxfId="1446" priority="85" operator="lessThan">
      <formula>50</formula>
    </cfRule>
  </conditionalFormatting>
  <conditionalFormatting sqref="H35:Q35">
    <cfRule type="expression" dxfId="1445" priority="83">
      <formula>5</formula>
    </cfRule>
    <cfRule type="cellIs" dxfId="1444" priority="84" operator="lessThan">
      <formula>5</formula>
    </cfRule>
  </conditionalFormatting>
  <conditionalFormatting sqref="H35:Q35">
    <cfRule type="cellIs" dxfId="1443" priority="82" operator="lessThan">
      <formula>50</formula>
    </cfRule>
  </conditionalFormatting>
  <conditionalFormatting sqref="S35">
    <cfRule type="cellIs" dxfId="1442" priority="81" operator="lessThan">
      <formula>50</formula>
    </cfRule>
  </conditionalFormatting>
  <conditionalFormatting sqref="H36:Q36">
    <cfRule type="expression" dxfId="1441" priority="79">
      <formula>5</formula>
    </cfRule>
    <cfRule type="cellIs" dxfId="1440" priority="80" operator="lessThan">
      <formula>5</formula>
    </cfRule>
  </conditionalFormatting>
  <conditionalFormatting sqref="H36:Q36">
    <cfRule type="cellIs" dxfId="1439" priority="78" operator="lessThan">
      <formula>50</formula>
    </cfRule>
  </conditionalFormatting>
  <conditionalFormatting sqref="S36">
    <cfRule type="cellIs" dxfId="1438" priority="77" operator="lessThan">
      <formula>50</formula>
    </cfRule>
  </conditionalFormatting>
  <conditionalFormatting sqref="H37:Q37">
    <cfRule type="expression" dxfId="1437" priority="75">
      <formula>5</formula>
    </cfRule>
    <cfRule type="cellIs" dxfId="1436" priority="76" operator="lessThan">
      <formula>5</formula>
    </cfRule>
  </conditionalFormatting>
  <conditionalFormatting sqref="H37:Q37">
    <cfRule type="cellIs" dxfId="1435" priority="74" operator="lessThan">
      <formula>50</formula>
    </cfRule>
  </conditionalFormatting>
  <conditionalFormatting sqref="S37">
    <cfRule type="cellIs" dxfId="1434" priority="73" operator="lessThan">
      <formula>50</formula>
    </cfRule>
  </conditionalFormatting>
  <conditionalFormatting sqref="H38:Q38">
    <cfRule type="expression" dxfId="1433" priority="71">
      <formula>5</formula>
    </cfRule>
    <cfRule type="cellIs" dxfId="1432" priority="72" operator="lessThan">
      <formula>5</formula>
    </cfRule>
  </conditionalFormatting>
  <conditionalFormatting sqref="H38:Q38">
    <cfRule type="cellIs" dxfId="1431" priority="70" operator="lessThan">
      <formula>50</formula>
    </cfRule>
  </conditionalFormatting>
  <conditionalFormatting sqref="S38">
    <cfRule type="cellIs" dxfId="1430" priority="69" operator="lessThan">
      <formula>50</formula>
    </cfRule>
  </conditionalFormatting>
  <conditionalFormatting sqref="H39:Q39">
    <cfRule type="expression" dxfId="1429" priority="67">
      <formula>5</formula>
    </cfRule>
    <cfRule type="cellIs" dxfId="1428" priority="68" operator="lessThan">
      <formula>5</formula>
    </cfRule>
  </conditionalFormatting>
  <conditionalFormatting sqref="H39:Q39">
    <cfRule type="cellIs" dxfId="1427" priority="66" operator="lessThan">
      <formula>50</formula>
    </cfRule>
  </conditionalFormatting>
  <conditionalFormatting sqref="S39">
    <cfRule type="cellIs" dxfId="1426" priority="65" operator="lessThan">
      <formula>50</formula>
    </cfRule>
  </conditionalFormatting>
  <conditionalFormatting sqref="H40:Q40">
    <cfRule type="expression" dxfId="1425" priority="63">
      <formula>5</formula>
    </cfRule>
    <cfRule type="cellIs" dxfId="1424" priority="64" operator="lessThan">
      <formula>5</formula>
    </cfRule>
  </conditionalFormatting>
  <conditionalFormatting sqref="H40:Q40">
    <cfRule type="cellIs" dxfId="1423" priority="62" operator="lessThan">
      <formula>50</formula>
    </cfRule>
  </conditionalFormatting>
  <conditionalFormatting sqref="S40">
    <cfRule type="cellIs" dxfId="1422" priority="61" operator="lessThan">
      <formula>50</formula>
    </cfRule>
  </conditionalFormatting>
  <conditionalFormatting sqref="H41:Q41">
    <cfRule type="expression" dxfId="1421" priority="59">
      <formula>5</formula>
    </cfRule>
    <cfRule type="cellIs" dxfId="1420" priority="60" operator="lessThan">
      <formula>5</formula>
    </cfRule>
  </conditionalFormatting>
  <conditionalFormatting sqref="H41:Q41">
    <cfRule type="cellIs" dxfId="1419" priority="58" operator="lessThan">
      <formula>50</formula>
    </cfRule>
  </conditionalFormatting>
  <conditionalFormatting sqref="S41">
    <cfRule type="cellIs" dxfId="1418" priority="57" operator="lessThan">
      <formula>50</formula>
    </cfRule>
  </conditionalFormatting>
  <conditionalFormatting sqref="H42:Q42">
    <cfRule type="expression" dxfId="1417" priority="55">
      <formula>5</formula>
    </cfRule>
    <cfRule type="cellIs" dxfId="1416" priority="56" operator="lessThan">
      <formula>5</formula>
    </cfRule>
  </conditionalFormatting>
  <conditionalFormatting sqref="H42:Q42">
    <cfRule type="cellIs" dxfId="1415" priority="54" operator="lessThan">
      <formula>50</formula>
    </cfRule>
  </conditionalFormatting>
  <conditionalFormatting sqref="S42">
    <cfRule type="cellIs" dxfId="1414" priority="53" operator="lessThan">
      <formula>50</formula>
    </cfRule>
  </conditionalFormatting>
  <conditionalFormatting sqref="H43:Q43">
    <cfRule type="expression" dxfId="1413" priority="51">
      <formula>5</formula>
    </cfRule>
    <cfRule type="cellIs" dxfId="1412" priority="52" operator="lessThan">
      <formula>5</formula>
    </cfRule>
  </conditionalFormatting>
  <conditionalFormatting sqref="H43:Q43">
    <cfRule type="cellIs" dxfId="1411" priority="50" operator="lessThan">
      <formula>50</formula>
    </cfRule>
  </conditionalFormatting>
  <conditionalFormatting sqref="S43">
    <cfRule type="cellIs" dxfId="1410" priority="49" operator="lessThan">
      <formula>50</formula>
    </cfRule>
  </conditionalFormatting>
  <conditionalFormatting sqref="H44:Q44">
    <cfRule type="expression" dxfId="1409" priority="47">
      <formula>5</formula>
    </cfRule>
    <cfRule type="cellIs" dxfId="1408" priority="48" operator="lessThan">
      <formula>5</formula>
    </cfRule>
  </conditionalFormatting>
  <conditionalFormatting sqref="H44:Q44">
    <cfRule type="cellIs" dxfId="1407" priority="46" operator="lessThan">
      <formula>50</formula>
    </cfRule>
  </conditionalFormatting>
  <conditionalFormatting sqref="S44">
    <cfRule type="cellIs" dxfId="1406" priority="45" operator="lessThan">
      <formula>50</formula>
    </cfRule>
  </conditionalFormatting>
  <conditionalFormatting sqref="H45:Q45">
    <cfRule type="expression" dxfId="1405" priority="43">
      <formula>5</formula>
    </cfRule>
    <cfRule type="cellIs" dxfId="1404" priority="44" operator="lessThan">
      <formula>5</formula>
    </cfRule>
  </conditionalFormatting>
  <conditionalFormatting sqref="H45:Q45">
    <cfRule type="cellIs" dxfId="1403" priority="42" operator="lessThan">
      <formula>50</formula>
    </cfRule>
  </conditionalFormatting>
  <conditionalFormatting sqref="S45">
    <cfRule type="cellIs" dxfId="1402" priority="41" operator="lessThan">
      <formula>50</formula>
    </cfRule>
  </conditionalFormatting>
  <conditionalFormatting sqref="H46:Q46">
    <cfRule type="expression" dxfId="1401" priority="39">
      <formula>5</formula>
    </cfRule>
    <cfRule type="cellIs" dxfId="1400" priority="40" operator="lessThan">
      <formula>5</formula>
    </cfRule>
  </conditionalFormatting>
  <conditionalFormatting sqref="H46:Q46">
    <cfRule type="cellIs" dxfId="1399" priority="38" operator="lessThan">
      <formula>50</formula>
    </cfRule>
  </conditionalFormatting>
  <conditionalFormatting sqref="S46">
    <cfRule type="cellIs" dxfId="1398" priority="37" operator="lessThan">
      <formula>50</formula>
    </cfRule>
  </conditionalFormatting>
  <conditionalFormatting sqref="H47:Q47">
    <cfRule type="expression" dxfId="1397" priority="35">
      <formula>5</formula>
    </cfRule>
    <cfRule type="cellIs" dxfId="1396" priority="36" operator="lessThan">
      <formula>5</formula>
    </cfRule>
  </conditionalFormatting>
  <conditionalFormatting sqref="H47:Q47">
    <cfRule type="cellIs" dxfId="1395" priority="34" operator="lessThan">
      <formula>50</formula>
    </cfRule>
  </conditionalFormatting>
  <conditionalFormatting sqref="S47">
    <cfRule type="cellIs" dxfId="1394" priority="33" operator="lessThan">
      <formula>50</formula>
    </cfRule>
  </conditionalFormatting>
  <conditionalFormatting sqref="H48:Q48">
    <cfRule type="expression" dxfId="1393" priority="31">
      <formula>5</formula>
    </cfRule>
    <cfRule type="cellIs" dxfId="1392" priority="32" operator="lessThan">
      <formula>5</formula>
    </cfRule>
  </conditionalFormatting>
  <conditionalFormatting sqref="H48:Q48">
    <cfRule type="cellIs" dxfId="1391" priority="30" operator="lessThan">
      <formula>50</formula>
    </cfRule>
  </conditionalFormatting>
  <conditionalFormatting sqref="S48">
    <cfRule type="cellIs" dxfId="1390" priority="29" operator="lessThan">
      <formula>50</formula>
    </cfRule>
  </conditionalFormatting>
  <conditionalFormatting sqref="H49:Q49">
    <cfRule type="expression" dxfId="1389" priority="27">
      <formula>5</formula>
    </cfRule>
    <cfRule type="cellIs" dxfId="1388" priority="28" operator="lessThan">
      <formula>5</formula>
    </cfRule>
  </conditionalFormatting>
  <conditionalFormatting sqref="H49:Q49">
    <cfRule type="cellIs" dxfId="1387" priority="26" operator="lessThan">
      <formula>50</formula>
    </cfRule>
  </conditionalFormatting>
  <conditionalFormatting sqref="S49">
    <cfRule type="cellIs" dxfId="1386" priority="25" operator="lessThan">
      <formula>50</formula>
    </cfRule>
  </conditionalFormatting>
  <conditionalFormatting sqref="H50:Q50">
    <cfRule type="expression" dxfId="1385" priority="23">
      <formula>5</formula>
    </cfRule>
    <cfRule type="cellIs" dxfId="1384" priority="24" operator="lessThan">
      <formula>5</formula>
    </cfRule>
  </conditionalFormatting>
  <conditionalFormatting sqref="H50:Q50">
    <cfRule type="cellIs" dxfId="1383" priority="22" operator="lessThan">
      <formula>50</formula>
    </cfRule>
  </conditionalFormatting>
  <conditionalFormatting sqref="S50">
    <cfRule type="cellIs" dxfId="1382" priority="21" operator="lessThan">
      <formula>50</formula>
    </cfRule>
  </conditionalFormatting>
  <conditionalFormatting sqref="H51:Q51">
    <cfRule type="expression" dxfId="1381" priority="19">
      <formula>5</formula>
    </cfRule>
    <cfRule type="cellIs" dxfId="1380" priority="20" operator="lessThan">
      <formula>5</formula>
    </cfRule>
  </conditionalFormatting>
  <conditionalFormatting sqref="H51:Q51">
    <cfRule type="cellIs" dxfId="1379" priority="18" operator="lessThan">
      <formula>50</formula>
    </cfRule>
  </conditionalFormatting>
  <conditionalFormatting sqref="S51">
    <cfRule type="cellIs" dxfId="1378" priority="17" operator="lessThan">
      <formula>50</formula>
    </cfRule>
  </conditionalFormatting>
  <conditionalFormatting sqref="H52:Q52">
    <cfRule type="expression" dxfId="1377" priority="15">
      <formula>5</formula>
    </cfRule>
    <cfRule type="cellIs" dxfId="1376" priority="16" operator="lessThan">
      <formula>5</formula>
    </cfRule>
  </conditionalFormatting>
  <conditionalFormatting sqref="H52:Q52">
    <cfRule type="cellIs" dxfId="1375" priority="14" operator="lessThan">
      <formula>50</formula>
    </cfRule>
  </conditionalFormatting>
  <conditionalFormatting sqref="S52">
    <cfRule type="cellIs" dxfId="1374" priority="13" operator="lessThan">
      <formula>50</formula>
    </cfRule>
  </conditionalFormatting>
  <conditionalFormatting sqref="H53:Q53">
    <cfRule type="expression" dxfId="1373" priority="11">
      <formula>5</formula>
    </cfRule>
    <cfRule type="cellIs" dxfId="1372" priority="12" operator="lessThan">
      <formula>5</formula>
    </cfRule>
  </conditionalFormatting>
  <conditionalFormatting sqref="H53:Q53">
    <cfRule type="cellIs" dxfId="1371" priority="10" operator="lessThan">
      <formula>50</formula>
    </cfRule>
  </conditionalFormatting>
  <conditionalFormatting sqref="S53">
    <cfRule type="cellIs" dxfId="1370" priority="9" operator="lessThan">
      <formula>50</formula>
    </cfRule>
  </conditionalFormatting>
  <conditionalFormatting sqref="H54:Q54">
    <cfRule type="expression" dxfId="1369" priority="7">
      <formula>5</formula>
    </cfRule>
    <cfRule type="cellIs" dxfId="1368" priority="8" operator="lessThan">
      <formula>5</formula>
    </cfRule>
  </conditionalFormatting>
  <conditionalFormatting sqref="H54:Q54">
    <cfRule type="cellIs" dxfId="1367" priority="6" operator="lessThan">
      <formula>50</formula>
    </cfRule>
  </conditionalFormatting>
  <conditionalFormatting sqref="S54">
    <cfRule type="cellIs" dxfId="1366" priority="5" operator="lessThan">
      <formula>50</formula>
    </cfRule>
  </conditionalFormatting>
  <conditionalFormatting sqref="H55:Q55">
    <cfRule type="expression" dxfId="1365" priority="3">
      <formula>5</formula>
    </cfRule>
    <cfRule type="cellIs" dxfId="1364" priority="4" operator="lessThan">
      <formula>5</formula>
    </cfRule>
  </conditionalFormatting>
  <conditionalFormatting sqref="H55:Q55">
    <cfRule type="cellIs" dxfId="1363" priority="2" operator="lessThan">
      <formula>50</formula>
    </cfRule>
  </conditionalFormatting>
  <conditionalFormatting sqref="S55">
    <cfRule type="cellIs" dxfId="1362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21:E21 D23:E23 D31:E31 D33:E34 D36:E36 D38:E38 D41:E46 D50:E51 D53:E55" xr:uid="{CEEF4FA5-0EF2-44E0-8BAC-7C7EEE822DB0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65AB-7892-497D-B5AE-2A94B1112AE8}">
  <sheetPr codeName="Sheet114"/>
  <dimension ref="A1:T61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7" width="4.7109375" customWidth="1"/>
    <col min="18" max="18" width="6.7109375" customWidth="1"/>
    <col min="19" max="20" width="4.7109375" customWidth="1"/>
  </cols>
  <sheetData>
    <row r="1" spans="1:20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  <c r="R1" s="11"/>
      <c r="S1" s="11"/>
      <c r="T1" s="11"/>
    </row>
    <row r="2" spans="1:20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  <c r="R2" s="11"/>
      <c r="S2" s="11"/>
      <c r="T2" s="11"/>
    </row>
    <row r="3" spans="1:20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  <c r="R3" s="11"/>
      <c r="S3" s="11"/>
      <c r="T3" s="11"/>
    </row>
    <row r="4" spans="1:20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  <c r="R4" s="11"/>
      <c r="S4" s="11"/>
      <c r="T4" s="11"/>
    </row>
    <row r="5" spans="1:20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2"/>
      <c r="S5" s="12"/>
      <c r="T5" s="12"/>
    </row>
    <row r="6" spans="1:20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16</v>
      </c>
      <c r="I6" s="39" t="s">
        <v>28</v>
      </c>
      <c r="J6" s="39" t="s">
        <v>29</v>
      </c>
      <c r="K6" s="39" t="s">
        <v>30</v>
      </c>
      <c r="L6" s="39" t="s">
        <v>31</v>
      </c>
      <c r="M6" s="39" t="s">
        <v>32</v>
      </c>
      <c r="N6" s="39" t="s">
        <v>33</v>
      </c>
      <c r="O6" s="39" t="s">
        <v>3</v>
      </c>
      <c r="P6" s="39" t="s">
        <v>26</v>
      </c>
      <c r="Q6" s="39" t="s">
        <v>34</v>
      </c>
      <c r="R6" s="39" t="s">
        <v>5320</v>
      </c>
      <c r="S6" s="39" t="s">
        <v>5321</v>
      </c>
      <c r="T6" s="39" t="s">
        <v>5324</v>
      </c>
    </row>
    <row r="7" spans="1:20" ht="18" customHeight="1" thickTop="1">
      <c r="A7" s="19">
        <v>1</v>
      </c>
      <c r="B7" s="2" t="s">
        <v>4781</v>
      </c>
      <c r="C7" s="1">
        <v>321260289</v>
      </c>
      <c r="D7" s="3" t="s">
        <v>4782</v>
      </c>
      <c r="E7" s="1" t="s">
        <v>55</v>
      </c>
      <c r="F7" s="10" t="s">
        <v>4766</v>
      </c>
      <c r="G7" s="2" t="s">
        <v>97</v>
      </c>
      <c r="H7" s="4">
        <v>100</v>
      </c>
      <c r="I7" s="4">
        <v>76</v>
      </c>
      <c r="J7" s="4">
        <v>100</v>
      </c>
      <c r="K7" s="4">
        <v>88</v>
      </c>
      <c r="L7" s="4">
        <v>92</v>
      </c>
      <c r="M7" s="4">
        <v>88</v>
      </c>
      <c r="N7" s="4">
        <v>92</v>
      </c>
      <c r="O7" s="4">
        <v>100</v>
      </c>
      <c r="P7" s="4">
        <v>80</v>
      </c>
      <c r="Q7" s="4">
        <v>100</v>
      </c>
      <c r="R7" s="1">
        <f t="shared" ref="R7:R38" si="0">SUBTOTAL(9,H7:Q7)</f>
        <v>916</v>
      </c>
      <c r="S7" s="1">
        <f t="shared" ref="S7:S38" si="1">R7/10</f>
        <v>91.6</v>
      </c>
      <c r="T7" s="20">
        <f t="shared" ref="T7:T38" si="2">RANK(S7,S$7:S$156,0)</f>
        <v>1</v>
      </c>
    </row>
    <row r="8" spans="1:20" ht="18" customHeight="1">
      <c r="A8" s="19">
        <v>2</v>
      </c>
      <c r="B8" s="2" t="s">
        <v>4812</v>
      </c>
      <c r="C8" s="1">
        <v>321260314</v>
      </c>
      <c r="D8" s="3" t="s">
        <v>4813</v>
      </c>
      <c r="E8" s="1" t="s">
        <v>60</v>
      </c>
      <c r="F8" s="10" t="s">
        <v>4766</v>
      </c>
      <c r="G8" s="2" t="s">
        <v>98</v>
      </c>
      <c r="H8" s="4">
        <v>92</v>
      </c>
      <c r="I8" s="4">
        <v>84</v>
      </c>
      <c r="J8" s="4">
        <v>84</v>
      </c>
      <c r="K8" s="4">
        <v>88</v>
      </c>
      <c r="L8" s="4">
        <v>100</v>
      </c>
      <c r="M8" s="4">
        <v>92</v>
      </c>
      <c r="N8" s="4">
        <v>80</v>
      </c>
      <c r="O8" s="4">
        <v>100</v>
      </c>
      <c r="P8" s="4">
        <v>72</v>
      </c>
      <c r="Q8" s="4">
        <v>88</v>
      </c>
      <c r="R8" s="1">
        <f t="shared" si="0"/>
        <v>880</v>
      </c>
      <c r="S8" s="1">
        <f t="shared" si="1"/>
        <v>88</v>
      </c>
      <c r="T8" s="20">
        <f t="shared" si="2"/>
        <v>2</v>
      </c>
    </row>
    <row r="9" spans="1:20" ht="18" customHeight="1">
      <c r="A9" s="19">
        <v>3</v>
      </c>
      <c r="B9" s="2" t="s">
        <v>4861</v>
      </c>
      <c r="C9" s="1">
        <v>321260346</v>
      </c>
      <c r="D9" s="3" t="s">
        <v>4862</v>
      </c>
      <c r="E9" s="1" t="s">
        <v>67</v>
      </c>
      <c r="F9" s="10" t="s">
        <v>4766</v>
      </c>
      <c r="G9" s="2" t="s">
        <v>100</v>
      </c>
      <c r="H9" s="4">
        <v>100</v>
      </c>
      <c r="I9" s="4">
        <v>76</v>
      </c>
      <c r="J9" s="4">
        <v>80</v>
      </c>
      <c r="K9" s="4">
        <v>88</v>
      </c>
      <c r="L9" s="4">
        <v>76</v>
      </c>
      <c r="M9" s="4">
        <v>76</v>
      </c>
      <c r="N9" s="4">
        <v>96</v>
      </c>
      <c r="O9" s="4">
        <v>100</v>
      </c>
      <c r="P9" s="4">
        <v>68</v>
      </c>
      <c r="Q9" s="4">
        <v>76</v>
      </c>
      <c r="R9" s="1">
        <f t="shared" si="0"/>
        <v>836</v>
      </c>
      <c r="S9" s="1">
        <f t="shared" si="1"/>
        <v>83.6</v>
      </c>
      <c r="T9" s="20">
        <f t="shared" si="2"/>
        <v>3</v>
      </c>
    </row>
    <row r="10" spans="1:20" ht="18" customHeight="1">
      <c r="A10" s="19">
        <v>4</v>
      </c>
      <c r="B10" s="2" t="s">
        <v>4844</v>
      </c>
      <c r="C10" s="1">
        <v>321260336</v>
      </c>
      <c r="D10" s="3" t="s">
        <v>2042</v>
      </c>
      <c r="E10" s="1" t="s">
        <v>65</v>
      </c>
      <c r="F10" s="10" t="s">
        <v>4766</v>
      </c>
      <c r="G10" s="2" t="s">
        <v>99</v>
      </c>
      <c r="H10" s="4">
        <v>84</v>
      </c>
      <c r="I10" s="4">
        <v>56</v>
      </c>
      <c r="J10" s="4">
        <v>88</v>
      </c>
      <c r="K10" s="4">
        <v>96</v>
      </c>
      <c r="L10" s="4">
        <v>88</v>
      </c>
      <c r="M10" s="4">
        <v>96</v>
      </c>
      <c r="N10" s="4">
        <v>76</v>
      </c>
      <c r="O10" s="4">
        <v>100</v>
      </c>
      <c r="P10" s="4">
        <v>76</v>
      </c>
      <c r="Q10" s="4">
        <v>68</v>
      </c>
      <c r="R10" s="1">
        <f t="shared" si="0"/>
        <v>828</v>
      </c>
      <c r="S10" s="1">
        <f t="shared" si="1"/>
        <v>82.8</v>
      </c>
      <c r="T10" s="20">
        <f t="shared" si="2"/>
        <v>4</v>
      </c>
    </row>
    <row r="11" spans="1:20" ht="18" customHeight="1">
      <c r="A11" s="19">
        <v>5</v>
      </c>
      <c r="B11" s="2" t="s">
        <v>4869</v>
      </c>
      <c r="C11" s="1">
        <v>321260350</v>
      </c>
      <c r="D11" s="3" t="s">
        <v>4870</v>
      </c>
      <c r="E11" s="1" t="s">
        <v>76</v>
      </c>
      <c r="F11" s="10" t="s">
        <v>4766</v>
      </c>
      <c r="G11" s="2" t="s">
        <v>100</v>
      </c>
      <c r="H11" s="4">
        <v>84</v>
      </c>
      <c r="I11" s="4">
        <v>68</v>
      </c>
      <c r="J11" s="4">
        <v>80</v>
      </c>
      <c r="K11" s="4">
        <v>80</v>
      </c>
      <c r="L11" s="4">
        <v>78</v>
      </c>
      <c r="M11" s="4">
        <v>84</v>
      </c>
      <c r="N11" s="4">
        <v>88</v>
      </c>
      <c r="O11" s="4">
        <v>100</v>
      </c>
      <c r="P11" s="4">
        <v>60</v>
      </c>
      <c r="Q11" s="4">
        <v>92</v>
      </c>
      <c r="R11" s="1">
        <f t="shared" si="0"/>
        <v>814</v>
      </c>
      <c r="S11" s="1">
        <f t="shared" si="1"/>
        <v>81.400000000000006</v>
      </c>
      <c r="T11" s="20">
        <f t="shared" si="2"/>
        <v>5</v>
      </c>
    </row>
    <row r="12" spans="1:20" ht="18" customHeight="1">
      <c r="A12" s="19">
        <v>6</v>
      </c>
      <c r="B12" s="2" t="s">
        <v>4824</v>
      </c>
      <c r="C12" s="1">
        <v>321260321</v>
      </c>
      <c r="D12" s="3" t="s">
        <v>4825</v>
      </c>
      <c r="E12" s="1" t="s">
        <v>77</v>
      </c>
      <c r="F12" s="10" t="s">
        <v>4766</v>
      </c>
      <c r="G12" s="2" t="s">
        <v>99</v>
      </c>
      <c r="H12" s="4">
        <v>80</v>
      </c>
      <c r="I12" s="4">
        <v>56</v>
      </c>
      <c r="J12" s="4">
        <v>48</v>
      </c>
      <c r="K12" s="4">
        <v>92</v>
      </c>
      <c r="L12" s="4">
        <v>32</v>
      </c>
      <c r="M12" s="4">
        <v>74</v>
      </c>
      <c r="N12" s="4">
        <v>74</v>
      </c>
      <c r="O12" s="4">
        <v>100</v>
      </c>
      <c r="P12" s="4">
        <v>76</v>
      </c>
      <c r="Q12" s="4">
        <v>60</v>
      </c>
      <c r="R12" s="1">
        <f t="shared" si="0"/>
        <v>692</v>
      </c>
      <c r="S12" s="1">
        <f t="shared" si="1"/>
        <v>69.2</v>
      </c>
      <c r="T12" s="20">
        <f t="shared" si="2"/>
        <v>6</v>
      </c>
    </row>
    <row r="13" spans="1:20" ht="18" customHeight="1">
      <c r="A13" s="19">
        <v>7</v>
      </c>
      <c r="B13" s="2" t="s">
        <v>4865</v>
      </c>
      <c r="C13" s="1">
        <v>321260348</v>
      </c>
      <c r="D13" s="3" t="s">
        <v>4866</v>
      </c>
      <c r="E13" s="1" t="s">
        <v>75</v>
      </c>
      <c r="F13" s="10" t="s">
        <v>4766</v>
      </c>
      <c r="G13" s="2" t="s">
        <v>100</v>
      </c>
      <c r="H13" s="4">
        <v>76</v>
      </c>
      <c r="I13" s="4">
        <v>32</v>
      </c>
      <c r="J13" s="4">
        <v>80</v>
      </c>
      <c r="K13" s="4">
        <v>92</v>
      </c>
      <c r="L13" s="4">
        <v>0</v>
      </c>
      <c r="M13" s="4">
        <v>64</v>
      </c>
      <c r="N13" s="4">
        <v>76</v>
      </c>
      <c r="O13" s="4">
        <v>100</v>
      </c>
      <c r="P13" s="4">
        <v>56</v>
      </c>
      <c r="Q13" s="4">
        <v>68</v>
      </c>
      <c r="R13" s="1">
        <f t="shared" si="0"/>
        <v>644</v>
      </c>
      <c r="S13" s="1">
        <f t="shared" si="1"/>
        <v>64.400000000000006</v>
      </c>
      <c r="T13" s="20">
        <f t="shared" si="2"/>
        <v>7</v>
      </c>
    </row>
    <row r="14" spans="1:20" ht="18" customHeight="1">
      <c r="A14" s="19">
        <v>8</v>
      </c>
      <c r="B14" s="2" t="s">
        <v>4871</v>
      </c>
      <c r="C14" s="1">
        <v>321260351</v>
      </c>
      <c r="D14" s="3" t="s">
        <v>4872</v>
      </c>
      <c r="E14" s="1" t="s">
        <v>76</v>
      </c>
      <c r="F14" s="10" t="s">
        <v>4766</v>
      </c>
      <c r="G14" s="2" t="s">
        <v>100</v>
      </c>
      <c r="H14" s="4">
        <v>84</v>
      </c>
      <c r="I14" s="4">
        <v>60</v>
      </c>
      <c r="J14" s="4">
        <v>60</v>
      </c>
      <c r="K14" s="4">
        <v>60</v>
      </c>
      <c r="L14" s="4">
        <v>48</v>
      </c>
      <c r="M14" s="4">
        <v>48</v>
      </c>
      <c r="N14" s="4">
        <v>56</v>
      </c>
      <c r="O14" s="4">
        <v>100</v>
      </c>
      <c r="P14" s="4">
        <v>60</v>
      </c>
      <c r="Q14" s="4">
        <v>52</v>
      </c>
      <c r="R14" s="1">
        <f t="shared" si="0"/>
        <v>628</v>
      </c>
      <c r="S14" s="1">
        <f t="shared" si="1"/>
        <v>62.8</v>
      </c>
      <c r="T14" s="20">
        <f t="shared" si="2"/>
        <v>8</v>
      </c>
    </row>
    <row r="15" spans="1:20" ht="18" customHeight="1">
      <c r="A15" s="19">
        <v>9</v>
      </c>
      <c r="B15" s="2" t="s">
        <v>4803</v>
      </c>
      <c r="C15" s="1">
        <v>321260305</v>
      </c>
      <c r="D15" s="3" t="s">
        <v>2203</v>
      </c>
      <c r="E15" s="1" t="s">
        <v>72</v>
      </c>
      <c r="F15" s="10" t="s">
        <v>4766</v>
      </c>
      <c r="G15" s="2" t="s">
        <v>98</v>
      </c>
      <c r="H15" s="4">
        <v>68</v>
      </c>
      <c r="I15" s="4">
        <v>36</v>
      </c>
      <c r="J15" s="4">
        <v>56</v>
      </c>
      <c r="K15" s="4">
        <v>48</v>
      </c>
      <c r="L15" s="4">
        <v>60</v>
      </c>
      <c r="M15" s="4">
        <v>64</v>
      </c>
      <c r="N15" s="4">
        <v>48</v>
      </c>
      <c r="O15" s="4">
        <v>100</v>
      </c>
      <c r="P15" s="4">
        <v>80</v>
      </c>
      <c r="Q15" s="4">
        <v>60</v>
      </c>
      <c r="R15" s="1">
        <f t="shared" si="0"/>
        <v>620</v>
      </c>
      <c r="S15" s="1">
        <f t="shared" si="1"/>
        <v>62</v>
      </c>
      <c r="T15" s="20">
        <f t="shared" si="2"/>
        <v>9</v>
      </c>
    </row>
    <row r="16" spans="1:20" ht="18" customHeight="1">
      <c r="A16" s="19">
        <v>10</v>
      </c>
      <c r="B16" s="2" t="s">
        <v>4814</v>
      </c>
      <c r="C16" s="1">
        <v>321260315</v>
      </c>
      <c r="D16" s="3" t="s">
        <v>4815</v>
      </c>
      <c r="E16" s="1" t="s">
        <v>60</v>
      </c>
      <c r="F16" s="10" t="s">
        <v>4766</v>
      </c>
      <c r="G16" s="2" t="s">
        <v>98</v>
      </c>
      <c r="H16" s="4">
        <v>64</v>
      </c>
      <c r="I16" s="4">
        <v>44</v>
      </c>
      <c r="J16" s="4">
        <v>80</v>
      </c>
      <c r="K16" s="4">
        <v>28</v>
      </c>
      <c r="L16" s="4">
        <v>80</v>
      </c>
      <c r="M16" s="4">
        <v>60</v>
      </c>
      <c r="N16" s="4">
        <v>12</v>
      </c>
      <c r="O16" s="4">
        <v>100</v>
      </c>
      <c r="P16" s="4">
        <v>80</v>
      </c>
      <c r="Q16" s="4">
        <v>60</v>
      </c>
      <c r="R16" s="1">
        <f t="shared" si="0"/>
        <v>608</v>
      </c>
      <c r="S16" s="1">
        <f t="shared" si="1"/>
        <v>60.8</v>
      </c>
      <c r="T16" s="20">
        <f t="shared" si="2"/>
        <v>10</v>
      </c>
    </row>
    <row r="17" spans="1:20" ht="18" customHeight="1">
      <c r="A17" s="19">
        <v>11</v>
      </c>
      <c r="B17" s="2" t="s">
        <v>4826</v>
      </c>
      <c r="C17" s="1">
        <v>321260322</v>
      </c>
      <c r="D17" s="3" t="s">
        <v>4827</v>
      </c>
      <c r="E17" s="1" t="s">
        <v>77</v>
      </c>
      <c r="F17" s="10" t="s">
        <v>4766</v>
      </c>
      <c r="G17" s="2" t="s">
        <v>99</v>
      </c>
      <c r="H17" s="4">
        <v>64</v>
      </c>
      <c r="I17" s="4">
        <v>20</v>
      </c>
      <c r="J17" s="4">
        <v>76</v>
      </c>
      <c r="K17" s="4">
        <v>72</v>
      </c>
      <c r="L17" s="4">
        <v>32</v>
      </c>
      <c r="M17" s="4">
        <v>52</v>
      </c>
      <c r="N17" s="4">
        <v>64</v>
      </c>
      <c r="O17" s="4">
        <v>100</v>
      </c>
      <c r="P17" s="4">
        <v>72</v>
      </c>
      <c r="Q17" s="4">
        <v>48</v>
      </c>
      <c r="R17" s="1">
        <f t="shared" si="0"/>
        <v>600</v>
      </c>
      <c r="S17" s="1">
        <f t="shared" si="1"/>
        <v>60</v>
      </c>
      <c r="T17" s="20">
        <f t="shared" si="2"/>
        <v>11</v>
      </c>
    </row>
    <row r="18" spans="1:20" ht="18" customHeight="1">
      <c r="A18" s="19">
        <v>12</v>
      </c>
      <c r="B18" s="2" t="s">
        <v>4863</v>
      </c>
      <c r="C18" s="1">
        <v>321260347</v>
      </c>
      <c r="D18" s="3" t="s">
        <v>4864</v>
      </c>
      <c r="E18" s="1" t="s">
        <v>67</v>
      </c>
      <c r="F18" s="10" t="s">
        <v>4766</v>
      </c>
      <c r="G18" s="2" t="s">
        <v>100</v>
      </c>
      <c r="H18" s="4">
        <v>64</v>
      </c>
      <c r="I18" s="4">
        <v>48</v>
      </c>
      <c r="J18" s="4">
        <v>40</v>
      </c>
      <c r="K18" s="4">
        <v>76</v>
      </c>
      <c r="L18" s="4">
        <v>48</v>
      </c>
      <c r="M18" s="4">
        <v>60</v>
      </c>
      <c r="N18" s="4">
        <v>24</v>
      </c>
      <c r="O18" s="4">
        <v>96</v>
      </c>
      <c r="P18" s="4">
        <v>56</v>
      </c>
      <c r="Q18" s="4">
        <v>80</v>
      </c>
      <c r="R18" s="1">
        <f t="shared" si="0"/>
        <v>592</v>
      </c>
      <c r="S18" s="1">
        <f t="shared" si="1"/>
        <v>59.2</v>
      </c>
      <c r="T18" s="20">
        <f t="shared" si="2"/>
        <v>12</v>
      </c>
    </row>
    <row r="19" spans="1:20" ht="18" customHeight="1">
      <c r="A19" s="19">
        <v>13</v>
      </c>
      <c r="B19" s="2" t="s">
        <v>4816</v>
      </c>
      <c r="C19" s="1">
        <v>321260316</v>
      </c>
      <c r="D19" s="3" t="s">
        <v>4817</v>
      </c>
      <c r="E19" s="1" t="s">
        <v>60</v>
      </c>
      <c r="F19" s="10" t="s">
        <v>4766</v>
      </c>
      <c r="G19" s="2" t="s">
        <v>98</v>
      </c>
      <c r="H19" s="4">
        <v>76</v>
      </c>
      <c r="I19" s="4">
        <v>44</v>
      </c>
      <c r="J19" s="4">
        <v>72</v>
      </c>
      <c r="K19" s="4">
        <v>68</v>
      </c>
      <c r="L19" s="4">
        <v>24</v>
      </c>
      <c r="M19" s="4">
        <v>56</v>
      </c>
      <c r="N19" s="4">
        <v>12</v>
      </c>
      <c r="O19" s="4">
        <v>96</v>
      </c>
      <c r="P19" s="4">
        <v>72</v>
      </c>
      <c r="Q19" s="4">
        <v>68</v>
      </c>
      <c r="R19" s="1">
        <f t="shared" si="0"/>
        <v>588</v>
      </c>
      <c r="S19" s="1">
        <f t="shared" si="1"/>
        <v>58.8</v>
      </c>
      <c r="T19" s="20">
        <f t="shared" si="2"/>
        <v>13</v>
      </c>
    </row>
    <row r="20" spans="1:20" ht="18" customHeight="1">
      <c r="A20" s="19">
        <v>14</v>
      </c>
      <c r="B20" s="2" t="s">
        <v>4845</v>
      </c>
      <c r="C20" s="1">
        <v>321260337</v>
      </c>
      <c r="D20" s="3" t="s">
        <v>4846</v>
      </c>
      <c r="E20" s="1" t="s">
        <v>82</v>
      </c>
      <c r="F20" s="10" t="s">
        <v>4766</v>
      </c>
      <c r="G20" s="2" t="s">
        <v>99</v>
      </c>
      <c r="H20" s="4">
        <v>80</v>
      </c>
      <c r="I20" s="4">
        <v>24</v>
      </c>
      <c r="J20" s="4">
        <v>44</v>
      </c>
      <c r="K20" s="4">
        <v>64</v>
      </c>
      <c r="L20" s="4">
        <v>68</v>
      </c>
      <c r="M20" s="4">
        <v>68</v>
      </c>
      <c r="N20" s="4">
        <v>16</v>
      </c>
      <c r="O20" s="4">
        <v>100</v>
      </c>
      <c r="P20" s="4">
        <v>76</v>
      </c>
      <c r="Q20" s="4">
        <v>48</v>
      </c>
      <c r="R20" s="1">
        <f t="shared" si="0"/>
        <v>588</v>
      </c>
      <c r="S20" s="1">
        <f t="shared" si="1"/>
        <v>58.8</v>
      </c>
      <c r="T20" s="20">
        <f t="shared" si="2"/>
        <v>13</v>
      </c>
    </row>
    <row r="21" spans="1:20" ht="18" customHeight="1">
      <c r="A21" s="19">
        <v>15</v>
      </c>
      <c r="B21" s="2" t="s">
        <v>4777</v>
      </c>
      <c r="C21" s="1">
        <v>321260286</v>
      </c>
      <c r="D21" s="3" t="s">
        <v>4778</v>
      </c>
      <c r="E21" s="1" t="s">
        <v>69</v>
      </c>
      <c r="F21" s="10" t="s">
        <v>4766</v>
      </c>
      <c r="G21" s="2" t="s">
        <v>97</v>
      </c>
      <c r="H21" s="4">
        <v>60</v>
      </c>
      <c r="I21" s="4">
        <v>28</v>
      </c>
      <c r="J21" s="4">
        <v>64</v>
      </c>
      <c r="K21" s="4">
        <v>68</v>
      </c>
      <c r="L21" s="4">
        <v>68</v>
      </c>
      <c r="M21" s="4">
        <v>68</v>
      </c>
      <c r="N21" s="4">
        <v>12</v>
      </c>
      <c r="O21" s="4">
        <v>100</v>
      </c>
      <c r="P21" s="4">
        <v>60</v>
      </c>
      <c r="Q21" s="4">
        <v>52</v>
      </c>
      <c r="R21" s="1">
        <f t="shared" si="0"/>
        <v>580</v>
      </c>
      <c r="S21" s="1">
        <f t="shared" si="1"/>
        <v>58</v>
      </c>
      <c r="T21" s="20">
        <f t="shared" si="2"/>
        <v>15</v>
      </c>
    </row>
    <row r="22" spans="1:20" ht="18" customHeight="1">
      <c r="A22" s="19">
        <v>16</v>
      </c>
      <c r="B22" s="2" t="s">
        <v>4835</v>
      </c>
      <c r="C22" s="1">
        <v>321260331</v>
      </c>
      <c r="D22" s="3" t="s">
        <v>4836</v>
      </c>
      <c r="E22" s="1" t="s">
        <v>78</v>
      </c>
      <c r="F22" s="10" t="s">
        <v>4766</v>
      </c>
      <c r="G22" s="2" t="s">
        <v>99</v>
      </c>
      <c r="H22" s="4">
        <v>56</v>
      </c>
      <c r="I22" s="4">
        <v>52</v>
      </c>
      <c r="J22" s="4">
        <v>48</v>
      </c>
      <c r="K22" s="4">
        <v>80</v>
      </c>
      <c r="L22" s="4">
        <v>44</v>
      </c>
      <c r="M22" s="4">
        <v>76</v>
      </c>
      <c r="N22" s="4">
        <v>20</v>
      </c>
      <c r="O22" s="4">
        <v>96</v>
      </c>
      <c r="P22" s="4">
        <v>72</v>
      </c>
      <c r="Q22" s="4">
        <v>32</v>
      </c>
      <c r="R22" s="1">
        <f t="shared" si="0"/>
        <v>576</v>
      </c>
      <c r="S22" s="1">
        <f t="shared" si="1"/>
        <v>57.6</v>
      </c>
      <c r="T22" s="20">
        <f t="shared" si="2"/>
        <v>16</v>
      </c>
    </row>
    <row r="23" spans="1:20" ht="18" customHeight="1">
      <c r="A23" s="19">
        <v>17</v>
      </c>
      <c r="B23" s="2" t="s">
        <v>4773</v>
      </c>
      <c r="C23" s="1">
        <v>321260284</v>
      </c>
      <c r="D23" s="3" t="s">
        <v>4774</v>
      </c>
      <c r="E23" s="1" t="s">
        <v>69</v>
      </c>
      <c r="F23" s="10" t="s">
        <v>4766</v>
      </c>
      <c r="G23" s="2" t="s">
        <v>97</v>
      </c>
      <c r="H23" s="4">
        <v>72</v>
      </c>
      <c r="I23" s="4">
        <v>28</v>
      </c>
      <c r="J23" s="4">
        <v>68</v>
      </c>
      <c r="K23" s="4">
        <v>56</v>
      </c>
      <c r="L23" s="4">
        <v>60</v>
      </c>
      <c r="M23" s="4">
        <v>80</v>
      </c>
      <c r="N23" s="4">
        <v>12</v>
      </c>
      <c r="O23" s="4">
        <v>96</v>
      </c>
      <c r="P23" s="4">
        <v>60</v>
      </c>
      <c r="Q23" s="4">
        <v>28</v>
      </c>
      <c r="R23" s="1">
        <f t="shared" si="0"/>
        <v>560</v>
      </c>
      <c r="S23" s="1">
        <f t="shared" si="1"/>
        <v>56</v>
      </c>
      <c r="T23" s="20">
        <f t="shared" si="2"/>
        <v>17</v>
      </c>
    </row>
    <row r="24" spans="1:20" ht="18" customHeight="1">
      <c r="A24" s="19">
        <v>18</v>
      </c>
      <c r="B24" s="2" t="s">
        <v>4859</v>
      </c>
      <c r="C24" s="1">
        <v>321260345</v>
      </c>
      <c r="D24" s="3" t="s">
        <v>4860</v>
      </c>
      <c r="E24" s="1" t="s">
        <v>66</v>
      </c>
      <c r="F24" s="10" t="s">
        <v>4766</v>
      </c>
      <c r="G24" s="2" t="s">
        <v>100</v>
      </c>
      <c r="H24" s="4">
        <v>76</v>
      </c>
      <c r="I24" s="4">
        <v>52</v>
      </c>
      <c r="J24" s="4">
        <v>32</v>
      </c>
      <c r="K24" s="4">
        <v>64</v>
      </c>
      <c r="L24" s="4">
        <v>52</v>
      </c>
      <c r="M24" s="4">
        <v>56</v>
      </c>
      <c r="N24" s="4">
        <v>4</v>
      </c>
      <c r="O24" s="4">
        <v>100</v>
      </c>
      <c r="P24" s="4">
        <v>60</v>
      </c>
      <c r="Q24" s="4">
        <v>48</v>
      </c>
      <c r="R24" s="1">
        <f t="shared" si="0"/>
        <v>544</v>
      </c>
      <c r="S24" s="1">
        <f t="shared" si="1"/>
        <v>54.4</v>
      </c>
      <c r="T24" s="20">
        <f t="shared" si="2"/>
        <v>18</v>
      </c>
    </row>
    <row r="25" spans="1:20" ht="18" customHeight="1">
      <c r="A25" s="19">
        <v>19</v>
      </c>
      <c r="B25" s="2" t="s">
        <v>4833</v>
      </c>
      <c r="C25" s="1">
        <v>321260326</v>
      </c>
      <c r="D25" s="3" t="s">
        <v>4834</v>
      </c>
      <c r="E25" s="1" t="s">
        <v>74</v>
      </c>
      <c r="F25" s="10" t="s">
        <v>4766</v>
      </c>
      <c r="G25" s="2" t="s">
        <v>99</v>
      </c>
      <c r="H25" s="4">
        <v>76</v>
      </c>
      <c r="I25" s="4">
        <v>24</v>
      </c>
      <c r="J25" s="4">
        <v>56</v>
      </c>
      <c r="K25" s="4">
        <v>60</v>
      </c>
      <c r="L25" s="4">
        <v>36</v>
      </c>
      <c r="M25" s="4">
        <v>32</v>
      </c>
      <c r="N25" s="4">
        <v>60</v>
      </c>
      <c r="O25" s="4">
        <v>100</v>
      </c>
      <c r="P25" s="4">
        <v>64</v>
      </c>
      <c r="Q25" s="4">
        <v>32</v>
      </c>
      <c r="R25" s="1">
        <f t="shared" si="0"/>
        <v>540</v>
      </c>
      <c r="S25" s="1">
        <f t="shared" si="1"/>
        <v>54</v>
      </c>
      <c r="T25" s="20">
        <f t="shared" si="2"/>
        <v>19</v>
      </c>
    </row>
    <row r="26" spans="1:20" ht="18" customHeight="1">
      <c r="A26" s="19">
        <v>20</v>
      </c>
      <c r="B26" s="2" t="s">
        <v>4853</v>
      </c>
      <c r="C26" s="1">
        <v>321260342</v>
      </c>
      <c r="D26" s="3" t="s">
        <v>4854</v>
      </c>
      <c r="E26" s="1" t="s">
        <v>82</v>
      </c>
      <c r="F26" s="10" t="s">
        <v>4766</v>
      </c>
      <c r="G26" s="2" t="s">
        <v>99</v>
      </c>
      <c r="H26" s="4">
        <v>68</v>
      </c>
      <c r="I26" s="4">
        <v>24</v>
      </c>
      <c r="J26" s="4">
        <v>36</v>
      </c>
      <c r="K26" s="4">
        <v>60</v>
      </c>
      <c r="L26" s="4">
        <v>60</v>
      </c>
      <c r="M26" s="4">
        <v>60</v>
      </c>
      <c r="N26" s="4">
        <v>24</v>
      </c>
      <c r="O26" s="4">
        <v>88</v>
      </c>
      <c r="P26" s="4">
        <v>64</v>
      </c>
      <c r="Q26" s="4">
        <v>44</v>
      </c>
      <c r="R26" s="1">
        <f t="shared" si="0"/>
        <v>528</v>
      </c>
      <c r="S26" s="1">
        <f t="shared" si="1"/>
        <v>52.8</v>
      </c>
      <c r="T26" s="20">
        <f t="shared" si="2"/>
        <v>20</v>
      </c>
    </row>
    <row r="27" spans="1:20" ht="18" customHeight="1">
      <c r="A27" s="19">
        <v>21</v>
      </c>
      <c r="B27" s="2" t="s">
        <v>4799</v>
      </c>
      <c r="C27" s="1" t="s">
        <v>4800</v>
      </c>
      <c r="D27" s="3" t="s">
        <v>4801</v>
      </c>
      <c r="E27" s="1" t="s">
        <v>71</v>
      </c>
      <c r="F27" s="10" t="s">
        <v>4766</v>
      </c>
      <c r="G27" s="2" t="s">
        <v>98</v>
      </c>
      <c r="H27" s="4">
        <v>76</v>
      </c>
      <c r="I27" s="4">
        <v>32</v>
      </c>
      <c r="J27" s="4">
        <v>40</v>
      </c>
      <c r="K27" s="4">
        <v>44</v>
      </c>
      <c r="L27" s="4">
        <v>56</v>
      </c>
      <c r="M27" s="4">
        <v>44</v>
      </c>
      <c r="N27" s="4">
        <v>4</v>
      </c>
      <c r="O27" s="4">
        <v>98</v>
      </c>
      <c r="P27" s="4">
        <v>60</v>
      </c>
      <c r="Q27" s="4">
        <v>68</v>
      </c>
      <c r="R27" s="1">
        <f t="shared" si="0"/>
        <v>522</v>
      </c>
      <c r="S27" s="1">
        <f t="shared" si="1"/>
        <v>52.2</v>
      </c>
      <c r="T27" s="20">
        <f t="shared" si="2"/>
        <v>21</v>
      </c>
    </row>
    <row r="28" spans="1:20" ht="18" customHeight="1">
      <c r="A28" s="19">
        <v>22</v>
      </c>
      <c r="B28" s="2" t="s">
        <v>4787</v>
      </c>
      <c r="C28" s="1">
        <v>321260292</v>
      </c>
      <c r="D28" s="3" t="s">
        <v>4788</v>
      </c>
      <c r="E28" s="1" t="s">
        <v>70</v>
      </c>
      <c r="F28" s="10" t="s">
        <v>4766</v>
      </c>
      <c r="G28" s="2" t="s">
        <v>98</v>
      </c>
      <c r="H28" s="4">
        <v>56</v>
      </c>
      <c r="I28" s="4">
        <v>24</v>
      </c>
      <c r="J28" s="4">
        <v>24</v>
      </c>
      <c r="K28" s="4">
        <v>68</v>
      </c>
      <c r="L28" s="4">
        <v>36</v>
      </c>
      <c r="M28" s="4">
        <v>60</v>
      </c>
      <c r="N28" s="4">
        <v>20</v>
      </c>
      <c r="O28" s="4">
        <v>100</v>
      </c>
      <c r="P28" s="4">
        <v>60</v>
      </c>
      <c r="Q28" s="4">
        <v>64</v>
      </c>
      <c r="R28" s="1">
        <f t="shared" si="0"/>
        <v>512</v>
      </c>
      <c r="S28" s="1">
        <f t="shared" si="1"/>
        <v>51.2</v>
      </c>
      <c r="T28" s="20">
        <f t="shared" si="2"/>
        <v>22</v>
      </c>
    </row>
    <row r="29" spans="1:20" ht="18" customHeight="1">
      <c r="A29" s="19">
        <v>23</v>
      </c>
      <c r="B29" s="2" t="s">
        <v>4828</v>
      </c>
      <c r="C29" s="1">
        <v>321260323</v>
      </c>
      <c r="D29" s="3" t="s">
        <v>83</v>
      </c>
      <c r="E29" s="1" t="s">
        <v>77</v>
      </c>
      <c r="F29" s="10" t="s">
        <v>4766</v>
      </c>
      <c r="G29" s="2" t="s">
        <v>99</v>
      </c>
      <c r="H29" s="4">
        <v>40</v>
      </c>
      <c r="I29" s="4">
        <v>56</v>
      </c>
      <c r="J29" s="4">
        <v>56</v>
      </c>
      <c r="K29" s="4">
        <v>40</v>
      </c>
      <c r="L29" s="4">
        <v>44</v>
      </c>
      <c r="M29" s="4">
        <v>60</v>
      </c>
      <c r="N29" s="4">
        <v>28</v>
      </c>
      <c r="O29" s="4">
        <v>80</v>
      </c>
      <c r="P29" s="4">
        <v>56</v>
      </c>
      <c r="Q29" s="4">
        <v>46</v>
      </c>
      <c r="R29" s="1">
        <f t="shared" si="0"/>
        <v>506</v>
      </c>
      <c r="S29" s="1">
        <f t="shared" si="1"/>
        <v>50.6</v>
      </c>
      <c r="T29" s="20">
        <f t="shared" si="2"/>
        <v>23</v>
      </c>
    </row>
    <row r="30" spans="1:20" ht="18" customHeight="1">
      <c r="A30" s="19">
        <v>24</v>
      </c>
      <c r="B30" s="2" t="s">
        <v>4822</v>
      </c>
      <c r="C30" s="1">
        <v>321260320</v>
      </c>
      <c r="D30" s="3" t="s">
        <v>4823</v>
      </c>
      <c r="E30" s="1" t="s">
        <v>81</v>
      </c>
      <c r="F30" s="10" t="s">
        <v>4766</v>
      </c>
      <c r="G30" s="2" t="s">
        <v>99</v>
      </c>
      <c r="H30" s="4">
        <v>56</v>
      </c>
      <c r="I30" s="4">
        <v>28</v>
      </c>
      <c r="J30" s="4">
        <v>32</v>
      </c>
      <c r="K30" s="4">
        <v>36</v>
      </c>
      <c r="L30" s="4">
        <v>24</v>
      </c>
      <c r="M30" s="4">
        <v>68</v>
      </c>
      <c r="N30" s="4">
        <v>40</v>
      </c>
      <c r="O30" s="4">
        <v>84</v>
      </c>
      <c r="P30" s="4">
        <v>64</v>
      </c>
      <c r="Q30" s="4">
        <v>60</v>
      </c>
      <c r="R30" s="1">
        <f t="shared" si="0"/>
        <v>492</v>
      </c>
      <c r="S30" s="1">
        <f t="shared" si="1"/>
        <v>49.2</v>
      </c>
      <c r="T30" s="20">
        <f t="shared" si="2"/>
        <v>24</v>
      </c>
    </row>
    <row r="31" spans="1:20" ht="18" customHeight="1">
      <c r="A31" s="19">
        <v>25</v>
      </c>
      <c r="B31" s="2" t="s">
        <v>4839</v>
      </c>
      <c r="C31" s="1">
        <v>321260333</v>
      </c>
      <c r="D31" s="3" t="s">
        <v>4840</v>
      </c>
      <c r="E31" s="1" t="s">
        <v>90</v>
      </c>
      <c r="F31" s="10" t="s">
        <v>4766</v>
      </c>
      <c r="G31" s="2" t="s">
        <v>99</v>
      </c>
      <c r="H31" s="4">
        <v>76</v>
      </c>
      <c r="I31" s="4">
        <v>32</v>
      </c>
      <c r="J31" s="4">
        <v>40</v>
      </c>
      <c r="K31" s="4">
        <v>40</v>
      </c>
      <c r="L31" s="4">
        <v>48</v>
      </c>
      <c r="M31" s="4">
        <v>76</v>
      </c>
      <c r="N31" s="4">
        <v>20</v>
      </c>
      <c r="O31" s="4">
        <v>88</v>
      </c>
      <c r="P31" s="4">
        <v>44</v>
      </c>
      <c r="Q31" s="4">
        <v>28</v>
      </c>
      <c r="R31" s="1">
        <f t="shared" si="0"/>
        <v>492</v>
      </c>
      <c r="S31" s="1">
        <f t="shared" si="1"/>
        <v>49.2</v>
      </c>
      <c r="T31" s="20">
        <f t="shared" si="2"/>
        <v>24</v>
      </c>
    </row>
    <row r="32" spans="1:20" ht="18" customHeight="1">
      <c r="A32" s="19">
        <v>26</v>
      </c>
      <c r="B32" s="2" t="s">
        <v>4804</v>
      </c>
      <c r="C32" s="1">
        <v>321260306</v>
      </c>
      <c r="D32" s="3" t="s">
        <v>4805</v>
      </c>
      <c r="E32" s="1" t="s">
        <v>58</v>
      </c>
      <c r="F32" s="10" t="s">
        <v>4766</v>
      </c>
      <c r="G32" s="2" t="s">
        <v>98</v>
      </c>
      <c r="H32" s="4">
        <v>60</v>
      </c>
      <c r="I32" s="4">
        <v>16</v>
      </c>
      <c r="J32" s="4">
        <v>32</v>
      </c>
      <c r="K32" s="4">
        <v>44</v>
      </c>
      <c r="L32" s="4">
        <v>48</v>
      </c>
      <c r="M32" s="4">
        <v>36</v>
      </c>
      <c r="N32" s="4">
        <v>28</v>
      </c>
      <c r="O32" s="4">
        <v>100</v>
      </c>
      <c r="P32" s="4">
        <v>64</v>
      </c>
      <c r="Q32" s="4">
        <v>56</v>
      </c>
      <c r="R32" s="1">
        <f t="shared" si="0"/>
        <v>484</v>
      </c>
      <c r="S32" s="1">
        <f t="shared" si="1"/>
        <v>48.4</v>
      </c>
      <c r="T32" s="20">
        <f t="shared" si="2"/>
        <v>26</v>
      </c>
    </row>
    <row r="33" spans="1:20" ht="18" customHeight="1">
      <c r="A33" s="19">
        <v>27</v>
      </c>
      <c r="B33" s="2" t="s">
        <v>4793</v>
      </c>
      <c r="C33" s="1">
        <v>321260297</v>
      </c>
      <c r="D33" s="3" t="s">
        <v>4794</v>
      </c>
      <c r="E33" s="1" t="s">
        <v>57</v>
      </c>
      <c r="F33" s="10" t="s">
        <v>4766</v>
      </c>
      <c r="G33" s="2" t="s">
        <v>98</v>
      </c>
      <c r="H33" s="4">
        <v>60</v>
      </c>
      <c r="I33" s="4">
        <v>36</v>
      </c>
      <c r="J33" s="4">
        <v>32</v>
      </c>
      <c r="K33" s="4">
        <v>56</v>
      </c>
      <c r="L33" s="4">
        <v>28</v>
      </c>
      <c r="M33" s="4">
        <v>64</v>
      </c>
      <c r="N33" s="4">
        <v>20</v>
      </c>
      <c r="O33" s="4">
        <v>100</v>
      </c>
      <c r="P33" s="4">
        <v>44</v>
      </c>
      <c r="Q33" s="4">
        <v>40</v>
      </c>
      <c r="R33" s="1">
        <f t="shared" si="0"/>
        <v>480</v>
      </c>
      <c r="S33" s="1">
        <f t="shared" si="1"/>
        <v>48</v>
      </c>
      <c r="T33" s="20">
        <f t="shared" si="2"/>
        <v>27</v>
      </c>
    </row>
    <row r="34" spans="1:20" ht="18" customHeight="1">
      <c r="A34" s="19">
        <v>28</v>
      </c>
      <c r="B34" s="2" t="s">
        <v>4851</v>
      </c>
      <c r="C34" s="1">
        <v>321260341</v>
      </c>
      <c r="D34" s="3" t="s">
        <v>4852</v>
      </c>
      <c r="E34" s="1" t="s">
        <v>82</v>
      </c>
      <c r="F34" s="10" t="s">
        <v>4766</v>
      </c>
      <c r="G34" s="2" t="s">
        <v>99</v>
      </c>
      <c r="H34" s="4">
        <v>64</v>
      </c>
      <c r="I34" s="4">
        <v>20</v>
      </c>
      <c r="J34" s="4">
        <v>14</v>
      </c>
      <c r="K34" s="4">
        <v>76</v>
      </c>
      <c r="L34" s="4">
        <v>20</v>
      </c>
      <c r="M34" s="4">
        <v>56</v>
      </c>
      <c r="N34" s="4">
        <v>76</v>
      </c>
      <c r="O34" s="4">
        <v>100</v>
      </c>
      <c r="P34" s="4">
        <v>40</v>
      </c>
      <c r="Q34" s="4">
        <v>12</v>
      </c>
      <c r="R34" s="1">
        <f t="shared" si="0"/>
        <v>478</v>
      </c>
      <c r="S34" s="1">
        <f t="shared" si="1"/>
        <v>47.8</v>
      </c>
      <c r="T34" s="20">
        <f t="shared" si="2"/>
        <v>28</v>
      </c>
    </row>
    <row r="35" spans="1:20" ht="18" customHeight="1">
      <c r="A35" s="19">
        <v>29</v>
      </c>
      <c r="B35" s="2" t="s">
        <v>4829</v>
      </c>
      <c r="C35" s="1">
        <v>321260324</v>
      </c>
      <c r="D35" s="3" t="s">
        <v>4830</v>
      </c>
      <c r="E35" s="1" t="s">
        <v>77</v>
      </c>
      <c r="F35" s="10" t="s">
        <v>4766</v>
      </c>
      <c r="G35" s="2" t="s">
        <v>99</v>
      </c>
      <c r="H35" s="4">
        <v>52</v>
      </c>
      <c r="I35" s="4">
        <v>44</v>
      </c>
      <c r="J35" s="4">
        <v>40</v>
      </c>
      <c r="K35" s="4">
        <v>28</v>
      </c>
      <c r="L35" s="4">
        <v>8</v>
      </c>
      <c r="M35" s="4">
        <v>64</v>
      </c>
      <c r="N35" s="4">
        <v>44</v>
      </c>
      <c r="O35" s="4">
        <v>100</v>
      </c>
      <c r="P35" s="4">
        <v>44</v>
      </c>
      <c r="Q35" s="4">
        <v>48</v>
      </c>
      <c r="R35" s="1">
        <f t="shared" si="0"/>
        <v>472</v>
      </c>
      <c r="S35" s="1">
        <f t="shared" si="1"/>
        <v>47.2</v>
      </c>
      <c r="T35" s="20">
        <f t="shared" si="2"/>
        <v>29</v>
      </c>
    </row>
    <row r="36" spans="1:20" ht="18" customHeight="1">
      <c r="A36" s="19">
        <v>30</v>
      </c>
      <c r="B36" s="2" t="s">
        <v>4867</v>
      </c>
      <c r="C36" s="1">
        <v>321260349</v>
      </c>
      <c r="D36" s="3" t="s">
        <v>4868</v>
      </c>
      <c r="E36" s="1" t="s">
        <v>76</v>
      </c>
      <c r="F36" s="10" t="s">
        <v>4766</v>
      </c>
      <c r="G36" s="2" t="s">
        <v>100</v>
      </c>
      <c r="H36" s="4">
        <v>36</v>
      </c>
      <c r="I36" s="4">
        <v>40</v>
      </c>
      <c r="J36" s="4">
        <v>60</v>
      </c>
      <c r="K36" s="4">
        <v>60</v>
      </c>
      <c r="L36" s="4">
        <v>12</v>
      </c>
      <c r="M36" s="4">
        <v>72</v>
      </c>
      <c r="N36" s="4">
        <v>32</v>
      </c>
      <c r="O36" s="4">
        <v>92</v>
      </c>
      <c r="P36" s="4">
        <v>40</v>
      </c>
      <c r="Q36" s="4">
        <v>24</v>
      </c>
      <c r="R36" s="1">
        <f t="shared" si="0"/>
        <v>468</v>
      </c>
      <c r="S36" s="1">
        <f t="shared" si="1"/>
        <v>46.8</v>
      </c>
      <c r="T36" s="20">
        <f t="shared" si="2"/>
        <v>30</v>
      </c>
    </row>
    <row r="37" spans="1:20" ht="18" customHeight="1">
      <c r="A37" s="19">
        <v>31</v>
      </c>
      <c r="B37" s="2" t="s">
        <v>4847</v>
      </c>
      <c r="C37" s="1">
        <v>321260339</v>
      </c>
      <c r="D37" s="3" t="s">
        <v>4848</v>
      </c>
      <c r="E37" s="1" t="s">
        <v>82</v>
      </c>
      <c r="F37" s="10" t="s">
        <v>4766</v>
      </c>
      <c r="G37" s="2" t="s">
        <v>99</v>
      </c>
      <c r="H37" s="4">
        <v>56</v>
      </c>
      <c r="I37" s="4">
        <v>32</v>
      </c>
      <c r="J37" s="4">
        <v>32</v>
      </c>
      <c r="K37" s="4">
        <v>44</v>
      </c>
      <c r="L37" s="4">
        <v>36</v>
      </c>
      <c r="M37" s="4">
        <v>52</v>
      </c>
      <c r="N37" s="4">
        <v>8</v>
      </c>
      <c r="O37" s="4">
        <v>92</v>
      </c>
      <c r="P37" s="4">
        <v>64</v>
      </c>
      <c r="Q37" s="4">
        <v>40</v>
      </c>
      <c r="R37" s="1">
        <f t="shared" si="0"/>
        <v>456</v>
      </c>
      <c r="S37" s="1">
        <f t="shared" si="1"/>
        <v>45.6</v>
      </c>
      <c r="T37" s="20">
        <f t="shared" si="2"/>
        <v>31</v>
      </c>
    </row>
    <row r="38" spans="1:20" ht="18" customHeight="1">
      <c r="A38" s="19">
        <v>32</v>
      </c>
      <c r="B38" s="2" t="s">
        <v>4857</v>
      </c>
      <c r="C38" s="1">
        <v>321260344</v>
      </c>
      <c r="D38" s="3" t="s">
        <v>4858</v>
      </c>
      <c r="E38" s="1" t="s">
        <v>66</v>
      </c>
      <c r="F38" s="10" t="s">
        <v>4766</v>
      </c>
      <c r="G38" s="2" t="s">
        <v>100</v>
      </c>
      <c r="H38" s="4">
        <v>60</v>
      </c>
      <c r="I38" s="4">
        <v>48</v>
      </c>
      <c r="J38" s="4">
        <v>56</v>
      </c>
      <c r="K38" s="4">
        <v>32</v>
      </c>
      <c r="L38" s="4">
        <v>16</v>
      </c>
      <c r="M38" s="4">
        <v>64</v>
      </c>
      <c r="N38" s="4">
        <v>12</v>
      </c>
      <c r="O38" s="4">
        <v>88</v>
      </c>
      <c r="P38" s="4">
        <v>48</v>
      </c>
      <c r="Q38" s="4">
        <v>28</v>
      </c>
      <c r="R38" s="1">
        <f t="shared" si="0"/>
        <v>452</v>
      </c>
      <c r="S38" s="1">
        <f t="shared" si="1"/>
        <v>45.2</v>
      </c>
      <c r="T38" s="20">
        <f t="shared" si="2"/>
        <v>32</v>
      </c>
    </row>
    <row r="39" spans="1:20" ht="18" customHeight="1">
      <c r="A39" s="19">
        <v>33</v>
      </c>
      <c r="B39" s="2" t="s">
        <v>4789</v>
      </c>
      <c r="C39" s="1">
        <v>321260293</v>
      </c>
      <c r="D39" s="3" t="s">
        <v>4790</v>
      </c>
      <c r="E39" s="1" t="s">
        <v>70</v>
      </c>
      <c r="F39" s="10" t="s">
        <v>4766</v>
      </c>
      <c r="G39" s="2" t="s">
        <v>98</v>
      </c>
      <c r="H39" s="4">
        <v>40</v>
      </c>
      <c r="I39" s="4">
        <v>8</v>
      </c>
      <c r="J39" s="4">
        <v>44</v>
      </c>
      <c r="K39" s="4">
        <v>40</v>
      </c>
      <c r="L39" s="4">
        <v>56</v>
      </c>
      <c r="M39" s="4">
        <v>28</v>
      </c>
      <c r="N39" s="4">
        <v>12</v>
      </c>
      <c r="O39" s="4">
        <v>100</v>
      </c>
      <c r="P39" s="4">
        <v>72</v>
      </c>
      <c r="Q39" s="4">
        <v>40</v>
      </c>
      <c r="R39" s="1">
        <f t="shared" ref="R39:R61" si="3">SUBTOTAL(9,H39:Q39)</f>
        <v>440</v>
      </c>
      <c r="S39" s="1">
        <f t="shared" ref="S39:S61" si="4">R39/10</f>
        <v>44</v>
      </c>
      <c r="T39" s="20">
        <f t="shared" ref="T39:T61" si="5">RANK(S39,S$7:S$156,0)</f>
        <v>33</v>
      </c>
    </row>
    <row r="40" spans="1:20" ht="18" customHeight="1">
      <c r="A40" s="19">
        <v>34</v>
      </c>
      <c r="B40" s="2" t="s">
        <v>4791</v>
      </c>
      <c r="C40" s="1">
        <v>321260294</v>
      </c>
      <c r="D40" s="3" t="s">
        <v>4792</v>
      </c>
      <c r="E40" s="1" t="s">
        <v>56</v>
      </c>
      <c r="F40" s="10" t="s">
        <v>4766</v>
      </c>
      <c r="G40" s="2" t="s">
        <v>98</v>
      </c>
      <c r="H40" s="4">
        <v>40</v>
      </c>
      <c r="I40" s="4">
        <v>28</v>
      </c>
      <c r="J40" s="4">
        <v>44</v>
      </c>
      <c r="K40" s="4">
        <v>40</v>
      </c>
      <c r="L40" s="4">
        <v>12</v>
      </c>
      <c r="M40" s="4">
        <v>60</v>
      </c>
      <c r="N40" s="4">
        <v>20</v>
      </c>
      <c r="O40" s="4">
        <v>100</v>
      </c>
      <c r="P40" s="4">
        <v>36</v>
      </c>
      <c r="Q40" s="4">
        <v>56</v>
      </c>
      <c r="R40" s="1">
        <f t="shared" si="3"/>
        <v>436</v>
      </c>
      <c r="S40" s="1">
        <f t="shared" si="4"/>
        <v>43.6</v>
      </c>
      <c r="T40" s="20">
        <f t="shared" si="5"/>
        <v>34</v>
      </c>
    </row>
    <row r="41" spans="1:20" ht="18" customHeight="1">
      <c r="A41" s="19">
        <v>35</v>
      </c>
      <c r="B41" s="2" t="s">
        <v>4763</v>
      </c>
      <c r="C41" s="1" t="s">
        <v>4764</v>
      </c>
      <c r="D41" s="3" t="s">
        <v>4765</v>
      </c>
      <c r="E41" s="1" t="s">
        <v>55</v>
      </c>
      <c r="F41" s="10" t="s">
        <v>4766</v>
      </c>
      <c r="G41" s="2" t="s">
        <v>97</v>
      </c>
      <c r="H41" s="4">
        <v>60</v>
      </c>
      <c r="I41" s="4">
        <v>16</v>
      </c>
      <c r="J41" s="4">
        <v>64</v>
      </c>
      <c r="K41" s="4">
        <v>44</v>
      </c>
      <c r="L41" s="4">
        <v>16</v>
      </c>
      <c r="M41" s="4">
        <v>52</v>
      </c>
      <c r="N41" s="4">
        <v>12</v>
      </c>
      <c r="O41" s="4">
        <v>88</v>
      </c>
      <c r="P41" s="4">
        <v>64</v>
      </c>
      <c r="Q41" s="4">
        <v>8</v>
      </c>
      <c r="R41" s="1">
        <f t="shared" si="3"/>
        <v>424</v>
      </c>
      <c r="S41" s="1">
        <f t="shared" si="4"/>
        <v>42.4</v>
      </c>
      <c r="T41" s="20">
        <f t="shared" si="5"/>
        <v>35</v>
      </c>
    </row>
    <row r="42" spans="1:20" ht="18" customHeight="1">
      <c r="A42" s="19">
        <v>36</v>
      </c>
      <c r="B42" s="2" t="s">
        <v>4785</v>
      </c>
      <c r="C42" s="1">
        <v>321260291</v>
      </c>
      <c r="D42" s="3" t="s">
        <v>4786</v>
      </c>
      <c r="E42" s="1" t="s">
        <v>70</v>
      </c>
      <c r="F42" s="10" t="s">
        <v>4766</v>
      </c>
      <c r="G42" s="2" t="s">
        <v>98</v>
      </c>
      <c r="H42" s="4">
        <v>52</v>
      </c>
      <c r="I42" s="4">
        <v>16</v>
      </c>
      <c r="J42" s="4">
        <v>28</v>
      </c>
      <c r="K42" s="4">
        <v>28</v>
      </c>
      <c r="L42" s="4">
        <v>44</v>
      </c>
      <c r="M42" s="4">
        <v>64</v>
      </c>
      <c r="N42" s="4">
        <v>8</v>
      </c>
      <c r="O42" s="4">
        <v>100</v>
      </c>
      <c r="P42" s="4">
        <v>60</v>
      </c>
      <c r="Q42" s="4">
        <v>24</v>
      </c>
      <c r="R42" s="1">
        <f t="shared" si="3"/>
        <v>424</v>
      </c>
      <c r="S42" s="1">
        <f t="shared" si="4"/>
        <v>42.4</v>
      </c>
      <c r="T42" s="20">
        <f t="shared" si="5"/>
        <v>35</v>
      </c>
    </row>
    <row r="43" spans="1:20" ht="18" customHeight="1">
      <c r="A43" s="19">
        <v>37</v>
      </c>
      <c r="B43" s="2" t="s">
        <v>4783</v>
      </c>
      <c r="C43" s="1">
        <v>321260290</v>
      </c>
      <c r="D43" s="3" t="s">
        <v>4784</v>
      </c>
      <c r="E43" s="1" t="s">
        <v>79</v>
      </c>
      <c r="F43" s="10" t="s">
        <v>4766</v>
      </c>
      <c r="G43" s="2" t="s">
        <v>98</v>
      </c>
      <c r="H43" s="4">
        <v>68</v>
      </c>
      <c r="I43" s="4">
        <v>8</v>
      </c>
      <c r="J43" s="4">
        <v>24</v>
      </c>
      <c r="K43" s="4">
        <v>40</v>
      </c>
      <c r="L43" s="4">
        <v>28</v>
      </c>
      <c r="M43" s="4">
        <v>68</v>
      </c>
      <c r="N43" s="4">
        <v>16</v>
      </c>
      <c r="O43" s="4">
        <v>100</v>
      </c>
      <c r="P43" s="4">
        <v>36</v>
      </c>
      <c r="Q43" s="4">
        <v>32</v>
      </c>
      <c r="R43" s="1">
        <f t="shared" si="3"/>
        <v>420</v>
      </c>
      <c r="S43" s="1">
        <f t="shared" si="4"/>
        <v>42</v>
      </c>
      <c r="T43" s="20">
        <f t="shared" si="5"/>
        <v>37</v>
      </c>
    </row>
    <row r="44" spans="1:20" ht="18" customHeight="1">
      <c r="A44" s="19">
        <v>38</v>
      </c>
      <c r="B44" s="2" t="s">
        <v>4802</v>
      </c>
      <c r="C44" s="1">
        <v>321260301</v>
      </c>
      <c r="D44" s="3" t="s">
        <v>86</v>
      </c>
      <c r="E44" s="1" t="s">
        <v>71</v>
      </c>
      <c r="F44" s="10" t="s">
        <v>4766</v>
      </c>
      <c r="G44" s="2" t="s">
        <v>98</v>
      </c>
      <c r="H44" s="4">
        <v>40</v>
      </c>
      <c r="I44" s="4">
        <v>24</v>
      </c>
      <c r="J44" s="4">
        <v>40</v>
      </c>
      <c r="K44" s="4">
        <v>32</v>
      </c>
      <c r="L44" s="4">
        <v>28</v>
      </c>
      <c r="M44" s="4">
        <v>48</v>
      </c>
      <c r="N44" s="4">
        <v>8</v>
      </c>
      <c r="O44" s="4">
        <v>92</v>
      </c>
      <c r="P44" s="4">
        <v>64</v>
      </c>
      <c r="Q44" s="4">
        <v>40</v>
      </c>
      <c r="R44" s="1">
        <f t="shared" si="3"/>
        <v>416</v>
      </c>
      <c r="S44" s="1">
        <f t="shared" si="4"/>
        <v>41.6</v>
      </c>
      <c r="T44" s="20">
        <f t="shared" si="5"/>
        <v>38</v>
      </c>
    </row>
    <row r="45" spans="1:20" ht="18" customHeight="1">
      <c r="A45" s="19">
        <v>39</v>
      </c>
      <c r="B45" s="2" t="s">
        <v>4818</v>
      </c>
      <c r="C45" s="1">
        <v>321260317</v>
      </c>
      <c r="D45" s="3" t="s">
        <v>4819</v>
      </c>
      <c r="E45" s="1" t="s">
        <v>62</v>
      </c>
      <c r="F45" s="10" t="s">
        <v>4766</v>
      </c>
      <c r="G45" s="2" t="s">
        <v>98</v>
      </c>
      <c r="H45" s="4">
        <v>52</v>
      </c>
      <c r="I45" s="4">
        <v>4</v>
      </c>
      <c r="J45" s="4">
        <v>52</v>
      </c>
      <c r="K45" s="4">
        <v>24</v>
      </c>
      <c r="L45" s="4">
        <v>40</v>
      </c>
      <c r="M45" s="4">
        <v>36</v>
      </c>
      <c r="N45" s="4">
        <v>24</v>
      </c>
      <c r="O45" s="4">
        <v>98</v>
      </c>
      <c r="P45" s="4">
        <v>56</v>
      </c>
      <c r="Q45" s="4">
        <v>28</v>
      </c>
      <c r="R45" s="1">
        <f t="shared" si="3"/>
        <v>414</v>
      </c>
      <c r="S45" s="1">
        <f t="shared" si="4"/>
        <v>41.4</v>
      </c>
      <c r="T45" s="20">
        <f t="shared" si="5"/>
        <v>39</v>
      </c>
    </row>
    <row r="46" spans="1:20" ht="18" customHeight="1">
      <c r="A46" s="19">
        <v>40</v>
      </c>
      <c r="B46" s="2" t="s">
        <v>4843</v>
      </c>
      <c r="C46" s="1">
        <v>321260335</v>
      </c>
      <c r="D46" s="3" t="s">
        <v>89</v>
      </c>
      <c r="E46" s="1" t="s">
        <v>65</v>
      </c>
      <c r="F46" s="10" t="s">
        <v>4766</v>
      </c>
      <c r="G46" s="2" t="s">
        <v>99</v>
      </c>
      <c r="H46" s="4">
        <v>60</v>
      </c>
      <c r="I46" s="4">
        <v>24</v>
      </c>
      <c r="J46" s="4">
        <v>44</v>
      </c>
      <c r="K46" s="4">
        <v>52</v>
      </c>
      <c r="L46" s="4">
        <v>8</v>
      </c>
      <c r="M46" s="4">
        <v>68</v>
      </c>
      <c r="N46" s="4">
        <v>4</v>
      </c>
      <c r="O46" s="4">
        <v>96</v>
      </c>
      <c r="P46" s="4">
        <v>32</v>
      </c>
      <c r="Q46" s="4">
        <v>20</v>
      </c>
      <c r="R46" s="1">
        <f t="shared" si="3"/>
        <v>408</v>
      </c>
      <c r="S46" s="1">
        <f t="shared" si="4"/>
        <v>40.799999999999997</v>
      </c>
      <c r="T46" s="20">
        <f t="shared" si="5"/>
        <v>40</v>
      </c>
    </row>
    <row r="47" spans="1:20" ht="18" customHeight="1">
      <c r="A47" s="19">
        <v>41</v>
      </c>
      <c r="B47" s="2" t="s">
        <v>4855</v>
      </c>
      <c r="C47" s="1">
        <v>321260343</v>
      </c>
      <c r="D47" s="3" t="s">
        <v>4856</v>
      </c>
      <c r="E47" s="1" t="s">
        <v>82</v>
      </c>
      <c r="F47" s="10" t="s">
        <v>4766</v>
      </c>
      <c r="G47" s="2" t="s">
        <v>100</v>
      </c>
      <c r="H47" s="4">
        <v>52</v>
      </c>
      <c r="I47" s="4">
        <v>12</v>
      </c>
      <c r="J47" s="4">
        <v>24</v>
      </c>
      <c r="K47" s="4">
        <v>64</v>
      </c>
      <c r="L47" s="4">
        <v>12</v>
      </c>
      <c r="M47" s="4">
        <v>58</v>
      </c>
      <c r="N47" s="4">
        <v>8</v>
      </c>
      <c r="O47" s="4">
        <v>88</v>
      </c>
      <c r="P47" s="4">
        <v>36</v>
      </c>
      <c r="Q47" s="4">
        <v>52</v>
      </c>
      <c r="R47" s="1">
        <f t="shared" si="3"/>
        <v>406</v>
      </c>
      <c r="S47" s="1">
        <f t="shared" si="4"/>
        <v>40.6</v>
      </c>
      <c r="T47" s="20">
        <f t="shared" si="5"/>
        <v>41</v>
      </c>
    </row>
    <row r="48" spans="1:20" ht="18" customHeight="1">
      <c r="A48" s="19">
        <v>42</v>
      </c>
      <c r="B48" s="2" t="s">
        <v>4797</v>
      </c>
      <c r="C48" s="1">
        <v>321260299</v>
      </c>
      <c r="D48" s="3" t="s">
        <v>4798</v>
      </c>
      <c r="E48" s="1" t="s">
        <v>57</v>
      </c>
      <c r="F48" s="10" t="s">
        <v>4766</v>
      </c>
      <c r="G48" s="2" t="s">
        <v>98</v>
      </c>
      <c r="H48" s="4">
        <v>52</v>
      </c>
      <c r="I48" s="4">
        <v>32</v>
      </c>
      <c r="J48" s="4">
        <v>36</v>
      </c>
      <c r="K48" s="4">
        <v>44</v>
      </c>
      <c r="L48" s="4">
        <v>24</v>
      </c>
      <c r="M48" s="4">
        <v>60</v>
      </c>
      <c r="N48" s="4">
        <v>8</v>
      </c>
      <c r="O48" s="4">
        <v>100</v>
      </c>
      <c r="P48" s="4">
        <v>40</v>
      </c>
      <c r="Q48" s="4">
        <v>8</v>
      </c>
      <c r="R48" s="1">
        <f t="shared" si="3"/>
        <v>404</v>
      </c>
      <c r="S48" s="1">
        <f t="shared" si="4"/>
        <v>40.4</v>
      </c>
      <c r="T48" s="20">
        <f t="shared" si="5"/>
        <v>42</v>
      </c>
    </row>
    <row r="49" spans="1:20" ht="18" customHeight="1">
      <c r="A49" s="19">
        <v>43</v>
      </c>
      <c r="B49" s="2" t="s">
        <v>4820</v>
      </c>
      <c r="C49" s="1">
        <v>321260319</v>
      </c>
      <c r="D49" s="3" t="s">
        <v>4821</v>
      </c>
      <c r="E49" s="1" t="s">
        <v>81</v>
      </c>
      <c r="F49" s="10" t="s">
        <v>4766</v>
      </c>
      <c r="G49" s="2" t="s">
        <v>99</v>
      </c>
      <c r="H49" s="4">
        <v>80</v>
      </c>
      <c r="I49" s="4">
        <v>12</v>
      </c>
      <c r="J49" s="4">
        <v>16</v>
      </c>
      <c r="K49" s="4">
        <v>56</v>
      </c>
      <c r="L49" s="4">
        <v>40</v>
      </c>
      <c r="M49" s="4">
        <v>36</v>
      </c>
      <c r="N49" s="4">
        <v>0</v>
      </c>
      <c r="O49" s="4">
        <v>96</v>
      </c>
      <c r="P49" s="4">
        <v>28</v>
      </c>
      <c r="Q49" s="4">
        <v>40</v>
      </c>
      <c r="R49" s="1">
        <f t="shared" si="3"/>
        <v>404</v>
      </c>
      <c r="S49" s="1">
        <f t="shared" si="4"/>
        <v>40.4</v>
      </c>
      <c r="T49" s="20">
        <f t="shared" si="5"/>
        <v>42</v>
      </c>
    </row>
    <row r="50" spans="1:20" ht="18" customHeight="1">
      <c r="A50" s="19">
        <v>44</v>
      </c>
      <c r="B50" s="2" t="s">
        <v>4808</v>
      </c>
      <c r="C50" s="1">
        <v>321260310</v>
      </c>
      <c r="D50" s="3" t="s">
        <v>4809</v>
      </c>
      <c r="E50" s="1" t="s">
        <v>58</v>
      </c>
      <c r="F50" s="10" t="s">
        <v>4766</v>
      </c>
      <c r="G50" s="2" t="s">
        <v>98</v>
      </c>
      <c r="H50" s="4">
        <v>44</v>
      </c>
      <c r="I50" s="4">
        <v>24</v>
      </c>
      <c r="J50" s="4">
        <v>32</v>
      </c>
      <c r="K50" s="4">
        <v>24</v>
      </c>
      <c r="L50" s="4">
        <v>36</v>
      </c>
      <c r="M50" s="4">
        <v>24</v>
      </c>
      <c r="N50" s="4">
        <v>12</v>
      </c>
      <c r="O50" s="4">
        <v>100</v>
      </c>
      <c r="P50" s="4">
        <v>64</v>
      </c>
      <c r="Q50" s="4">
        <v>36</v>
      </c>
      <c r="R50" s="1">
        <f t="shared" si="3"/>
        <v>396</v>
      </c>
      <c r="S50" s="1">
        <f t="shared" si="4"/>
        <v>39.6</v>
      </c>
      <c r="T50" s="20">
        <f t="shared" si="5"/>
        <v>44</v>
      </c>
    </row>
    <row r="51" spans="1:20" ht="18" customHeight="1">
      <c r="A51" s="19">
        <v>45</v>
      </c>
      <c r="B51" s="2" t="s">
        <v>4810</v>
      </c>
      <c r="C51" s="1">
        <v>321260311</v>
      </c>
      <c r="D51" s="3" t="s">
        <v>4811</v>
      </c>
      <c r="E51" s="1" t="s">
        <v>58</v>
      </c>
      <c r="F51" s="10" t="s">
        <v>4766</v>
      </c>
      <c r="G51" s="2" t="s">
        <v>98</v>
      </c>
      <c r="H51" s="4">
        <v>44</v>
      </c>
      <c r="I51" s="4">
        <v>4</v>
      </c>
      <c r="J51" s="4">
        <v>36</v>
      </c>
      <c r="K51" s="4">
        <v>64</v>
      </c>
      <c r="L51" s="4">
        <v>32</v>
      </c>
      <c r="M51" s="4">
        <v>16</v>
      </c>
      <c r="N51" s="4">
        <v>8</v>
      </c>
      <c r="O51" s="4">
        <v>92</v>
      </c>
      <c r="P51" s="4">
        <v>64</v>
      </c>
      <c r="Q51" s="4">
        <v>28</v>
      </c>
      <c r="R51" s="1">
        <f t="shared" si="3"/>
        <v>388</v>
      </c>
      <c r="S51" s="1">
        <f t="shared" si="4"/>
        <v>38.799999999999997</v>
      </c>
      <c r="T51" s="20">
        <f t="shared" si="5"/>
        <v>45</v>
      </c>
    </row>
    <row r="52" spans="1:20" ht="18" customHeight="1">
      <c r="A52" s="19">
        <v>46</v>
      </c>
      <c r="B52" s="2" t="s">
        <v>4831</v>
      </c>
      <c r="C52" s="1">
        <v>321260325</v>
      </c>
      <c r="D52" s="3" t="s">
        <v>4832</v>
      </c>
      <c r="E52" s="1" t="s">
        <v>63</v>
      </c>
      <c r="F52" s="10" t="s">
        <v>4766</v>
      </c>
      <c r="G52" s="2" t="s">
        <v>99</v>
      </c>
      <c r="H52" s="4">
        <v>44</v>
      </c>
      <c r="I52" s="4">
        <v>36</v>
      </c>
      <c r="J52" s="4">
        <v>32</v>
      </c>
      <c r="K52" s="4">
        <v>40</v>
      </c>
      <c r="L52" s="4">
        <v>8</v>
      </c>
      <c r="M52" s="4">
        <v>20</v>
      </c>
      <c r="N52" s="4">
        <v>20</v>
      </c>
      <c r="O52" s="4">
        <v>96</v>
      </c>
      <c r="P52" s="4">
        <v>48</v>
      </c>
      <c r="Q52" s="4">
        <v>20</v>
      </c>
      <c r="R52" s="1">
        <f t="shared" si="3"/>
        <v>364</v>
      </c>
      <c r="S52" s="1">
        <f t="shared" si="4"/>
        <v>36.4</v>
      </c>
      <c r="T52" s="20">
        <f t="shared" si="5"/>
        <v>46</v>
      </c>
    </row>
    <row r="53" spans="1:20" ht="18" customHeight="1">
      <c r="A53" s="19">
        <v>47</v>
      </c>
      <c r="B53" s="2" t="s">
        <v>4795</v>
      </c>
      <c r="C53" s="1">
        <v>321260298</v>
      </c>
      <c r="D53" s="3" t="s">
        <v>4796</v>
      </c>
      <c r="E53" s="1" t="s">
        <v>57</v>
      </c>
      <c r="F53" s="10" t="s">
        <v>4766</v>
      </c>
      <c r="G53" s="2" t="s">
        <v>98</v>
      </c>
      <c r="H53" s="4">
        <v>52</v>
      </c>
      <c r="I53" s="4">
        <v>24</v>
      </c>
      <c r="J53" s="4">
        <v>24</v>
      </c>
      <c r="K53" s="4">
        <v>24</v>
      </c>
      <c r="L53" s="4">
        <v>16</v>
      </c>
      <c r="M53" s="4">
        <v>44</v>
      </c>
      <c r="N53" s="4">
        <v>16</v>
      </c>
      <c r="O53" s="4">
        <v>100</v>
      </c>
      <c r="P53" s="4">
        <v>48</v>
      </c>
      <c r="Q53" s="4">
        <v>8</v>
      </c>
      <c r="R53" s="1">
        <f t="shared" si="3"/>
        <v>356</v>
      </c>
      <c r="S53" s="1">
        <f t="shared" si="4"/>
        <v>35.6</v>
      </c>
      <c r="T53" s="20">
        <f t="shared" si="5"/>
        <v>47</v>
      </c>
    </row>
    <row r="54" spans="1:20" ht="18" customHeight="1">
      <c r="A54" s="19">
        <v>48</v>
      </c>
      <c r="B54" s="2" t="s">
        <v>4770</v>
      </c>
      <c r="C54" s="1" t="s">
        <v>4771</v>
      </c>
      <c r="D54" s="3" t="s">
        <v>4772</v>
      </c>
      <c r="E54" s="1" t="s">
        <v>56</v>
      </c>
      <c r="F54" s="10" t="s">
        <v>4766</v>
      </c>
      <c r="G54" s="2" t="s">
        <v>97</v>
      </c>
      <c r="H54" s="4">
        <v>56</v>
      </c>
      <c r="I54" s="4">
        <v>12</v>
      </c>
      <c r="J54" s="4">
        <v>20</v>
      </c>
      <c r="K54" s="4">
        <v>4</v>
      </c>
      <c r="L54" s="4">
        <v>20</v>
      </c>
      <c r="M54" s="4">
        <v>53</v>
      </c>
      <c r="N54" s="4">
        <v>12</v>
      </c>
      <c r="O54" s="4">
        <v>100</v>
      </c>
      <c r="P54" s="4">
        <v>56</v>
      </c>
      <c r="Q54" s="4">
        <v>20</v>
      </c>
      <c r="R54" s="1">
        <f t="shared" si="3"/>
        <v>353</v>
      </c>
      <c r="S54" s="1">
        <f t="shared" si="4"/>
        <v>35.299999999999997</v>
      </c>
      <c r="T54" s="20">
        <f t="shared" si="5"/>
        <v>48</v>
      </c>
    </row>
    <row r="55" spans="1:20" ht="18" customHeight="1">
      <c r="A55" s="19">
        <v>49</v>
      </c>
      <c r="B55" s="2" t="s">
        <v>4841</v>
      </c>
      <c r="C55" s="1">
        <v>321260334</v>
      </c>
      <c r="D55" s="3" t="s">
        <v>4842</v>
      </c>
      <c r="E55" s="1" t="s">
        <v>90</v>
      </c>
      <c r="F55" s="10" t="s">
        <v>4766</v>
      </c>
      <c r="G55" s="2" t="s">
        <v>99</v>
      </c>
      <c r="H55" s="4">
        <v>48</v>
      </c>
      <c r="I55" s="4">
        <v>24</v>
      </c>
      <c r="J55" s="4">
        <v>24</v>
      </c>
      <c r="K55" s="4">
        <v>28</v>
      </c>
      <c r="L55" s="4">
        <v>24</v>
      </c>
      <c r="M55" s="4">
        <v>32</v>
      </c>
      <c r="N55" s="4">
        <v>20</v>
      </c>
      <c r="O55" s="4">
        <v>100</v>
      </c>
      <c r="P55" s="4">
        <v>40</v>
      </c>
      <c r="Q55" s="4">
        <v>12</v>
      </c>
      <c r="R55" s="1">
        <f t="shared" si="3"/>
        <v>352</v>
      </c>
      <c r="S55" s="1">
        <f t="shared" si="4"/>
        <v>35.200000000000003</v>
      </c>
      <c r="T55" s="20">
        <f t="shared" si="5"/>
        <v>49</v>
      </c>
    </row>
    <row r="56" spans="1:20" ht="18" customHeight="1">
      <c r="A56" s="19">
        <v>50</v>
      </c>
      <c r="B56" s="2" t="s">
        <v>4837</v>
      </c>
      <c r="C56" s="1">
        <v>321260332</v>
      </c>
      <c r="D56" s="3" t="s">
        <v>4838</v>
      </c>
      <c r="E56" s="1" t="s">
        <v>78</v>
      </c>
      <c r="F56" s="10" t="s">
        <v>4766</v>
      </c>
      <c r="G56" s="2" t="s">
        <v>99</v>
      </c>
      <c r="H56" s="4">
        <v>48</v>
      </c>
      <c r="I56" s="4">
        <v>52</v>
      </c>
      <c r="J56" s="4">
        <v>60</v>
      </c>
      <c r="K56" s="4">
        <v>16</v>
      </c>
      <c r="L56" s="4">
        <v>16</v>
      </c>
      <c r="M56" s="4">
        <v>28</v>
      </c>
      <c r="N56" s="4">
        <v>20</v>
      </c>
      <c r="O56" s="4">
        <v>72</v>
      </c>
      <c r="P56" s="4">
        <v>16</v>
      </c>
      <c r="Q56" s="4">
        <v>16</v>
      </c>
      <c r="R56" s="1">
        <f t="shared" si="3"/>
        <v>344</v>
      </c>
      <c r="S56" s="1">
        <f t="shared" si="4"/>
        <v>34.4</v>
      </c>
      <c r="T56" s="20">
        <f t="shared" si="5"/>
        <v>50</v>
      </c>
    </row>
    <row r="57" spans="1:20" ht="18" customHeight="1">
      <c r="A57" s="19">
        <v>51</v>
      </c>
      <c r="B57" s="2" t="s">
        <v>4849</v>
      </c>
      <c r="C57" s="1">
        <v>321260340</v>
      </c>
      <c r="D57" s="3" t="s">
        <v>4850</v>
      </c>
      <c r="E57" s="1" t="s">
        <v>82</v>
      </c>
      <c r="F57" s="10" t="s">
        <v>4766</v>
      </c>
      <c r="G57" s="2" t="s">
        <v>99</v>
      </c>
      <c r="H57" s="4">
        <v>36</v>
      </c>
      <c r="I57" s="4">
        <v>16</v>
      </c>
      <c r="J57" s="4">
        <v>16</v>
      </c>
      <c r="K57" s="4">
        <v>32</v>
      </c>
      <c r="L57" s="4">
        <v>36</v>
      </c>
      <c r="M57" s="4">
        <v>48</v>
      </c>
      <c r="N57" s="4">
        <v>40</v>
      </c>
      <c r="O57" s="4">
        <v>72</v>
      </c>
      <c r="P57" s="4">
        <v>28</v>
      </c>
      <c r="Q57" s="4">
        <v>20</v>
      </c>
      <c r="R57" s="1">
        <f t="shared" si="3"/>
        <v>344</v>
      </c>
      <c r="S57" s="1">
        <f t="shared" si="4"/>
        <v>34.4</v>
      </c>
      <c r="T57" s="20">
        <f t="shared" si="5"/>
        <v>50</v>
      </c>
    </row>
    <row r="58" spans="1:20" ht="18" customHeight="1">
      <c r="A58" s="19">
        <v>52</v>
      </c>
      <c r="B58" s="2" t="s">
        <v>4806</v>
      </c>
      <c r="C58" s="1">
        <v>321260307</v>
      </c>
      <c r="D58" s="3" t="s">
        <v>4807</v>
      </c>
      <c r="E58" s="1" t="s">
        <v>58</v>
      </c>
      <c r="F58" s="10" t="s">
        <v>4766</v>
      </c>
      <c r="G58" s="2" t="s">
        <v>98</v>
      </c>
      <c r="H58" s="4">
        <v>36</v>
      </c>
      <c r="I58" s="4">
        <v>4</v>
      </c>
      <c r="J58" s="4">
        <v>20</v>
      </c>
      <c r="K58" s="4">
        <v>20</v>
      </c>
      <c r="L58" s="4">
        <v>20</v>
      </c>
      <c r="M58" s="4">
        <v>36</v>
      </c>
      <c r="N58" s="4">
        <v>16</v>
      </c>
      <c r="O58" s="4">
        <v>88</v>
      </c>
      <c r="P58" s="4">
        <v>60</v>
      </c>
      <c r="Q58" s="4">
        <v>8</v>
      </c>
      <c r="R58" s="1">
        <f t="shared" si="3"/>
        <v>308</v>
      </c>
      <c r="S58" s="1">
        <f t="shared" si="4"/>
        <v>30.8</v>
      </c>
      <c r="T58" s="20">
        <f t="shared" si="5"/>
        <v>52</v>
      </c>
    </row>
    <row r="59" spans="1:20" ht="18" customHeight="1">
      <c r="A59" s="19">
        <v>53</v>
      </c>
      <c r="B59" s="2" t="s">
        <v>4767</v>
      </c>
      <c r="C59" s="1" t="s">
        <v>4768</v>
      </c>
      <c r="D59" s="3" t="s">
        <v>4769</v>
      </c>
      <c r="E59" s="1" t="s">
        <v>56</v>
      </c>
      <c r="F59" s="10" t="s">
        <v>4766</v>
      </c>
      <c r="G59" s="2" t="s">
        <v>97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1">
        <f t="shared" si="3"/>
        <v>0</v>
      </c>
      <c r="S59" s="1">
        <f t="shared" si="4"/>
        <v>0</v>
      </c>
      <c r="T59" s="20">
        <f t="shared" si="5"/>
        <v>53</v>
      </c>
    </row>
    <row r="60" spans="1:20" ht="18" customHeight="1">
      <c r="A60" s="19">
        <v>54</v>
      </c>
      <c r="B60" s="2" t="s">
        <v>4775</v>
      </c>
      <c r="C60" s="1">
        <v>321260287</v>
      </c>
      <c r="D60" s="3" t="s">
        <v>4776</v>
      </c>
      <c r="E60" s="1" t="s">
        <v>69</v>
      </c>
      <c r="F60" s="10" t="s">
        <v>4766</v>
      </c>
      <c r="G60" s="2" t="s">
        <v>97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1">
        <f t="shared" si="3"/>
        <v>0</v>
      </c>
      <c r="S60" s="1">
        <f t="shared" si="4"/>
        <v>0</v>
      </c>
      <c r="T60" s="20">
        <f t="shared" si="5"/>
        <v>53</v>
      </c>
    </row>
    <row r="61" spans="1:20" ht="18" customHeight="1">
      <c r="A61" s="19">
        <v>55</v>
      </c>
      <c r="B61" s="28" t="s">
        <v>4779</v>
      </c>
      <c r="C61" s="29">
        <v>321260288</v>
      </c>
      <c r="D61" s="30" t="s">
        <v>4780</v>
      </c>
      <c r="E61" s="29" t="s">
        <v>55</v>
      </c>
      <c r="F61" s="31" t="s">
        <v>4766</v>
      </c>
      <c r="G61" s="28" t="s">
        <v>97</v>
      </c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29">
        <f t="shared" si="3"/>
        <v>0</v>
      </c>
      <c r="S61" s="29">
        <f t="shared" si="4"/>
        <v>0</v>
      </c>
      <c r="T61" s="33">
        <f t="shared" si="5"/>
        <v>53</v>
      </c>
    </row>
  </sheetData>
  <mergeCells count="4">
    <mergeCell ref="A1:P1"/>
    <mergeCell ref="A2:P2"/>
    <mergeCell ref="A3:P3"/>
    <mergeCell ref="A5:B5"/>
  </mergeCells>
  <conditionalFormatting sqref="H7:Q7">
    <cfRule type="expression" dxfId="1338" priority="219">
      <formula>5</formula>
    </cfRule>
    <cfRule type="cellIs" dxfId="1337" priority="220" operator="lessThan">
      <formula>5</formula>
    </cfRule>
  </conditionalFormatting>
  <conditionalFormatting sqref="H7:Q7">
    <cfRule type="cellIs" dxfId="1336" priority="218" operator="lessThan">
      <formula>50</formula>
    </cfRule>
  </conditionalFormatting>
  <conditionalFormatting sqref="S7">
    <cfRule type="cellIs" dxfId="1335" priority="217" operator="lessThan">
      <formula>50</formula>
    </cfRule>
  </conditionalFormatting>
  <conditionalFormatting sqref="H8:Q8">
    <cfRule type="expression" dxfId="1334" priority="215">
      <formula>5</formula>
    </cfRule>
    <cfRule type="cellIs" dxfId="1333" priority="216" operator="lessThan">
      <formula>5</formula>
    </cfRule>
  </conditionalFormatting>
  <conditionalFormatting sqref="H8:Q8">
    <cfRule type="cellIs" dxfId="1332" priority="214" operator="lessThan">
      <formula>50</formula>
    </cfRule>
  </conditionalFormatting>
  <conditionalFormatting sqref="S8">
    <cfRule type="cellIs" dxfId="1331" priority="213" operator="lessThan">
      <formula>50</formula>
    </cfRule>
  </conditionalFormatting>
  <conditionalFormatting sqref="H9:Q9">
    <cfRule type="expression" dxfId="1330" priority="211">
      <formula>5</formula>
    </cfRule>
    <cfRule type="cellIs" dxfId="1329" priority="212" operator="lessThan">
      <formula>5</formula>
    </cfRule>
  </conditionalFormatting>
  <conditionalFormatting sqref="H9:Q9">
    <cfRule type="cellIs" dxfId="1328" priority="210" operator="lessThan">
      <formula>50</formula>
    </cfRule>
  </conditionalFormatting>
  <conditionalFormatting sqref="S9">
    <cfRule type="cellIs" dxfId="1327" priority="209" operator="lessThan">
      <formula>50</formula>
    </cfRule>
  </conditionalFormatting>
  <conditionalFormatting sqref="H10:Q10">
    <cfRule type="expression" dxfId="1326" priority="207">
      <formula>5</formula>
    </cfRule>
    <cfRule type="cellIs" dxfId="1325" priority="208" operator="lessThan">
      <formula>5</formula>
    </cfRule>
  </conditionalFormatting>
  <conditionalFormatting sqref="H10:Q10">
    <cfRule type="cellIs" dxfId="1324" priority="206" operator="lessThan">
      <formula>50</formula>
    </cfRule>
  </conditionalFormatting>
  <conditionalFormatting sqref="S10">
    <cfRule type="cellIs" dxfId="1323" priority="205" operator="lessThan">
      <formula>50</formula>
    </cfRule>
  </conditionalFormatting>
  <conditionalFormatting sqref="H11:Q11">
    <cfRule type="expression" dxfId="1322" priority="203">
      <formula>5</formula>
    </cfRule>
    <cfRule type="cellIs" dxfId="1321" priority="204" operator="lessThan">
      <formula>5</formula>
    </cfRule>
  </conditionalFormatting>
  <conditionalFormatting sqref="H11:Q11">
    <cfRule type="cellIs" dxfId="1320" priority="202" operator="lessThan">
      <formula>50</formula>
    </cfRule>
  </conditionalFormatting>
  <conditionalFormatting sqref="S11">
    <cfRule type="cellIs" dxfId="1319" priority="201" operator="lessThan">
      <formula>50</formula>
    </cfRule>
  </conditionalFormatting>
  <conditionalFormatting sqref="H12:Q12">
    <cfRule type="expression" dxfId="1318" priority="199">
      <formula>5</formula>
    </cfRule>
    <cfRule type="cellIs" dxfId="1317" priority="200" operator="lessThan">
      <formula>5</formula>
    </cfRule>
  </conditionalFormatting>
  <conditionalFormatting sqref="H12:Q12">
    <cfRule type="cellIs" dxfId="1316" priority="198" operator="lessThan">
      <formula>50</formula>
    </cfRule>
  </conditionalFormatting>
  <conditionalFormatting sqref="S12">
    <cfRule type="cellIs" dxfId="1315" priority="197" operator="lessThan">
      <formula>50</formula>
    </cfRule>
  </conditionalFormatting>
  <conditionalFormatting sqref="H13:Q13">
    <cfRule type="expression" dxfId="1314" priority="195">
      <formula>5</formula>
    </cfRule>
    <cfRule type="cellIs" dxfId="1313" priority="196" operator="lessThan">
      <formula>5</formula>
    </cfRule>
  </conditionalFormatting>
  <conditionalFormatting sqref="H13:Q13">
    <cfRule type="cellIs" dxfId="1312" priority="194" operator="lessThan">
      <formula>50</formula>
    </cfRule>
  </conditionalFormatting>
  <conditionalFormatting sqref="S13">
    <cfRule type="cellIs" dxfId="1311" priority="193" operator="lessThan">
      <formula>50</formula>
    </cfRule>
  </conditionalFormatting>
  <conditionalFormatting sqref="H14:Q14">
    <cfRule type="expression" dxfId="1310" priority="191">
      <formula>5</formula>
    </cfRule>
    <cfRule type="cellIs" dxfId="1309" priority="192" operator="lessThan">
      <formula>5</formula>
    </cfRule>
  </conditionalFormatting>
  <conditionalFormatting sqref="H14:Q14">
    <cfRule type="cellIs" dxfId="1308" priority="190" operator="lessThan">
      <formula>50</formula>
    </cfRule>
  </conditionalFormatting>
  <conditionalFormatting sqref="S14">
    <cfRule type="cellIs" dxfId="1307" priority="189" operator="lessThan">
      <formula>50</formula>
    </cfRule>
  </conditionalFormatting>
  <conditionalFormatting sqref="H15:Q15">
    <cfRule type="expression" dxfId="1306" priority="187">
      <formula>5</formula>
    </cfRule>
    <cfRule type="cellIs" dxfId="1305" priority="188" operator="lessThan">
      <formula>5</formula>
    </cfRule>
  </conditionalFormatting>
  <conditionalFormatting sqref="H15:Q15">
    <cfRule type="cellIs" dxfId="1304" priority="186" operator="lessThan">
      <formula>50</formula>
    </cfRule>
  </conditionalFormatting>
  <conditionalFormatting sqref="S15">
    <cfRule type="cellIs" dxfId="1303" priority="185" operator="lessThan">
      <formula>50</formula>
    </cfRule>
  </conditionalFormatting>
  <conditionalFormatting sqref="H16:Q16">
    <cfRule type="expression" dxfId="1302" priority="183">
      <formula>5</formula>
    </cfRule>
    <cfRule type="cellIs" dxfId="1301" priority="184" operator="lessThan">
      <formula>5</formula>
    </cfRule>
  </conditionalFormatting>
  <conditionalFormatting sqref="H16:Q16">
    <cfRule type="cellIs" dxfId="1300" priority="182" operator="lessThan">
      <formula>50</formula>
    </cfRule>
  </conditionalFormatting>
  <conditionalFormatting sqref="S16">
    <cfRule type="cellIs" dxfId="1299" priority="181" operator="lessThan">
      <formula>50</formula>
    </cfRule>
  </conditionalFormatting>
  <conditionalFormatting sqref="H17:Q17">
    <cfRule type="expression" dxfId="1298" priority="179">
      <formula>5</formula>
    </cfRule>
    <cfRule type="cellIs" dxfId="1297" priority="180" operator="lessThan">
      <formula>5</formula>
    </cfRule>
  </conditionalFormatting>
  <conditionalFormatting sqref="H17:Q17">
    <cfRule type="cellIs" dxfId="1296" priority="178" operator="lessThan">
      <formula>50</formula>
    </cfRule>
  </conditionalFormatting>
  <conditionalFormatting sqref="S17">
    <cfRule type="cellIs" dxfId="1295" priority="177" operator="lessThan">
      <formula>50</formula>
    </cfRule>
  </conditionalFormatting>
  <conditionalFormatting sqref="H18:Q18">
    <cfRule type="expression" dxfId="1294" priority="175">
      <formula>5</formula>
    </cfRule>
    <cfRule type="cellIs" dxfId="1293" priority="176" operator="lessThan">
      <formula>5</formula>
    </cfRule>
  </conditionalFormatting>
  <conditionalFormatting sqref="H18:Q18">
    <cfRule type="cellIs" dxfId="1292" priority="174" operator="lessThan">
      <formula>50</formula>
    </cfRule>
  </conditionalFormatting>
  <conditionalFormatting sqref="S18">
    <cfRule type="cellIs" dxfId="1291" priority="173" operator="lessThan">
      <formula>50</formula>
    </cfRule>
  </conditionalFormatting>
  <conditionalFormatting sqref="H19:Q19">
    <cfRule type="expression" dxfId="1290" priority="171">
      <formula>5</formula>
    </cfRule>
    <cfRule type="cellIs" dxfId="1289" priority="172" operator="lessThan">
      <formula>5</formula>
    </cfRule>
  </conditionalFormatting>
  <conditionalFormatting sqref="H19:Q19">
    <cfRule type="cellIs" dxfId="1288" priority="170" operator="lessThan">
      <formula>50</formula>
    </cfRule>
  </conditionalFormatting>
  <conditionalFormatting sqref="S19">
    <cfRule type="cellIs" dxfId="1287" priority="169" operator="lessThan">
      <formula>50</formula>
    </cfRule>
  </conditionalFormatting>
  <conditionalFormatting sqref="H20:Q20">
    <cfRule type="expression" dxfId="1286" priority="167">
      <formula>5</formula>
    </cfRule>
    <cfRule type="cellIs" dxfId="1285" priority="168" operator="lessThan">
      <formula>5</formula>
    </cfRule>
  </conditionalFormatting>
  <conditionalFormatting sqref="H20:Q20">
    <cfRule type="cellIs" dxfId="1284" priority="166" operator="lessThan">
      <formula>50</formula>
    </cfRule>
  </conditionalFormatting>
  <conditionalFormatting sqref="S20">
    <cfRule type="cellIs" dxfId="1283" priority="165" operator="lessThan">
      <formula>50</formula>
    </cfRule>
  </conditionalFormatting>
  <conditionalFormatting sqref="H21:Q21">
    <cfRule type="expression" dxfId="1282" priority="163">
      <formula>5</formula>
    </cfRule>
    <cfRule type="cellIs" dxfId="1281" priority="164" operator="lessThan">
      <formula>5</formula>
    </cfRule>
  </conditionalFormatting>
  <conditionalFormatting sqref="H21:Q21">
    <cfRule type="cellIs" dxfId="1280" priority="162" operator="lessThan">
      <formula>50</formula>
    </cfRule>
  </conditionalFormatting>
  <conditionalFormatting sqref="S21">
    <cfRule type="cellIs" dxfId="1279" priority="161" operator="lessThan">
      <formula>50</formula>
    </cfRule>
  </conditionalFormatting>
  <conditionalFormatting sqref="H22:Q22">
    <cfRule type="expression" dxfId="1278" priority="159">
      <formula>5</formula>
    </cfRule>
    <cfRule type="cellIs" dxfId="1277" priority="160" operator="lessThan">
      <formula>5</formula>
    </cfRule>
  </conditionalFormatting>
  <conditionalFormatting sqref="H22:Q22">
    <cfRule type="cellIs" dxfId="1276" priority="158" operator="lessThan">
      <formula>50</formula>
    </cfRule>
  </conditionalFormatting>
  <conditionalFormatting sqref="S22">
    <cfRule type="cellIs" dxfId="1275" priority="157" operator="lessThan">
      <formula>50</formula>
    </cfRule>
  </conditionalFormatting>
  <conditionalFormatting sqref="H23:Q23">
    <cfRule type="expression" dxfId="1274" priority="155">
      <formula>5</formula>
    </cfRule>
    <cfRule type="cellIs" dxfId="1273" priority="156" operator="lessThan">
      <formula>5</formula>
    </cfRule>
  </conditionalFormatting>
  <conditionalFormatting sqref="H23:Q23">
    <cfRule type="cellIs" dxfId="1272" priority="154" operator="lessThan">
      <formula>50</formula>
    </cfRule>
  </conditionalFormatting>
  <conditionalFormatting sqref="S23">
    <cfRule type="cellIs" dxfId="1271" priority="153" operator="lessThan">
      <formula>50</formula>
    </cfRule>
  </conditionalFormatting>
  <conditionalFormatting sqref="H24:Q24">
    <cfRule type="expression" dxfId="1270" priority="151">
      <formula>5</formula>
    </cfRule>
    <cfRule type="cellIs" dxfId="1269" priority="152" operator="lessThan">
      <formula>5</formula>
    </cfRule>
  </conditionalFormatting>
  <conditionalFormatting sqref="H24:Q24">
    <cfRule type="cellIs" dxfId="1268" priority="150" operator="lessThan">
      <formula>50</formula>
    </cfRule>
  </conditionalFormatting>
  <conditionalFormatting sqref="S24">
    <cfRule type="cellIs" dxfId="1267" priority="149" operator="lessThan">
      <formula>50</formula>
    </cfRule>
  </conditionalFormatting>
  <conditionalFormatting sqref="H25:Q25">
    <cfRule type="expression" dxfId="1266" priority="147">
      <formula>5</formula>
    </cfRule>
    <cfRule type="cellIs" dxfId="1265" priority="148" operator="lessThan">
      <formula>5</formula>
    </cfRule>
  </conditionalFormatting>
  <conditionalFormatting sqref="H25:Q25">
    <cfRule type="cellIs" dxfId="1264" priority="146" operator="lessThan">
      <formula>50</formula>
    </cfRule>
  </conditionalFormatting>
  <conditionalFormatting sqref="S25">
    <cfRule type="cellIs" dxfId="1263" priority="145" operator="lessThan">
      <formula>50</formula>
    </cfRule>
  </conditionalFormatting>
  <conditionalFormatting sqref="H26:Q26">
    <cfRule type="expression" dxfId="1262" priority="143">
      <formula>5</formula>
    </cfRule>
    <cfRule type="cellIs" dxfId="1261" priority="144" operator="lessThan">
      <formula>5</formula>
    </cfRule>
  </conditionalFormatting>
  <conditionalFormatting sqref="H26:Q26">
    <cfRule type="cellIs" dxfId="1260" priority="142" operator="lessThan">
      <formula>50</formula>
    </cfRule>
  </conditionalFormatting>
  <conditionalFormatting sqref="S26">
    <cfRule type="cellIs" dxfId="1259" priority="141" operator="lessThan">
      <formula>50</formula>
    </cfRule>
  </conditionalFormatting>
  <conditionalFormatting sqref="H27:Q27">
    <cfRule type="expression" dxfId="1258" priority="139">
      <formula>5</formula>
    </cfRule>
    <cfRule type="cellIs" dxfId="1257" priority="140" operator="lessThan">
      <formula>5</formula>
    </cfRule>
  </conditionalFormatting>
  <conditionalFormatting sqref="H27:Q27">
    <cfRule type="cellIs" dxfId="1256" priority="138" operator="lessThan">
      <formula>50</formula>
    </cfRule>
  </conditionalFormatting>
  <conditionalFormatting sqref="S27">
    <cfRule type="cellIs" dxfId="1255" priority="137" operator="lessThan">
      <formula>50</formula>
    </cfRule>
  </conditionalFormatting>
  <conditionalFormatting sqref="H28:Q28">
    <cfRule type="expression" dxfId="1254" priority="135">
      <formula>5</formula>
    </cfRule>
    <cfRule type="cellIs" dxfId="1253" priority="136" operator="lessThan">
      <formula>5</formula>
    </cfRule>
  </conditionalFormatting>
  <conditionalFormatting sqref="H28:Q28">
    <cfRule type="cellIs" dxfId="1252" priority="134" operator="lessThan">
      <formula>50</formula>
    </cfRule>
  </conditionalFormatting>
  <conditionalFormatting sqref="S28">
    <cfRule type="cellIs" dxfId="1251" priority="133" operator="lessThan">
      <formula>50</formula>
    </cfRule>
  </conditionalFormatting>
  <conditionalFormatting sqref="H29:Q29">
    <cfRule type="expression" dxfId="1250" priority="131">
      <formula>5</formula>
    </cfRule>
    <cfRule type="cellIs" dxfId="1249" priority="132" operator="lessThan">
      <formula>5</formula>
    </cfRule>
  </conditionalFormatting>
  <conditionalFormatting sqref="H29:Q29">
    <cfRule type="cellIs" dxfId="1248" priority="130" operator="lessThan">
      <formula>50</formula>
    </cfRule>
  </conditionalFormatting>
  <conditionalFormatting sqref="S29">
    <cfRule type="cellIs" dxfId="1247" priority="129" operator="lessThan">
      <formula>50</formula>
    </cfRule>
  </conditionalFormatting>
  <conditionalFormatting sqref="H30:Q30">
    <cfRule type="expression" dxfId="1246" priority="127">
      <formula>5</formula>
    </cfRule>
    <cfRule type="cellIs" dxfId="1245" priority="128" operator="lessThan">
      <formula>5</formula>
    </cfRule>
  </conditionalFormatting>
  <conditionalFormatting sqref="H30:Q30">
    <cfRule type="cellIs" dxfId="1244" priority="126" operator="lessThan">
      <formula>50</formula>
    </cfRule>
  </conditionalFormatting>
  <conditionalFormatting sqref="S30">
    <cfRule type="cellIs" dxfId="1243" priority="125" operator="lessThan">
      <formula>50</formula>
    </cfRule>
  </conditionalFormatting>
  <conditionalFormatting sqref="H31:Q31">
    <cfRule type="expression" dxfId="1242" priority="123">
      <formula>5</formula>
    </cfRule>
    <cfRule type="cellIs" dxfId="1241" priority="124" operator="lessThan">
      <formula>5</formula>
    </cfRule>
  </conditionalFormatting>
  <conditionalFormatting sqref="H31:Q31">
    <cfRule type="cellIs" dxfId="1240" priority="122" operator="lessThan">
      <formula>50</formula>
    </cfRule>
  </conditionalFormatting>
  <conditionalFormatting sqref="S31">
    <cfRule type="cellIs" dxfId="1239" priority="121" operator="lessThan">
      <formula>50</formula>
    </cfRule>
  </conditionalFormatting>
  <conditionalFormatting sqref="H32:Q32">
    <cfRule type="expression" dxfId="1238" priority="119">
      <formula>5</formula>
    </cfRule>
    <cfRule type="cellIs" dxfId="1237" priority="120" operator="lessThan">
      <formula>5</formula>
    </cfRule>
  </conditionalFormatting>
  <conditionalFormatting sqref="H32:Q32">
    <cfRule type="cellIs" dxfId="1236" priority="118" operator="lessThan">
      <formula>50</formula>
    </cfRule>
  </conditionalFormatting>
  <conditionalFormatting sqref="S32">
    <cfRule type="cellIs" dxfId="1235" priority="117" operator="lessThan">
      <formula>50</formula>
    </cfRule>
  </conditionalFormatting>
  <conditionalFormatting sqref="H33:Q33">
    <cfRule type="expression" dxfId="1234" priority="115">
      <formula>5</formula>
    </cfRule>
    <cfRule type="cellIs" dxfId="1233" priority="116" operator="lessThan">
      <formula>5</formula>
    </cfRule>
  </conditionalFormatting>
  <conditionalFormatting sqref="H33:Q33">
    <cfRule type="cellIs" dxfId="1232" priority="114" operator="lessThan">
      <formula>50</formula>
    </cfRule>
  </conditionalFormatting>
  <conditionalFormatting sqref="S33">
    <cfRule type="cellIs" dxfId="1231" priority="113" operator="lessThan">
      <formula>50</formula>
    </cfRule>
  </conditionalFormatting>
  <conditionalFormatting sqref="H34:Q34">
    <cfRule type="expression" dxfId="1230" priority="111">
      <formula>5</formula>
    </cfRule>
    <cfRule type="cellIs" dxfId="1229" priority="112" operator="lessThan">
      <formula>5</formula>
    </cfRule>
  </conditionalFormatting>
  <conditionalFormatting sqref="H34:Q34">
    <cfRule type="cellIs" dxfId="1228" priority="110" operator="lessThan">
      <formula>50</formula>
    </cfRule>
  </conditionalFormatting>
  <conditionalFormatting sqref="S34">
    <cfRule type="cellIs" dxfId="1227" priority="109" operator="lessThan">
      <formula>50</formula>
    </cfRule>
  </conditionalFormatting>
  <conditionalFormatting sqref="H35:Q35">
    <cfRule type="expression" dxfId="1226" priority="107">
      <formula>5</formula>
    </cfRule>
    <cfRule type="cellIs" dxfId="1225" priority="108" operator="lessThan">
      <formula>5</formula>
    </cfRule>
  </conditionalFormatting>
  <conditionalFormatting sqref="H35:Q35">
    <cfRule type="cellIs" dxfId="1224" priority="106" operator="lessThan">
      <formula>50</formula>
    </cfRule>
  </conditionalFormatting>
  <conditionalFormatting sqref="S35">
    <cfRule type="cellIs" dxfId="1223" priority="105" operator="lessThan">
      <formula>50</formula>
    </cfRule>
  </conditionalFormatting>
  <conditionalFormatting sqref="H36:Q36">
    <cfRule type="expression" dxfId="1222" priority="103">
      <formula>5</formula>
    </cfRule>
    <cfRule type="cellIs" dxfId="1221" priority="104" operator="lessThan">
      <formula>5</formula>
    </cfRule>
  </conditionalFormatting>
  <conditionalFormatting sqref="H36:Q36">
    <cfRule type="cellIs" dxfId="1220" priority="102" operator="lessThan">
      <formula>50</formula>
    </cfRule>
  </conditionalFormatting>
  <conditionalFormatting sqref="S36">
    <cfRule type="cellIs" dxfId="1219" priority="101" operator="lessThan">
      <formula>50</formula>
    </cfRule>
  </conditionalFormatting>
  <conditionalFormatting sqref="H37:Q37">
    <cfRule type="expression" dxfId="1218" priority="99">
      <formula>5</formula>
    </cfRule>
    <cfRule type="cellIs" dxfId="1217" priority="100" operator="lessThan">
      <formula>5</formula>
    </cfRule>
  </conditionalFormatting>
  <conditionalFormatting sqref="H37:Q37">
    <cfRule type="cellIs" dxfId="1216" priority="98" operator="lessThan">
      <formula>50</formula>
    </cfRule>
  </conditionalFormatting>
  <conditionalFormatting sqref="S37">
    <cfRule type="cellIs" dxfId="1215" priority="97" operator="lessThan">
      <formula>50</formula>
    </cfRule>
  </conditionalFormatting>
  <conditionalFormatting sqref="H38:Q38">
    <cfRule type="expression" dxfId="1214" priority="95">
      <formula>5</formula>
    </cfRule>
    <cfRule type="cellIs" dxfId="1213" priority="96" operator="lessThan">
      <formula>5</formula>
    </cfRule>
  </conditionalFormatting>
  <conditionalFormatting sqref="H38:Q38">
    <cfRule type="cellIs" dxfId="1212" priority="94" operator="lessThan">
      <formula>50</formula>
    </cfRule>
  </conditionalFormatting>
  <conditionalFormatting sqref="S38">
    <cfRule type="cellIs" dxfId="1211" priority="93" operator="lessThan">
      <formula>50</formula>
    </cfRule>
  </conditionalFormatting>
  <conditionalFormatting sqref="H39:Q39">
    <cfRule type="expression" dxfId="1210" priority="91">
      <formula>5</formula>
    </cfRule>
    <cfRule type="cellIs" dxfId="1209" priority="92" operator="lessThan">
      <formula>5</formula>
    </cfRule>
  </conditionalFormatting>
  <conditionalFormatting sqref="H39:Q39">
    <cfRule type="cellIs" dxfId="1208" priority="90" operator="lessThan">
      <formula>50</formula>
    </cfRule>
  </conditionalFormatting>
  <conditionalFormatting sqref="S39">
    <cfRule type="cellIs" dxfId="1207" priority="89" operator="lessThan">
      <formula>50</formula>
    </cfRule>
  </conditionalFormatting>
  <conditionalFormatting sqref="H40:Q40">
    <cfRule type="expression" dxfId="1206" priority="87">
      <formula>5</formula>
    </cfRule>
    <cfRule type="cellIs" dxfId="1205" priority="88" operator="lessThan">
      <formula>5</formula>
    </cfRule>
  </conditionalFormatting>
  <conditionalFormatting sqref="H40:Q40">
    <cfRule type="cellIs" dxfId="1204" priority="86" operator="lessThan">
      <formula>50</formula>
    </cfRule>
  </conditionalFormatting>
  <conditionalFormatting sqref="S40">
    <cfRule type="cellIs" dxfId="1203" priority="85" operator="lessThan">
      <formula>50</formula>
    </cfRule>
  </conditionalFormatting>
  <conditionalFormatting sqref="H41:Q41">
    <cfRule type="expression" dxfId="1202" priority="83">
      <formula>5</formula>
    </cfRule>
    <cfRule type="cellIs" dxfId="1201" priority="84" operator="lessThan">
      <formula>5</formula>
    </cfRule>
  </conditionalFormatting>
  <conditionalFormatting sqref="H41:Q41">
    <cfRule type="cellIs" dxfId="1200" priority="82" operator="lessThan">
      <formula>50</formula>
    </cfRule>
  </conditionalFormatting>
  <conditionalFormatting sqref="S41">
    <cfRule type="cellIs" dxfId="1199" priority="81" operator="lessThan">
      <formula>50</formula>
    </cfRule>
  </conditionalFormatting>
  <conditionalFormatting sqref="H42:Q42">
    <cfRule type="expression" dxfId="1198" priority="79">
      <formula>5</formula>
    </cfRule>
    <cfRule type="cellIs" dxfId="1197" priority="80" operator="lessThan">
      <formula>5</formula>
    </cfRule>
  </conditionalFormatting>
  <conditionalFormatting sqref="H42:Q42">
    <cfRule type="cellIs" dxfId="1196" priority="78" operator="lessThan">
      <formula>50</formula>
    </cfRule>
  </conditionalFormatting>
  <conditionalFormatting sqref="S42">
    <cfRule type="cellIs" dxfId="1195" priority="77" operator="lessThan">
      <formula>50</formula>
    </cfRule>
  </conditionalFormatting>
  <conditionalFormatting sqref="H43:Q43">
    <cfRule type="expression" dxfId="1194" priority="75">
      <formula>5</formula>
    </cfRule>
    <cfRule type="cellIs" dxfId="1193" priority="76" operator="lessThan">
      <formula>5</formula>
    </cfRule>
  </conditionalFormatting>
  <conditionalFormatting sqref="H43:Q43">
    <cfRule type="cellIs" dxfId="1192" priority="74" operator="lessThan">
      <formula>50</formula>
    </cfRule>
  </conditionalFormatting>
  <conditionalFormatting sqref="S43">
    <cfRule type="cellIs" dxfId="1191" priority="73" operator="lessThan">
      <formula>50</formula>
    </cfRule>
  </conditionalFormatting>
  <conditionalFormatting sqref="H44:Q44">
    <cfRule type="expression" dxfId="1190" priority="71">
      <formula>5</formula>
    </cfRule>
    <cfRule type="cellIs" dxfId="1189" priority="72" operator="lessThan">
      <formula>5</formula>
    </cfRule>
  </conditionalFormatting>
  <conditionalFormatting sqref="H44:Q44">
    <cfRule type="cellIs" dxfId="1188" priority="70" operator="lessThan">
      <formula>50</formula>
    </cfRule>
  </conditionalFormatting>
  <conditionalFormatting sqref="S44">
    <cfRule type="cellIs" dxfId="1187" priority="69" operator="lessThan">
      <formula>50</formula>
    </cfRule>
  </conditionalFormatting>
  <conditionalFormatting sqref="H45:Q45">
    <cfRule type="expression" dxfId="1186" priority="67">
      <formula>5</formula>
    </cfRule>
    <cfRule type="cellIs" dxfId="1185" priority="68" operator="lessThan">
      <formula>5</formula>
    </cfRule>
  </conditionalFormatting>
  <conditionalFormatting sqref="H45:Q45">
    <cfRule type="cellIs" dxfId="1184" priority="66" operator="lessThan">
      <formula>50</formula>
    </cfRule>
  </conditionalFormatting>
  <conditionalFormatting sqref="S45">
    <cfRule type="cellIs" dxfId="1183" priority="65" operator="lessThan">
      <formula>50</formula>
    </cfRule>
  </conditionalFormatting>
  <conditionalFormatting sqref="H46:Q46">
    <cfRule type="expression" dxfId="1182" priority="63">
      <formula>5</formula>
    </cfRule>
    <cfRule type="cellIs" dxfId="1181" priority="64" operator="lessThan">
      <formula>5</formula>
    </cfRule>
  </conditionalFormatting>
  <conditionalFormatting sqref="H46:Q46">
    <cfRule type="cellIs" dxfId="1180" priority="62" operator="lessThan">
      <formula>50</formula>
    </cfRule>
  </conditionalFormatting>
  <conditionalFormatting sqref="S46">
    <cfRule type="cellIs" dxfId="1179" priority="61" operator="lessThan">
      <formula>50</formula>
    </cfRule>
  </conditionalFormatting>
  <conditionalFormatting sqref="H47:Q47">
    <cfRule type="expression" dxfId="1178" priority="59">
      <formula>5</formula>
    </cfRule>
    <cfRule type="cellIs" dxfId="1177" priority="60" operator="lessThan">
      <formula>5</formula>
    </cfRule>
  </conditionalFormatting>
  <conditionalFormatting sqref="H47:Q47">
    <cfRule type="cellIs" dxfId="1176" priority="58" operator="lessThan">
      <formula>50</formula>
    </cfRule>
  </conditionalFormatting>
  <conditionalFormatting sqref="S47">
    <cfRule type="cellIs" dxfId="1175" priority="57" operator="lessThan">
      <formula>50</formula>
    </cfRule>
  </conditionalFormatting>
  <conditionalFormatting sqref="H48:Q48">
    <cfRule type="expression" dxfId="1174" priority="55">
      <formula>5</formula>
    </cfRule>
    <cfRule type="cellIs" dxfId="1173" priority="56" operator="lessThan">
      <formula>5</formula>
    </cfRule>
  </conditionalFormatting>
  <conditionalFormatting sqref="H48:Q48">
    <cfRule type="cellIs" dxfId="1172" priority="54" operator="lessThan">
      <formula>50</formula>
    </cfRule>
  </conditionalFormatting>
  <conditionalFormatting sqref="S48">
    <cfRule type="cellIs" dxfId="1171" priority="53" operator="lessThan">
      <formula>50</formula>
    </cfRule>
  </conditionalFormatting>
  <conditionalFormatting sqref="H49:Q49">
    <cfRule type="expression" dxfId="1170" priority="51">
      <formula>5</formula>
    </cfRule>
    <cfRule type="cellIs" dxfId="1169" priority="52" operator="lessThan">
      <formula>5</formula>
    </cfRule>
  </conditionalFormatting>
  <conditionalFormatting sqref="H49:Q49">
    <cfRule type="cellIs" dxfId="1168" priority="50" operator="lessThan">
      <formula>50</formula>
    </cfRule>
  </conditionalFormatting>
  <conditionalFormatting sqref="S49">
    <cfRule type="cellIs" dxfId="1167" priority="49" operator="lessThan">
      <formula>50</formula>
    </cfRule>
  </conditionalFormatting>
  <conditionalFormatting sqref="H50:Q50">
    <cfRule type="expression" dxfId="1166" priority="47">
      <formula>5</formula>
    </cfRule>
    <cfRule type="cellIs" dxfId="1165" priority="48" operator="lessThan">
      <formula>5</formula>
    </cfRule>
  </conditionalFormatting>
  <conditionalFormatting sqref="H50:Q50">
    <cfRule type="cellIs" dxfId="1164" priority="46" operator="lessThan">
      <formula>50</formula>
    </cfRule>
  </conditionalFormatting>
  <conditionalFormatting sqref="S50">
    <cfRule type="cellIs" dxfId="1163" priority="45" operator="lessThan">
      <formula>50</formula>
    </cfRule>
  </conditionalFormatting>
  <conditionalFormatting sqref="H51:Q51">
    <cfRule type="expression" dxfId="1162" priority="43">
      <formula>5</formula>
    </cfRule>
    <cfRule type="cellIs" dxfId="1161" priority="44" operator="lessThan">
      <formula>5</formula>
    </cfRule>
  </conditionalFormatting>
  <conditionalFormatting sqref="H51:Q51">
    <cfRule type="cellIs" dxfId="1160" priority="42" operator="lessThan">
      <formula>50</formula>
    </cfRule>
  </conditionalFormatting>
  <conditionalFormatting sqref="S51">
    <cfRule type="cellIs" dxfId="1159" priority="41" operator="lessThan">
      <formula>50</formula>
    </cfRule>
  </conditionalFormatting>
  <conditionalFormatting sqref="H52:Q52">
    <cfRule type="expression" dxfId="1158" priority="39">
      <formula>5</formula>
    </cfRule>
    <cfRule type="cellIs" dxfId="1157" priority="40" operator="lessThan">
      <formula>5</formula>
    </cfRule>
  </conditionalFormatting>
  <conditionalFormatting sqref="H52:Q52">
    <cfRule type="cellIs" dxfId="1156" priority="38" operator="lessThan">
      <formula>50</formula>
    </cfRule>
  </conditionalFormatting>
  <conditionalFormatting sqref="S52">
    <cfRule type="cellIs" dxfId="1155" priority="37" operator="lessThan">
      <formula>50</formula>
    </cfRule>
  </conditionalFormatting>
  <conditionalFormatting sqref="H53:Q53">
    <cfRule type="expression" dxfId="1154" priority="35">
      <formula>5</formula>
    </cfRule>
    <cfRule type="cellIs" dxfId="1153" priority="36" operator="lessThan">
      <formula>5</formula>
    </cfRule>
  </conditionalFormatting>
  <conditionalFormatting sqref="H53:Q53">
    <cfRule type="cellIs" dxfId="1152" priority="34" operator="lessThan">
      <formula>50</formula>
    </cfRule>
  </conditionalFormatting>
  <conditionalFormatting sqref="S53">
    <cfRule type="cellIs" dxfId="1151" priority="33" operator="lessThan">
      <formula>50</formula>
    </cfRule>
  </conditionalFormatting>
  <conditionalFormatting sqref="H54:Q54">
    <cfRule type="expression" dxfId="1150" priority="31">
      <formula>5</formula>
    </cfRule>
    <cfRule type="cellIs" dxfId="1149" priority="32" operator="lessThan">
      <formula>5</formula>
    </cfRule>
  </conditionalFormatting>
  <conditionalFormatting sqref="H54:Q54">
    <cfRule type="cellIs" dxfId="1148" priority="30" operator="lessThan">
      <formula>50</formula>
    </cfRule>
  </conditionalFormatting>
  <conditionalFormatting sqref="S54">
    <cfRule type="cellIs" dxfId="1147" priority="29" operator="lessThan">
      <formula>50</formula>
    </cfRule>
  </conditionalFormatting>
  <conditionalFormatting sqref="H55:Q55">
    <cfRule type="expression" dxfId="1146" priority="27">
      <formula>5</formula>
    </cfRule>
    <cfRule type="cellIs" dxfId="1145" priority="28" operator="lessThan">
      <formula>5</formula>
    </cfRule>
  </conditionalFormatting>
  <conditionalFormatting sqref="H55:Q55">
    <cfRule type="cellIs" dxfId="1144" priority="26" operator="lessThan">
      <formula>50</formula>
    </cfRule>
  </conditionalFormatting>
  <conditionalFormatting sqref="S55">
    <cfRule type="cellIs" dxfId="1143" priority="25" operator="lessThan">
      <formula>50</formula>
    </cfRule>
  </conditionalFormatting>
  <conditionalFormatting sqref="H56:Q56">
    <cfRule type="expression" dxfId="1142" priority="23">
      <formula>5</formula>
    </cfRule>
    <cfRule type="cellIs" dxfId="1141" priority="24" operator="lessThan">
      <formula>5</formula>
    </cfRule>
  </conditionalFormatting>
  <conditionalFormatting sqref="H56:Q56">
    <cfRule type="cellIs" dxfId="1140" priority="22" operator="lessThan">
      <formula>50</formula>
    </cfRule>
  </conditionalFormatting>
  <conditionalFormatting sqref="S56">
    <cfRule type="cellIs" dxfId="1139" priority="21" operator="lessThan">
      <formula>50</formula>
    </cfRule>
  </conditionalFormatting>
  <conditionalFormatting sqref="H57:Q57">
    <cfRule type="expression" dxfId="1138" priority="19">
      <formula>5</formula>
    </cfRule>
    <cfRule type="cellIs" dxfId="1137" priority="20" operator="lessThan">
      <formula>5</formula>
    </cfRule>
  </conditionalFormatting>
  <conditionalFormatting sqref="H57:Q57">
    <cfRule type="cellIs" dxfId="1136" priority="18" operator="lessThan">
      <formula>50</formula>
    </cfRule>
  </conditionalFormatting>
  <conditionalFormatting sqref="S57">
    <cfRule type="cellIs" dxfId="1135" priority="17" operator="lessThan">
      <formula>50</formula>
    </cfRule>
  </conditionalFormatting>
  <conditionalFormatting sqref="H58:Q58">
    <cfRule type="expression" dxfId="1134" priority="15">
      <formula>5</formula>
    </cfRule>
    <cfRule type="cellIs" dxfId="1133" priority="16" operator="lessThan">
      <formula>5</formula>
    </cfRule>
  </conditionalFormatting>
  <conditionalFormatting sqref="H58:Q58">
    <cfRule type="cellIs" dxfId="1132" priority="14" operator="lessThan">
      <formula>50</formula>
    </cfRule>
  </conditionalFormatting>
  <conditionalFormatting sqref="S58">
    <cfRule type="cellIs" dxfId="1131" priority="13" operator="lessThan">
      <formula>50</formula>
    </cfRule>
  </conditionalFormatting>
  <conditionalFormatting sqref="H59:Q59">
    <cfRule type="expression" dxfId="1130" priority="11">
      <formula>5</formula>
    </cfRule>
    <cfRule type="cellIs" dxfId="1129" priority="12" operator="lessThan">
      <formula>5</formula>
    </cfRule>
  </conditionalFormatting>
  <conditionalFormatting sqref="H59:Q59">
    <cfRule type="cellIs" dxfId="1128" priority="10" operator="lessThan">
      <formula>50</formula>
    </cfRule>
  </conditionalFormatting>
  <conditionalFormatting sqref="S59">
    <cfRule type="cellIs" dxfId="1127" priority="9" operator="lessThan">
      <formula>50</formula>
    </cfRule>
  </conditionalFormatting>
  <conditionalFormatting sqref="H60:Q60">
    <cfRule type="expression" dxfId="1126" priority="7">
      <formula>5</formula>
    </cfRule>
    <cfRule type="cellIs" dxfId="1125" priority="8" operator="lessThan">
      <formula>5</formula>
    </cfRule>
  </conditionalFormatting>
  <conditionalFormatting sqref="H60:Q60">
    <cfRule type="cellIs" dxfId="1124" priority="6" operator="lessThan">
      <formula>50</formula>
    </cfRule>
  </conditionalFormatting>
  <conditionalFormatting sqref="S60">
    <cfRule type="cellIs" dxfId="1123" priority="5" operator="lessThan">
      <formula>50</formula>
    </cfRule>
  </conditionalFormatting>
  <conditionalFormatting sqref="H61:Q61">
    <cfRule type="expression" dxfId="1122" priority="3">
      <formula>5</formula>
    </cfRule>
    <cfRule type="cellIs" dxfId="1121" priority="4" operator="lessThan">
      <formula>5</formula>
    </cfRule>
  </conditionalFormatting>
  <conditionalFormatting sqref="H61:Q61">
    <cfRule type="cellIs" dxfId="1120" priority="2" operator="lessThan">
      <formula>50</formula>
    </cfRule>
  </conditionalFormatting>
  <conditionalFormatting sqref="S61">
    <cfRule type="cellIs" dxfId="1119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7:E9 D15:E16 E17 D34:E34 D59:E59" xr:uid="{2EF459A1-2418-437F-AF47-7C0D5C374815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5709-0D04-4EB0-B6EE-44B95AB8B05F}">
  <sheetPr codeName="Sheet115"/>
  <dimension ref="A1:T52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7" width="4.7109375" customWidth="1"/>
    <col min="18" max="18" width="6.7109375" customWidth="1"/>
    <col min="19" max="20" width="4.7109375" customWidth="1"/>
  </cols>
  <sheetData>
    <row r="1" spans="1:20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  <c r="R1" s="11"/>
      <c r="S1" s="11"/>
      <c r="T1" s="11"/>
    </row>
    <row r="2" spans="1:20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  <c r="R2" s="11"/>
      <c r="S2" s="11"/>
      <c r="T2" s="11"/>
    </row>
    <row r="3" spans="1:20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  <c r="R3" s="11"/>
      <c r="S3" s="11"/>
      <c r="T3" s="11"/>
    </row>
    <row r="4" spans="1:20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  <c r="R4" s="11"/>
      <c r="S4" s="11"/>
      <c r="T4" s="11"/>
    </row>
    <row r="5" spans="1:20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2"/>
      <c r="S5" s="12"/>
      <c r="T5" s="12"/>
    </row>
    <row r="6" spans="1:20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16</v>
      </c>
      <c r="I6" s="39" t="s">
        <v>28</v>
      </c>
      <c r="J6" s="39" t="s">
        <v>29</v>
      </c>
      <c r="K6" s="39" t="s">
        <v>30</v>
      </c>
      <c r="L6" s="39" t="s">
        <v>31</v>
      </c>
      <c r="M6" s="39" t="s">
        <v>32</v>
      </c>
      <c r="N6" s="39" t="s">
        <v>33</v>
      </c>
      <c r="O6" s="39" t="s">
        <v>3</v>
      </c>
      <c r="P6" s="39" t="s">
        <v>26</v>
      </c>
      <c r="Q6" s="39" t="s">
        <v>34</v>
      </c>
      <c r="R6" s="39" t="s">
        <v>5320</v>
      </c>
      <c r="S6" s="39" t="s">
        <v>5321</v>
      </c>
      <c r="T6" s="39" t="s">
        <v>5324</v>
      </c>
    </row>
    <row r="7" spans="1:20" ht="18" customHeight="1" thickTop="1">
      <c r="A7" s="19">
        <v>1</v>
      </c>
      <c r="B7" s="2" t="s">
        <v>4879</v>
      </c>
      <c r="C7" s="1">
        <v>321260354</v>
      </c>
      <c r="D7" s="3" t="s">
        <v>4880</v>
      </c>
      <c r="E7" s="1" t="s">
        <v>69</v>
      </c>
      <c r="F7" s="10" t="s">
        <v>4876</v>
      </c>
      <c r="G7" s="2" t="s">
        <v>100</v>
      </c>
      <c r="H7" s="4">
        <v>92</v>
      </c>
      <c r="I7" s="4">
        <v>64</v>
      </c>
      <c r="J7" s="4">
        <v>96</v>
      </c>
      <c r="K7" s="4">
        <v>88</v>
      </c>
      <c r="L7" s="4">
        <v>64</v>
      </c>
      <c r="M7" s="4">
        <v>52</v>
      </c>
      <c r="N7" s="4">
        <v>80</v>
      </c>
      <c r="O7" s="4">
        <v>100</v>
      </c>
      <c r="P7" s="4">
        <v>84</v>
      </c>
      <c r="Q7" s="4">
        <v>84</v>
      </c>
      <c r="R7" s="1">
        <f t="shared" ref="R7:R52" si="0">SUBTOTAL(9,H7:Q7)</f>
        <v>804</v>
      </c>
      <c r="S7" s="1">
        <f t="shared" ref="S7:S52" si="1">R7/10</f>
        <v>80.400000000000006</v>
      </c>
      <c r="T7" s="20">
        <f t="shared" ref="T7:T52" si="2">RANK(S7,S$7:S$156,0)</f>
        <v>1</v>
      </c>
    </row>
    <row r="8" spans="1:20" ht="18" customHeight="1">
      <c r="A8" s="19">
        <v>2</v>
      </c>
      <c r="B8" s="2" t="s">
        <v>4881</v>
      </c>
      <c r="C8" s="1">
        <v>321260355</v>
      </c>
      <c r="D8" s="3" t="s">
        <v>4882</v>
      </c>
      <c r="E8" s="1" t="s">
        <v>55</v>
      </c>
      <c r="F8" s="10" t="s">
        <v>4876</v>
      </c>
      <c r="G8" s="2" t="s">
        <v>100</v>
      </c>
      <c r="H8" s="4">
        <v>88</v>
      </c>
      <c r="I8" s="4">
        <v>76</v>
      </c>
      <c r="J8" s="4">
        <v>72</v>
      </c>
      <c r="K8" s="4">
        <v>88</v>
      </c>
      <c r="L8" s="4">
        <v>72</v>
      </c>
      <c r="M8" s="4">
        <v>82</v>
      </c>
      <c r="N8" s="4">
        <v>56</v>
      </c>
      <c r="O8" s="4">
        <v>100</v>
      </c>
      <c r="P8" s="4">
        <v>80</v>
      </c>
      <c r="Q8" s="4">
        <v>68</v>
      </c>
      <c r="R8" s="1">
        <f t="shared" si="0"/>
        <v>782</v>
      </c>
      <c r="S8" s="1">
        <f t="shared" si="1"/>
        <v>78.2</v>
      </c>
      <c r="T8" s="20">
        <f t="shared" si="2"/>
        <v>2</v>
      </c>
    </row>
    <row r="9" spans="1:20" ht="18" customHeight="1">
      <c r="A9" s="19">
        <v>3</v>
      </c>
      <c r="B9" s="2" t="s">
        <v>4897</v>
      </c>
      <c r="C9" s="1">
        <v>321260366</v>
      </c>
      <c r="D9" s="3" t="s">
        <v>4898</v>
      </c>
      <c r="E9" s="1" t="s">
        <v>56</v>
      </c>
      <c r="F9" s="10" t="s">
        <v>4876</v>
      </c>
      <c r="G9" s="2" t="s">
        <v>101</v>
      </c>
      <c r="H9" s="4">
        <v>88</v>
      </c>
      <c r="I9" s="4">
        <v>52</v>
      </c>
      <c r="J9" s="4">
        <v>64</v>
      </c>
      <c r="K9" s="4">
        <v>68</v>
      </c>
      <c r="L9" s="4">
        <v>60</v>
      </c>
      <c r="M9" s="4">
        <v>92</v>
      </c>
      <c r="N9" s="4">
        <v>72</v>
      </c>
      <c r="O9" s="4">
        <v>100</v>
      </c>
      <c r="P9" s="4">
        <v>80</v>
      </c>
      <c r="Q9" s="4">
        <v>92</v>
      </c>
      <c r="R9" s="1">
        <f t="shared" si="0"/>
        <v>768</v>
      </c>
      <c r="S9" s="1">
        <f t="shared" si="1"/>
        <v>76.8</v>
      </c>
      <c r="T9" s="20">
        <f t="shared" si="2"/>
        <v>3</v>
      </c>
    </row>
    <row r="10" spans="1:20" ht="18" customHeight="1">
      <c r="A10" s="19">
        <v>4</v>
      </c>
      <c r="B10" s="2" t="s">
        <v>4925</v>
      </c>
      <c r="C10" s="1">
        <v>321260390</v>
      </c>
      <c r="D10" s="3" t="s">
        <v>4926</v>
      </c>
      <c r="E10" s="1" t="s">
        <v>77</v>
      </c>
      <c r="F10" s="10" t="s">
        <v>4876</v>
      </c>
      <c r="G10" s="2" t="s">
        <v>101</v>
      </c>
      <c r="H10" s="4">
        <v>76</v>
      </c>
      <c r="I10" s="4">
        <v>44</v>
      </c>
      <c r="J10" s="4">
        <v>76</v>
      </c>
      <c r="K10" s="4">
        <v>88</v>
      </c>
      <c r="L10" s="4">
        <v>44</v>
      </c>
      <c r="M10" s="4">
        <v>88</v>
      </c>
      <c r="N10" s="4">
        <v>84</v>
      </c>
      <c r="O10" s="4">
        <v>100</v>
      </c>
      <c r="P10" s="4">
        <v>56</v>
      </c>
      <c r="Q10" s="4">
        <v>92</v>
      </c>
      <c r="R10" s="1">
        <f t="shared" si="0"/>
        <v>748</v>
      </c>
      <c r="S10" s="1">
        <f t="shared" si="1"/>
        <v>74.8</v>
      </c>
      <c r="T10" s="20">
        <f t="shared" si="2"/>
        <v>4</v>
      </c>
    </row>
    <row r="11" spans="1:20" ht="18" customHeight="1">
      <c r="A11" s="19">
        <v>5</v>
      </c>
      <c r="B11" s="2" t="s">
        <v>4943</v>
      </c>
      <c r="C11" s="1">
        <v>321260415</v>
      </c>
      <c r="D11" s="3" t="s">
        <v>4944</v>
      </c>
      <c r="E11" s="1" t="s">
        <v>82</v>
      </c>
      <c r="F11" s="10" t="s">
        <v>4876</v>
      </c>
      <c r="G11" s="2" t="s">
        <v>102</v>
      </c>
      <c r="H11" s="4">
        <v>76</v>
      </c>
      <c r="I11" s="4">
        <v>64</v>
      </c>
      <c r="J11" s="4">
        <v>88</v>
      </c>
      <c r="K11" s="4">
        <v>60</v>
      </c>
      <c r="L11" s="4">
        <v>72</v>
      </c>
      <c r="M11" s="4">
        <v>84</v>
      </c>
      <c r="N11" s="4">
        <v>64</v>
      </c>
      <c r="O11" s="4">
        <v>100</v>
      </c>
      <c r="P11" s="4">
        <v>56</v>
      </c>
      <c r="Q11" s="4">
        <v>72</v>
      </c>
      <c r="R11" s="1">
        <f t="shared" si="0"/>
        <v>736</v>
      </c>
      <c r="S11" s="1">
        <f t="shared" si="1"/>
        <v>73.599999999999994</v>
      </c>
      <c r="T11" s="20">
        <f t="shared" si="2"/>
        <v>5</v>
      </c>
    </row>
    <row r="12" spans="1:20" ht="18" customHeight="1">
      <c r="A12" s="19">
        <v>6</v>
      </c>
      <c r="B12" s="2" t="s">
        <v>4895</v>
      </c>
      <c r="C12" s="1">
        <v>321260364</v>
      </c>
      <c r="D12" s="3" t="s">
        <v>4896</v>
      </c>
      <c r="E12" s="1" t="s">
        <v>56</v>
      </c>
      <c r="F12" s="10" t="s">
        <v>4876</v>
      </c>
      <c r="G12" s="2" t="s">
        <v>101</v>
      </c>
      <c r="H12" s="4">
        <v>84</v>
      </c>
      <c r="I12" s="4">
        <v>52</v>
      </c>
      <c r="J12" s="4">
        <v>64</v>
      </c>
      <c r="K12" s="4">
        <v>76</v>
      </c>
      <c r="L12" s="4">
        <v>44</v>
      </c>
      <c r="M12" s="4">
        <v>92</v>
      </c>
      <c r="N12" s="4">
        <v>56</v>
      </c>
      <c r="O12" s="4">
        <v>100</v>
      </c>
      <c r="P12" s="4">
        <v>60</v>
      </c>
      <c r="Q12" s="4">
        <v>100</v>
      </c>
      <c r="R12" s="1">
        <f t="shared" si="0"/>
        <v>728</v>
      </c>
      <c r="S12" s="1">
        <f t="shared" si="1"/>
        <v>72.8</v>
      </c>
      <c r="T12" s="20">
        <f t="shared" si="2"/>
        <v>6</v>
      </c>
    </row>
    <row r="13" spans="1:20" ht="18" customHeight="1">
      <c r="A13" s="19">
        <v>7</v>
      </c>
      <c r="B13" s="2" t="s">
        <v>4908</v>
      </c>
      <c r="C13" s="1">
        <v>321260379</v>
      </c>
      <c r="D13" s="3" t="s">
        <v>4909</v>
      </c>
      <c r="E13" s="1" t="s">
        <v>60</v>
      </c>
      <c r="F13" s="10" t="s">
        <v>4876</v>
      </c>
      <c r="G13" s="2" t="s">
        <v>101</v>
      </c>
      <c r="H13" s="4">
        <v>76</v>
      </c>
      <c r="I13" s="4">
        <v>72</v>
      </c>
      <c r="J13" s="4">
        <v>52</v>
      </c>
      <c r="K13" s="4">
        <v>68</v>
      </c>
      <c r="L13" s="4">
        <v>40</v>
      </c>
      <c r="M13" s="4">
        <v>84</v>
      </c>
      <c r="N13" s="4">
        <v>76</v>
      </c>
      <c r="O13" s="4">
        <v>100</v>
      </c>
      <c r="P13" s="4">
        <v>60</v>
      </c>
      <c r="Q13" s="4">
        <v>68</v>
      </c>
      <c r="R13" s="1">
        <f t="shared" si="0"/>
        <v>696</v>
      </c>
      <c r="S13" s="1">
        <f t="shared" si="1"/>
        <v>69.599999999999994</v>
      </c>
      <c r="T13" s="20">
        <f t="shared" si="2"/>
        <v>7</v>
      </c>
    </row>
    <row r="14" spans="1:20" ht="18" customHeight="1">
      <c r="A14" s="19">
        <v>8</v>
      </c>
      <c r="B14" s="2" t="s">
        <v>4891</v>
      </c>
      <c r="C14" s="1">
        <v>321260361</v>
      </c>
      <c r="D14" s="3" t="s">
        <v>4892</v>
      </c>
      <c r="E14" s="1" t="s">
        <v>70</v>
      </c>
      <c r="F14" s="10" t="s">
        <v>4876</v>
      </c>
      <c r="G14" s="2" t="s">
        <v>100</v>
      </c>
      <c r="H14" s="4">
        <v>88</v>
      </c>
      <c r="I14" s="4">
        <v>44</v>
      </c>
      <c r="J14" s="4">
        <v>84</v>
      </c>
      <c r="K14" s="4">
        <v>64</v>
      </c>
      <c r="L14" s="4">
        <v>52</v>
      </c>
      <c r="M14" s="4">
        <v>68</v>
      </c>
      <c r="N14" s="4">
        <v>44</v>
      </c>
      <c r="O14" s="4">
        <v>100</v>
      </c>
      <c r="P14" s="4">
        <v>52</v>
      </c>
      <c r="Q14" s="4">
        <v>72</v>
      </c>
      <c r="R14" s="1">
        <f t="shared" si="0"/>
        <v>668</v>
      </c>
      <c r="S14" s="1">
        <f t="shared" si="1"/>
        <v>66.8</v>
      </c>
      <c r="T14" s="20">
        <f t="shared" si="2"/>
        <v>8</v>
      </c>
    </row>
    <row r="15" spans="1:20" ht="18" customHeight="1">
      <c r="A15" s="19">
        <v>9</v>
      </c>
      <c r="B15" s="2" t="s">
        <v>4923</v>
      </c>
      <c r="C15" s="1">
        <v>321260388</v>
      </c>
      <c r="D15" s="3" t="s">
        <v>4924</v>
      </c>
      <c r="E15" s="1" t="s">
        <v>77</v>
      </c>
      <c r="F15" s="10" t="s">
        <v>4876</v>
      </c>
      <c r="G15" s="2" t="s">
        <v>101</v>
      </c>
      <c r="H15" s="4">
        <v>84</v>
      </c>
      <c r="I15" s="4">
        <v>48</v>
      </c>
      <c r="J15" s="4">
        <v>40</v>
      </c>
      <c r="K15" s="4">
        <v>72</v>
      </c>
      <c r="L15" s="4">
        <v>36</v>
      </c>
      <c r="M15" s="4">
        <v>72</v>
      </c>
      <c r="N15" s="4">
        <v>52</v>
      </c>
      <c r="O15" s="4">
        <v>100</v>
      </c>
      <c r="P15" s="4">
        <v>64</v>
      </c>
      <c r="Q15" s="4">
        <v>76</v>
      </c>
      <c r="R15" s="1">
        <f t="shared" si="0"/>
        <v>644</v>
      </c>
      <c r="S15" s="1">
        <f t="shared" si="1"/>
        <v>64.400000000000006</v>
      </c>
      <c r="T15" s="20">
        <f t="shared" si="2"/>
        <v>9</v>
      </c>
    </row>
    <row r="16" spans="1:20" ht="18" customHeight="1">
      <c r="A16" s="19">
        <v>10</v>
      </c>
      <c r="B16" s="2" t="s">
        <v>4957</v>
      </c>
      <c r="C16" s="1">
        <v>321260424</v>
      </c>
      <c r="D16" s="3" t="s">
        <v>4958</v>
      </c>
      <c r="E16" s="1" t="s">
        <v>90</v>
      </c>
      <c r="F16" s="10" t="s">
        <v>4876</v>
      </c>
      <c r="G16" s="2" t="s">
        <v>102</v>
      </c>
      <c r="H16" s="4">
        <v>92</v>
      </c>
      <c r="I16" s="4">
        <v>56</v>
      </c>
      <c r="J16" s="4">
        <v>68</v>
      </c>
      <c r="K16" s="4">
        <v>72</v>
      </c>
      <c r="L16" s="4">
        <v>24</v>
      </c>
      <c r="M16" s="4">
        <v>72</v>
      </c>
      <c r="N16" s="4">
        <v>44</v>
      </c>
      <c r="O16" s="4">
        <v>96</v>
      </c>
      <c r="P16" s="4">
        <v>60</v>
      </c>
      <c r="Q16" s="4">
        <v>52</v>
      </c>
      <c r="R16" s="1">
        <f t="shared" si="0"/>
        <v>636</v>
      </c>
      <c r="S16" s="1">
        <f t="shared" si="1"/>
        <v>63.6</v>
      </c>
      <c r="T16" s="20">
        <f t="shared" si="2"/>
        <v>10</v>
      </c>
    </row>
    <row r="17" spans="1:20" ht="18" customHeight="1">
      <c r="A17" s="19">
        <v>11</v>
      </c>
      <c r="B17" s="2" t="s">
        <v>4911</v>
      </c>
      <c r="C17" s="1">
        <v>321260381</v>
      </c>
      <c r="D17" s="3" t="s">
        <v>4912</v>
      </c>
      <c r="E17" s="1" t="s">
        <v>61</v>
      </c>
      <c r="F17" s="10" t="s">
        <v>4876</v>
      </c>
      <c r="G17" s="2" t="s">
        <v>101</v>
      </c>
      <c r="H17" s="4">
        <v>80</v>
      </c>
      <c r="I17" s="4">
        <v>60</v>
      </c>
      <c r="J17" s="4">
        <v>68</v>
      </c>
      <c r="K17" s="4">
        <v>64</v>
      </c>
      <c r="L17" s="4">
        <v>32</v>
      </c>
      <c r="M17" s="4">
        <v>52</v>
      </c>
      <c r="N17" s="4">
        <v>68</v>
      </c>
      <c r="O17" s="4">
        <v>100</v>
      </c>
      <c r="P17" s="4">
        <v>60</v>
      </c>
      <c r="Q17" s="4">
        <v>48</v>
      </c>
      <c r="R17" s="1">
        <f t="shared" si="0"/>
        <v>632</v>
      </c>
      <c r="S17" s="1">
        <f t="shared" si="1"/>
        <v>63.2</v>
      </c>
      <c r="T17" s="20">
        <f t="shared" si="2"/>
        <v>11</v>
      </c>
    </row>
    <row r="18" spans="1:20" ht="18" customHeight="1">
      <c r="A18" s="19">
        <v>12</v>
      </c>
      <c r="B18" s="2" t="s">
        <v>4917</v>
      </c>
      <c r="C18" s="1">
        <v>321260384</v>
      </c>
      <c r="D18" s="3" t="s">
        <v>4918</v>
      </c>
      <c r="E18" s="1" t="s">
        <v>81</v>
      </c>
      <c r="F18" s="10" t="s">
        <v>4876</v>
      </c>
      <c r="G18" s="2" t="s">
        <v>101</v>
      </c>
      <c r="H18" s="4">
        <v>32</v>
      </c>
      <c r="I18" s="4">
        <v>36</v>
      </c>
      <c r="J18" s="4">
        <v>60</v>
      </c>
      <c r="K18" s="4">
        <v>56</v>
      </c>
      <c r="L18" s="4">
        <v>36</v>
      </c>
      <c r="M18" s="4">
        <v>72</v>
      </c>
      <c r="N18" s="4">
        <v>80</v>
      </c>
      <c r="O18" s="4">
        <v>100</v>
      </c>
      <c r="P18" s="4">
        <v>56</v>
      </c>
      <c r="Q18" s="4">
        <v>72</v>
      </c>
      <c r="R18" s="1">
        <f t="shared" si="0"/>
        <v>600</v>
      </c>
      <c r="S18" s="1">
        <f t="shared" si="1"/>
        <v>60</v>
      </c>
      <c r="T18" s="20">
        <f t="shared" si="2"/>
        <v>12</v>
      </c>
    </row>
    <row r="19" spans="1:20" ht="18" customHeight="1">
      <c r="A19" s="19">
        <v>13</v>
      </c>
      <c r="B19" s="2" t="s">
        <v>4899</v>
      </c>
      <c r="C19" s="1">
        <v>321260370</v>
      </c>
      <c r="D19" s="3" t="s">
        <v>4900</v>
      </c>
      <c r="E19" s="1" t="s">
        <v>57</v>
      </c>
      <c r="F19" s="10" t="s">
        <v>4876</v>
      </c>
      <c r="G19" s="2" t="s">
        <v>101</v>
      </c>
      <c r="H19" s="4">
        <v>64</v>
      </c>
      <c r="I19" s="4">
        <v>56</v>
      </c>
      <c r="J19" s="4">
        <v>36</v>
      </c>
      <c r="K19" s="4">
        <v>64</v>
      </c>
      <c r="L19" s="4">
        <v>44</v>
      </c>
      <c r="M19" s="4">
        <v>56</v>
      </c>
      <c r="N19" s="4">
        <v>64</v>
      </c>
      <c r="O19" s="4">
        <v>100</v>
      </c>
      <c r="P19" s="4">
        <v>68</v>
      </c>
      <c r="Q19" s="4">
        <v>40</v>
      </c>
      <c r="R19" s="1">
        <f t="shared" si="0"/>
        <v>592</v>
      </c>
      <c r="S19" s="1">
        <f t="shared" si="1"/>
        <v>59.2</v>
      </c>
      <c r="T19" s="20">
        <f t="shared" si="2"/>
        <v>13</v>
      </c>
    </row>
    <row r="20" spans="1:20" ht="18" customHeight="1">
      <c r="A20" s="19">
        <v>14</v>
      </c>
      <c r="B20" s="2" t="s">
        <v>4921</v>
      </c>
      <c r="C20" s="1">
        <v>321260386</v>
      </c>
      <c r="D20" s="3" t="s">
        <v>4922</v>
      </c>
      <c r="E20" s="1" t="s">
        <v>73</v>
      </c>
      <c r="F20" s="10" t="s">
        <v>4876</v>
      </c>
      <c r="G20" s="2" t="s">
        <v>101</v>
      </c>
      <c r="H20" s="4">
        <v>52</v>
      </c>
      <c r="I20" s="4">
        <v>52</v>
      </c>
      <c r="J20" s="4">
        <v>56</v>
      </c>
      <c r="K20" s="4">
        <v>68</v>
      </c>
      <c r="L20" s="4">
        <v>32</v>
      </c>
      <c r="M20" s="4">
        <v>64</v>
      </c>
      <c r="N20" s="4">
        <v>48</v>
      </c>
      <c r="O20" s="4">
        <v>84</v>
      </c>
      <c r="P20" s="4">
        <v>68</v>
      </c>
      <c r="Q20" s="4">
        <v>48</v>
      </c>
      <c r="R20" s="1">
        <f t="shared" si="0"/>
        <v>572</v>
      </c>
      <c r="S20" s="1">
        <f t="shared" si="1"/>
        <v>57.2</v>
      </c>
      <c r="T20" s="20">
        <f t="shared" si="2"/>
        <v>14</v>
      </c>
    </row>
    <row r="21" spans="1:20" ht="18" customHeight="1">
      <c r="A21" s="19">
        <v>15</v>
      </c>
      <c r="B21" s="2" t="s">
        <v>4959</v>
      </c>
      <c r="C21" s="1">
        <v>321260425</v>
      </c>
      <c r="D21" s="3" t="s">
        <v>4960</v>
      </c>
      <c r="E21" s="1" t="s">
        <v>60</v>
      </c>
      <c r="F21" s="10" t="s">
        <v>4876</v>
      </c>
      <c r="G21" s="2" t="s">
        <v>102</v>
      </c>
      <c r="H21" s="4">
        <v>76</v>
      </c>
      <c r="I21" s="4">
        <v>48</v>
      </c>
      <c r="J21" s="4">
        <v>84</v>
      </c>
      <c r="K21" s="4">
        <v>28</v>
      </c>
      <c r="L21" s="4">
        <v>32</v>
      </c>
      <c r="M21" s="4">
        <v>64</v>
      </c>
      <c r="N21" s="4">
        <v>40</v>
      </c>
      <c r="O21" s="4">
        <v>100</v>
      </c>
      <c r="P21" s="4">
        <v>60</v>
      </c>
      <c r="Q21" s="4">
        <v>40</v>
      </c>
      <c r="R21" s="1">
        <f t="shared" si="0"/>
        <v>572</v>
      </c>
      <c r="S21" s="1">
        <f t="shared" si="1"/>
        <v>57.2</v>
      </c>
      <c r="T21" s="20">
        <f t="shared" si="2"/>
        <v>14</v>
      </c>
    </row>
    <row r="22" spans="1:20" ht="18" customHeight="1">
      <c r="A22" s="19">
        <v>16</v>
      </c>
      <c r="B22" s="2" t="s">
        <v>4953</v>
      </c>
      <c r="C22" s="1">
        <v>321260422</v>
      </c>
      <c r="D22" s="3" t="s">
        <v>4954</v>
      </c>
      <c r="E22" s="1" t="s">
        <v>75</v>
      </c>
      <c r="F22" s="10" t="s">
        <v>4876</v>
      </c>
      <c r="G22" s="2" t="s">
        <v>102</v>
      </c>
      <c r="H22" s="4">
        <v>60</v>
      </c>
      <c r="I22" s="4">
        <v>36</v>
      </c>
      <c r="J22" s="4">
        <v>44</v>
      </c>
      <c r="K22" s="4">
        <v>68</v>
      </c>
      <c r="L22" s="4">
        <v>32</v>
      </c>
      <c r="M22" s="4">
        <v>68</v>
      </c>
      <c r="N22" s="4">
        <v>32</v>
      </c>
      <c r="O22" s="4">
        <v>100</v>
      </c>
      <c r="P22" s="4">
        <v>52</v>
      </c>
      <c r="Q22" s="4">
        <v>68</v>
      </c>
      <c r="R22" s="1">
        <f t="shared" si="0"/>
        <v>560</v>
      </c>
      <c r="S22" s="1">
        <f t="shared" si="1"/>
        <v>56</v>
      </c>
      <c r="T22" s="20">
        <f t="shared" si="2"/>
        <v>16</v>
      </c>
    </row>
    <row r="23" spans="1:20" ht="18" customHeight="1">
      <c r="A23" s="19">
        <v>17</v>
      </c>
      <c r="B23" s="2" t="s">
        <v>4949</v>
      </c>
      <c r="C23" s="1">
        <v>321260419</v>
      </c>
      <c r="D23" s="3" t="s">
        <v>4950</v>
      </c>
      <c r="E23" s="1" t="s">
        <v>66</v>
      </c>
      <c r="F23" s="10" t="s">
        <v>4876</v>
      </c>
      <c r="G23" s="2" t="s">
        <v>102</v>
      </c>
      <c r="H23" s="4">
        <v>84</v>
      </c>
      <c r="I23" s="4">
        <v>40</v>
      </c>
      <c r="J23" s="4">
        <v>56</v>
      </c>
      <c r="K23" s="4">
        <v>28</v>
      </c>
      <c r="L23" s="4">
        <v>24</v>
      </c>
      <c r="M23" s="4">
        <v>52</v>
      </c>
      <c r="N23" s="4">
        <v>68</v>
      </c>
      <c r="O23" s="4">
        <v>92</v>
      </c>
      <c r="P23" s="4">
        <v>76</v>
      </c>
      <c r="Q23" s="4">
        <v>32</v>
      </c>
      <c r="R23" s="1">
        <f t="shared" si="0"/>
        <v>552</v>
      </c>
      <c r="S23" s="1">
        <f t="shared" si="1"/>
        <v>55.2</v>
      </c>
      <c r="T23" s="20">
        <f t="shared" si="2"/>
        <v>17</v>
      </c>
    </row>
    <row r="24" spans="1:20" ht="18" customHeight="1">
      <c r="A24" s="19">
        <v>18</v>
      </c>
      <c r="B24" s="2" t="s">
        <v>4933</v>
      </c>
      <c r="C24" s="1">
        <v>321260402</v>
      </c>
      <c r="D24" s="3" t="s">
        <v>4772</v>
      </c>
      <c r="E24" s="1" t="s">
        <v>90</v>
      </c>
      <c r="F24" s="10" t="s">
        <v>4876</v>
      </c>
      <c r="G24" s="2" t="s">
        <v>102</v>
      </c>
      <c r="H24" s="4">
        <v>80</v>
      </c>
      <c r="I24" s="4">
        <v>32</v>
      </c>
      <c r="J24" s="4">
        <v>80</v>
      </c>
      <c r="K24" s="4">
        <v>68</v>
      </c>
      <c r="L24" s="4">
        <v>32</v>
      </c>
      <c r="M24" s="4">
        <v>60</v>
      </c>
      <c r="N24" s="4">
        <v>16</v>
      </c>
      <c r="O24" s="4">
        <v>100</v>
      </c>
      <c r="P24" s="4">
        <v>60</v>
      </c>
      <c r="Q24" s="4">
        <v>20</v>
      </c>
      <c r="R24" s="1">
        <f t="shared" si="0"/>
        <v>548</v>
      </c>
      <c r="S24" s="1">
        <f t="shared" si="1"/>
        <v>54.8</v>
      </c>
      <c r="T24" s="20">
        <f t="shared" si="2"/>
        <v>18</v>
      </c>
    </row>
    <row r="25" spans="1:20" ht="18" customHeight="1">
      <c r="A25" s="19">
        <v>19</v>
      </c>
      <c r="B25" s="2" t="s">
        <v>4883</v>
      </c>
      <c r="C25" s="1">
        <v>321260356</v>
      </c>
      <c r="D25" s="3" t="s">
        <v>4884</v>
      </c>
      <c r="E25" s="1" t="s">
        <v>79</v>
      </c>
      <c r="F25" s="10" t="s">
        <v>4876</v>
      </c>
      <c r="G25" s="2" t="s">
        <v>100</v>
      </c>
      <c r="H25" s="4">
        <v>72</v>
      </c>
      <c r="I25" s="4">
        <v>32</v>
      </c>
      <c r="J25" s="4">
        <v>28</v>
      </c>
      <c r="K25" s="4">
        <v>56</v>
      </c>
      <c r="L25" s="4">
        <v>60</v>
      </c>
      <c r="M25" s="4">
        <v>64</v>
      </c>
      <c r="N25" s="4">
        <v>4</v>
      </c>
      <c r="O25" s="4">
        <v>96</v>
      </c>
      <c r="P25" s="4">
        <v>64</v>
      </c>
      <c r="Q25" s="4">
        <v>56</v>
      </c>
      <c r="R25" s="1">
        <f t="shared" si="0"/>
        <v>532</v>
      </c>
      <c r="S25" s="1">
        <f t="shared" si="1"/>
        <v>53.2</v>
      </c>
      <c r="T25" s="20">
        <f t="shared" si="2"/>
        <v>19</v>
      </c>
    </row>
    <row r="26" spans="1:20" ht="18" customHeight="1">
      <c r="A26" s="19">
        <v>20</v>
      </c>
      <c r="B26" s="2" t="s">
        <v>4955</v>
      </c>
      <c r="C26" s="1">
        <v>321260423</v>
      </c>
      <c r="D26" s="3" t="s">
        <v>4956</v>
      </c>
      <c r="E26" s="1" t="s">
        <v>75</v>
      </c>
      <c r="F26" s="10" t="s">
        <v>4876</v>
      </c>
      <c r="G26" s="2" t="s">
        <v>102</v>
      </c>
      <c r="H26" s="4">
        <v>84</v>
      </c>
      <c r="I26" s="4">
        <v>48</v>
      </c>
      <c r="J26" s="4">
        <v>52</v>
      </c>
      <c r="K26" s="4">
        <v>32</v>
      </c>
      <c r="L26" s="4">
        <v>28</v>
      </c>
      <c r="M26" s="4">
        <v>36</v>
      </c>
      <c r="N26" s="4">
        <v>32</v>
      </c>
      <c r="O26" s="4">
        <v>100</v>
      </c>
      <c r="P26" s="4">
        <v>56</v>
      </c>
      <c r="Q26" s="4">
        <v>64</v>
      </c>
      <c r="R26" s="1">
        <f t="shared" si="0"/>
        <v>532</v>
      </c>
      <c r="S26" s="1">
        <f t="shared" si="1"/>
        <v>53.2</v>
      </c>
      <c r="T26" s="20">
        <f t="shared" si="2"/>
        <v>19</v>
      </c>
    </row>
    <row r="27" spans="1:20" ht="18" customHeight="1">
      <c r="A27" s="19">
        <v>21</v>
      </c>
      <c r="B27" s="2" t="s">
        <v>4894</v>
      </c>
      <c r="C27" s="1">
        <v>321260363</v>
      </c>
      <c r="D27" s="3" t="s">
        <v>2174</v>
      </c>
      <c r="E27" s="1" t="s">
        <v>70</v>
      </c>
      <c r="F27" s="10" t="s">
        <v>4876</v>
      </c>
      <c r="G27" s="2" t="s">
        <v>101</v>
      </c>
      <c r="H27" s="4">
        <v>40</v>
      </c>
      <c r="I27" s="4">
        <v>40</v>
      </c>
      <c r="J27" s="4">
        <v>40</v>
      </c>
      <c r="K27" s="4">
        <v>60</v>
      </c>
      <c r="L27" s="4">
        <v>0</v>
      </c>
      <c r="M27" s="4">
        <v>52</v>
      </c>
      <c r="N27" s="4">
        <v>52</v>
      </c>
      <c r="O27" s="4">
        <v>92</v>
      </c>
      <c r="P27" s="4">
        <v>76</v>
      </c>
      <c r="Q27" s="4">
        <v>76</v>
      </c>
      <c r="R27" s="1">
        <f t="shared" si="0"/>
        <v>528</v>
      </c>
      <c r="S27" s="1">
        <f t="shared" si="1"/>
        <v>52.8</v>
      </c>
      <c r="T27" s="20">
        <f t="shared" si="2"/>
        <v>21</v>
      </c>
    </row>
    <row r="28" spans="1:20" ht="18" customHeight="1">
      <c r="A28" s="19">
        <v>22</v>
      </c>
      <c r="B28" s="2" t="s">
        <v>4901</v>
      </c>
      <c r="C28" s="1">
        <v>321260373</v>
      </c>
      <c r="D28" s="3" t="s">
        <v>4902</v>
      </c>
      <c r="E28" s="1" t="s">
        <v>57</v>
      </c>
      <c r="F28" s="10" t="s">
        <v>4876</v>
      </c>
      <c r="G28" s="2" t="s">
        <v>101</v>
      </c>
      <c r="H28" s="4">
        <v>80</v>
      </c>
      <c r="I28" s="4">
        <v>24</v>
      </c>
      <c r="J28" s="4">
        <v>20</v>
      </c>
      <c r="K28" s="4">
        <v>68</v>
      </c>
      <c r="L28" s="4">
        <v>32</v>
      </c>
      <c r="M28" s="4">
        <v>56</v>
      </c>
      <c r="N28" s="4">
        <v>12</v>
      </c>
      <c r="O28" s="4">
        <v>100</v>
      </c>
      <c r="P28" s="4">
        <v>56</v>
      </c>
      <c r="Q28" s="4">
        <v>76</v>
      </c>
      <c r="R28" s="1">
        <f t="shared" si="0"/>
        <v>524</v>
      </c>
      <c r="S28" s="1">
        <f t="shared" si="1"/>
        <v>52.4</v>
      </c>
      <c r="T28" s="20">
        <f t="shared" si="2"/>
        <v>22</v>
      </c>
    </row>
    <row r="29" spans="1:20" ht="18" customHeight="1">
      <c r="A29" s="19">
        <v>23</v>
      </c>
      <c r="B29" s="2" t="s">
        <v>4951</v>
      </c>
      <c r="C29" s="1">
        <v>321260421</v>
      </c>
      <c r="D29" s="3" t="s">
        <v>4952</v>
      </c>
      <c r="E29" s="1" t="s">
        <v>67</v>
      </c>
      <c r="F29" s="10" t="s">
        <v>4876</v>
      </c>
      <c r="G29" s="2" t="s">
        <v>102</v>
      </c>
      <c r="H29" s="4">
        <v>76</v>
      </c>
      <c r="I29" s="4">
        <v>64</v>
      </c>
      <c r="J29" s="4">
        <v>36</v>
      </c>
      <c r="K29" s="4">
        <v>52</v>
      </c>
      <c r="L29" s="4">
        <v>12</v>
      </c>
      <c r="M29" s="4">
        <v>24</v>
      </c>
      <c r="N29" s="4">
        <v>52</v>
      </c>
      <c r="O29" s="4">
        <v>100</v>
      </c>
      <c r="P29" s="4">
        <v>60</v>
      </c>
      <c r="Q29" s="4">
        <v>44</v>
      </c>
      <c r="R29" s="1">
        <f t="shared" si="0"/>
        <v>520</v>
      </c>
      <c r="S29" s="1">
        <f t="shared" si="1"/>
        <v>52</v>
      </c>
      <c r="T29" s="20">
        <f t="shared" si="2"/>
        <v>23</v>
      </c>
    </row>
    <row r="30" spans="1:20" ht="18" customHeight="1">
      <c r="A30" s="19">
        <v>24</v>
      </c>
      <c r="B30" s="2" t="s">
        <v>4940</v>
      </c>
      <c r="C30" s="1">
        <v>321260412</v>
      </c>
      <c r="D30" s="3" t="s">
        <v>645</v>
      </c>
      <c r="E30" s="1" t="s">
        <v>65</v>
      </c>
      <c r="F30" s="10" t="s">
        <v>4876</v>
      </c>
      <c r="G30" s="2" t="s">
        <v>102</v>
      </c>
      <c r="H30" s="4">
        <v>84</v>
      </c>
      <c r="I30" s="4">
        <v>16</v>
      </c>
      <c r="J30" s="4">
        <v>24</v>
      </c>
      <c r="K30" s="4">
        <v>32</v>
      </c>
      <c r="L30" s="4">
        <v>32</v>
      </c>
      <c r="M30" s="4">
        <v>60</v>
      </c>
      <c r="N30" s="4">
        <v>48</v>
      </c>
      <c r="O30" s="4">
        <v>100</v>
      </c>
      <c r="P30" s="4">
        <v>84</v>
      </c>
      <c r="Q30" s="4">
        <v>32</v>
      </c>
      <c r="R30" s="1">
        <f t="shared" si="0"/>
        <v>512</v>
      </c>
      <c r="S30" s="1">
        <f t="shared" si="1"/>
        <v>51.2</v>
      </c>
      <c r="T30" s="20">
        <f t="shared" si="2"/>
        <v>24</v>
      </c>
    </row>
    <row r="31" spans="1:20" ht="18" customHeight="1">
      <c r="A31" s="19">
        <v>25</v>
      </c>
      <c r="B31" s="2" t="s">
        <v>4919</v>
      </c>
      <c r="C31" s="1">
        <v>321260385</v>
      </c>
      <c r="D31" s="3" t="s">
        <v>4920</v>
      </c>
      <c r="E31" s="1" t="s">
        <v>81</v>
      </c>
      <c r="F31" s="10" t="s">
        <v>4876</v>
      </c>
      <c r="G31" s="2" t="s">
        <v>101</v>
      </c>
      <c r="H31" s="4">
        <v>44</v>
      </c>
      <c r="I31" s="4">
        <v>36</v>
      </c>
      <c r="J31" s="4">
        <v>36</v>
      </c>
      <c r="K31" s="4">
        <v>48</v>
      </c>
      <c r="L31" s="4">
        <v>32</v>
      </c>
      <c r="M31" s="4">
        <v>56</v>
      </c>
      <c r="N31" s="4">
        <v>48</v>
      </c>
      <c r="O31" s="4">
        <v>96</v>
      </c>
      <c r="P31" s="4">
        <v>68</v>
      </c>
      <c r="Q31" s="4">
        <v>40</v>
      </c>
      <c r="R31" s="1">
        <f t="shared" si="0"/>
        <v>504</v>
      </c>
      <c r="S31" s="1">
        <f t="shared" si="1"/>
        <v>50.4</v>
      </c>
      <c r="T31" s="20">
        <f t="shared" si="2"/>
        <v>25</v>
      </c>
    </row>
    <row r="32" spans="1:20" ht="18" customHeight="1">
      <c r="A32" s="19">
        <v>26</v>
      </c>
      <c r="B32" s="2" t="s">
        <v>4929</v>
      </c>
      <c r="C32" s="1">
        <v>321260394</v>
      </c>
      <c r="D32" s="3" t="s">
        <v>4930</v>
      </c>
      <c r="E32" s="1" t="s">
        <v>63</v>
      </c>
      <c r="F32" s="10" t="s">
        <v>4876</v>
      </c>
      <c r="G32" s="2" t="s">
        <v>102</v>
      </c>
      <c r="H32" s="4">
        <v>96</v>
      </c>
      <c r="I32" s="4">
        <v>32</v>
      </c>
      <c r="J32" s="4">
        <v>20</v>
      </c>
      <c r="K32" s="4">
        <v>52</v>
      </c>
      <c r="L32" s="4">
        <v>40</v>
      </c>
      <c r="M32" s="4">
        <v>48</v>
      </c>
      <c r="N32" s="4">
        <v>16</v>
      </c>
      <c r="O32" s="4">
        <v>96</v>
      </c>
      <c r="P32" s="4">
        <v>60</v>
      </c>
      <c r="Q32" s="4">
        <v>28</v>
      </c>
      <c r="R32" s="1">
        <f t="shared" si="0"/>
        <v>488</v>
      </c>
      <c r="S32" s="1">
        <f t="shared" si="1"/>
        <v>48.8</v>
      </c>
      <c r="T32" s="20">
        <f t="shared" si="2"/>
        <v>26</v>
      </c>
    </row>
    <row r="33" spans="1:20" ht="18" customHeight="1">
      <c r="A33" s="19">
        <v>27</v>
      </c>
      <c r="B33" s="2" t="s">
        <v>4905</v>
      </c>
      <c r="C33" s="1">
        <v>321260377</v>
      </c>
      <c r="D33" s="3" t="s">
        <v>4906</v>
      </c>
      <c r="E33" s="1" t="s">
        <v>4907</v>
      </c>
      <c r="F33" s="10" t="s">
        <v>4876</v>
      </c>
      <c r="G33" s="2" t="s">
        <v>101</v>
      </c>
      <c r="H33" s="4">
        <v>36</v>
      </c>
      <c r="I33" s="4">
        <v>24</v>
      </c>
      <c r="J33" s="4">
        <v>56</v>
      </c>
      <c r="K33" s="4">
        <v>44</v>
      </c>
      <c r="L33" s="4">
        <v>24</v>
      </c>
      <c r="M33" s="4">
        <v>56</v>
      </c>
      <c r="N33" s="4">
        <v>20</v>
      </c>
      <c r="O33" s="4">
        <v>100</v>
      </c>
      <c r="P33" s="4">
        <v>56</v>
      </c>
      <c r="Q33" s="4">
        <v>52</v>
      </c>
      <c r="R33" s="1">
        <f t="shared" si="0"/>
        <v>468</v>
      </c>
      <c r="S33" s="1">
        <f t="shared" si="1"/>
        <v>46.8</v>
      </c>
      <c r="T33" s="20">
        <f t="shared" si="2"/>
        <v>27</v>
      </c>
    </row>
    <row r="34" spans="1:20" ht="18" customHeight="1">
      <c r="A34" s="19">
        <v>28</v>
      </c>
      <c r="B34" s="2" t="s">
        <v>4910</v>
      </c>
      <c r="C34" s="1">
        <v>321260380</v>
      </c>
      <c r="D34" s="3" t="s">
        <v>91</v>
      </c>
      <c r="E34" s="1" t="s">
        <v>61</v>
      </c>
      <c r="F34" s="10" t="s">
        <v>4876</v>
      </c>
      <c r="G34" s="2" t="s">
        <v>101</v>
      </c>
      <c r="H34" s="4">
        <v>68</v>
      </c>
      <c r="I34" s="4">
        <v>28</v>
      </c>
      <c r="J34" s="4">
        <v>16</v>
      </c>
      <c r="K34" s="4">
        <v>24</v>
      </c>
      <c r="L34" s="4">
        <v>36</v>
      </c>
      <c r="M34" s="4">
        <v>44</v>
      </c>
      <c r="N34" s="4">
        <v>60</v>
      </c>
      <c r="O34" s="4">
        <v>92</v>
      </c>
      <c r="P34" s="4">
        <v>64</v>
      </c>
      <c r="Q34" s="4">
        <v>32</v>
      </c>
      <c r="R34" s="1">
        <f t="shared" si="0"/>
        <v>464</v>
      </c>
      <c r="S34" s="1">
        <f t="shared" si="1"/>
        <v>46.4</v>
      </c>
      <c r="T34" s="20">
        <f t="shared" si="2"/>
        <v>28</v>
      </c>
    </row>
    <row r="35" spans="1:20" ht="18" customHeight="1">
      <c r="A35" s="19">
        <v>29</v>
      </c>
      <c r="B35" s="2" t="s">
        <v>4934</v>
      </c>
      <c r="C35" s="1">
        <v>321260403</v>
      </c>
      <c r="D35" s="3" t="s">
        <v>4935</v>
      </c>
      <c r="E35" s="1" t="s">
        <v>90</v>
      </c>
      <c r="F35" s="10" t="s">
        <v>4876</v>
      </c>
      <c r="G35" s="2" t="s">
        <v>102</v>
      </c>
      <c r="H35" s="4">
        <v>64</v>
      </c>
      <c r="I35" s="4">
        <v>16</v>
      </c>
      <c r="J35" s="4">
        <v>44</v>
      </c>
      <c r="K35" s="4">
        <v>24</v>
      </c>
      <c r="L35" s="4">
        <v>12</v>
      </c>
      <c r="M35" s="4">
        <v>60</v>
      </c>
      <c r="N35" s="4">
        <v>32</v>
      </c>
      <c r="O35" s="4">
        <v>100</v>
      </c>
      <c r="P35" s="4">
        <v>48</v>
      </c>
      <c r="Q35" s="4">
        <v>60</v>
      </c>
      <c r="R35" s="1">
        <f t="shared" si="0"/>
        <v>460</v>
      </c>
      <c r="S35" s="1">
        <f t="shared" si="1"/>
        <v>46</v>
      </c>
      <c r="T35" s="20">
        <f t="shared" si="2"/>
        <v>29</v>
      </c>
    </row>
    <row r="36" spans="1:20" ht="18" customHeight="1">
      <c r="A36" s="19">
        <v>30</v>
      </c>
      <c r="B36" s="2" t="s">
        <v>4893</v>
      </c>
      <c r="C36" s="1">
        <v>321260362</v>
      </c>
      <c r="D36" s="3" t="s">
        <v>89</v>
      </c>
      <c r="E36" s="1" t="s">
        <v>70</v>
      </c>
      <c r="F36" s="10" t="s">
        <v>4876</v>
      </c>
      <c r="G36" s="2" t="s">
        <v>100</v>
      </c>
      <c r="H36" s="4">
        <v>68</v>
      </c>
      <c r="I36" s="4">
        <v>32</v>
      </c>
      <c r="J36" s="4">
        <v>24</v>
      </c>
      <c r="K36" s="4">
        <v>20</v>
      </c>
      <c r="L36" s="4">
        <v>16</v>
      </c>
      <c r="M36" s="4">
        <v>60</v>
      </c>
      <c r="N36" s="4">
        <v>40</v>
      </c>
      <c r="O36" s="4">
        <v>100</v>
      </c>
      <c r="P36" s="4">
        <v>60</v>
      </c>
      <c r="Q36" s="4">
        <v>36</v>
      </c>
      <c r="R36" s="1">
        <f t="shared" si="0"/>
        <v>456</v>
      </c>
      <c r="S36" s="1">
        <f t="shared" si="1"/>
        <v>45.6</v>
      </c>
      <c r="T36" s="20">
        <f t="shared" si="2"/>
        <v>30</v>
      </c>
    </row>
    <row r="37" spans="1:20" ht="18" customHeight="1">
      <c r="A37" s="19">
        <v>31</v>
      </c>
      <c r="B37" s="2" t="s">
        <v>4889</v>
      </c>
      <c r="C37" s="1">
        <v>321260359</v>
      </c>
      <c r="D37" s="3" t="s">
        <v>4890</v>
      </c>
      <c r="E37" s="1" t="s">
        <v>70</v>
      </c>
      <c r="F37" s="10" t="s">
        <v>4876</v>
      </c>
      <c r="G37" s="2" t="s">
        <v>100</v>
      </c>
      <c r="H37" s="4">
        <v>40</v>
      </c>
      <c r="I37" s="4">
        <v>16</v>
      </c>
      <c r="J37" s="4">
        <v>48</v>
      </c>
      <c r="K37" s="4">
        <v>8</v>
      </c>
      <c r="L37" s="4">
        <v>40</v>
      </c>
      <c r="M37" s="4">
        <v>76</v>
      </c>
      <c r="N37" s="4">
        <v>32</v>
      </c>
      <c r="O37" s="4">
        <v>100</v>
      </c>
      <c r="P37" s="4">
        <v>36</v>
      </c>
      <c r="Q37" s="4">
        <v>48</v>
      </c>
      <c r="R37" s="1">
        <f t="shared" si="0"/>
        <v>444</v>
      </c>
      <c r="S37" s="1">
        <f t="shared" si="1"/>
        <v>44.4</v>
      </c>
      <c r="T37" s="20">
        <f t="shared" si="2"/>
        <v>31</v>
      </c>
    </row>
    <row r="38" spans="1:20" ht="18" customHeight="1">
      <c r="A38" s="19">
        <v>32</v>
      </c>
      <c r="B38" s="2" t="s">
        <v>4873</v>
      </c>
      <c r="C38" s="1" t="s">
        <v>4874</v>
      </c>
      <c r="D38" s="3" t="s">
        <v>4875</v>
      </c>
      <c r="E38" s="1" t="s">
        <v>65</v>
      </c>
      <c r="F38" s="10" t="s">
        <v>4876</v>
      </c>
      <c r="G38" s="2" t="s">
        <v>100</v>
      </c>
      <c r="H38" s="4">
        <v>48</v>
      </c>
      <c r="I38" s="4">
        <v>12</v>
      </c>
      <c r="J38" s="4">
        <v>16</v>
      </c>
      <c r="K38" s="4">
        <v>4</v>
      </c>
      <c r="L38" s="4">
        <v>8</v>
      </c>
      <c r="M38" s="4">
        <v>72</v>
      </c>
      <c r="N38" s="4">
        <v>32</v>
      </c>
      <c r="O38" s="4">
        <v>100</v>
      </c>
      <c r="P38" s="4">
        <v>80</v>
      </c>
      <c r="Q38" s="4">
        <v>68</v>
      </c>
      <c r="R38" s="1">
        <f t="shared" si="0"/>
        <v>440</v>
      </c>
      <c r="S38" s="1">
        <f t="shared" si="1"/>
        <v>44</v>
      </c>
      <c r="T38" s="20">
        <f t="shared" si="2"/>
        <v>32</v>
      </c>
    </row>
    <row r="39" spans="1:20" ht="18" customHeight="1">
      <c r="A39" s="19">
        <v>33</v>
      </c>
      <c r="B39" s="2" t="s">
        <v>4887</v>
      </c>
      <c r="C39" s="1">
        <v>321260358</v>
      </c>
      <c r="D39" s="3" t="s">
        <v>4888</v>
      </c>
      <c r="E39" s="1" t="s">
        <v>79</v>
      </c>
      <c r="F39" s="10" t="s">
        <v>4876</v>
      </c>
      <c r="G39" s="2" t="s">
        <v>100</v>
      </c>
      <c r="H39" s="4">
        <v>60</v>
      </c>
      <c r="I39" s="4">
        <v>52</v>
      </c>
      <c r="J39" s="4">
        <v>24</v>
      </c>
      <c r="K39" s="4">
        <v>36</v>
      </c>
      <c r="L39" s="4">
        <v>28</v>
      </c>
      <c r="M39" s="4">
        <v>36</v>
      </c>
      <c r="N39" s="4">
        <v>20</v>
      </c>
      <c r="O39" s="4">
        <v>100</v>
      </c>
      <c r="P39" s="4">
        <v>72</v>
      </c>
      <c r="Q39" s="4">
        <v>8</v>
      </c>
      <c r="R39" s="1">
        <f t="shared" si="0"/>
        <v>436</v>
      </c>
      <c r="S39" s="1">
        <f t="shared" si="1"/>
        <v>43.6</v>
      </c>
      <c r="T39" s="20">
        <f t="shared" si="2"/>
        <v>33</v>
      </c>
    </row>
    <row r="40" spans="1:20" ht="18" customHeight="1">
      <c r="A40" s="19">
        <v>34</v>
      </c>
      <c r="B40" s="2" t="s">
        <v>4915</v>
      </c>
      <c r="C40" s="1">
        <v>321260383</v>
      </c>
      <c r="D40" s="3" t="s">
        <v>4916</v>
      </c>
      <c r="E40" s="1" t="s">
        <v>80</v>
      </c>
      <c r="F40" s="10" t="s">
        <v>4876</v>
      </c>
      <c r="G40" s="2" t="s">
        <v>101</v>
      </c>
      <c r="H40" s="4">
        <v>72</v>
      </c>
      <c r="I40" s="4">
        <v>16</v>
      </c>
      <c r="J40" s="4">
        <v>20</v>
      </c>
      <c r="K40" s="4">
        <v>36</v>
      </c>
      <c r="L40" s="4">
        <v>20</v>
      </c>
      <c r="M40" s="4">
        <v>28</v>
      </c>
      <c r="N40" s="4">
        <v>12</v>
      </c>
      <c r="O40" s="4">
        <v>100</v>
      </c>
      <c r="P40" s="4">
        <v>68</v>
      </c>
      <c r="Q40" s="4">
        <v>40</v>
      </c>
      <c r="R40" s="1">
        <f t="shared" si="0"/>
        <v>412</v>
      </c>
      <c r="S40" s="1">
        <f t="shared" si="1"/>
        <v>41.2</v>
      </c>
      <c r="T40" s="20">
        <f t="shared" si="2"/>
        <v>34</v>
      </c>
    </row>
    <row r="41" spans="1:20" ht="18" customHeight="1">
      <c r="A41" s="19">
        <v>35</v>
      </c>
      <c r="B41" s="2" t="s">
        <v>4936</v>
      </c>
      <c r="C41" s="1">
        <v>321260405</v>
      </c>
      <c r="D41" s="3" t="s">
        <v>4937</v>
      </c>
      <c r="E41" s="1" t="s">
        <v>88</v>
      </c>
      <c r="F41" s="10" t="s">
        <v>4876</v>
      </c>
      <c r="G41" s="2" t="s">
        <v>102</v>
      </c>
      <c r="H41" s="4">
        <v>60</v>
      </c>
      <c r="I41" s="4">
        <v>32</v>
      </c>
      <c r="J41" s="4">
        <v>20</v>
      </c>
      <c r="K41" s="4">
        <v>24</v>
      </c>
      <c r="L41" s="4">
        <v>28</v>
      </c>
      <c r="M41" s="4">
        <v>24</v>
      </c>
      <c r="N41" s="4">
        <v>28</v>
      </c>
      <c r="O41" s="4">
        <v>100</v>
      </c>
      <c r="P41" s="4">
        <v>56</v>
      </c>
      <c r="Q41" s="4">
        <v>24</v>
      </c>
      <c r="R41" s="1">
        <f t="shared" si="0"/>
        <v>396</v>
      </c>
      <c r="S41" s="1">
        <f t="shared" si="1"/>
        <v>39.6</v>
      </c>
      <c r="T41" s="20">
        <f t="shared" si="2"/>
        <v>35</v>
      </c>
    </row>
    <row r="42" spans="1:20" ht="18" customHeight="1">
      <c r="A42" s="19">
        <v>36</v>
      </c>
      <c r="B42" s="2" t="s">
        <v>4877</v>
      </c>
      <c r="C42" s="1" t="s">
        <v>4878</v>
      </c>
      <c r="D42" s="3" t="s">
        <v>1217</v>
      </c>
      <c r="E42" s="1" t="s">
        <v>75</v>
      </c>
      <c r="F42" s="10" t="s">
        <v>4876</v>
      </c>
      <c r="G42" s="2" t="s">
        <v>100</v>
      </c>
      <c r="H42" s="4">
        <v>68</v>
      </c>
      <c r="I42" s="4">
        <v>12</v>
      </c>
      <c r="J42" s="4">
        <v>16</v>
      </c>
      <c r="K42" s="4">
        <v>36</v>
      </c>
      <c r="L42" s="4">
        <v>36</v>
      </c>
      <c r="M42" s="4">
        <v>20</v>
      </c>
      <c r="N42" s="4">
        <v>12</v>
      </c>
      <c r="O42" s="4">
        <v>100</v>
      </c>
      <c r="P42" s="4">
        <v>64</v>
      </c>
      <c r="Q42" s="4">
        <v>28</v>
      </c>
      <c r="R42" s="1">
        <f t="shared" si="0"/>
        <v>392</v>
      </c>
      <c r="S42" s="1">
        <f t="shared" si="1"/>
        <v>39.200000000000003</v>
      </c>
      <c r="T42" s="20">
        <f t="shared" si="2"/>
        <v>36</v>
      </c>
    </row>
    <row r="43" spans="1:20" ht="18" customHeight="1">
      <c r="A43" s="19">
        <v>37</v>
      </c>
      <c r="B43" s="2" t="s">
        <v>4945</v>
      </c>
      <c r="C43" s="1">
        <v>321260416</v>
      </c>
      <c r="D43" s="3" t="s">
        <v>4946</v>
      </c>
      <c r="E43" s="1" t="s">
        <v>66</v>
      </c>
      <c r="F43" s="10" t="s">
        <v>4876</v>
      </c>
      <c r="G43" s="2" t="s">
        <v>102</v>
      </c>
      <c r="H43" s="4">
        <v>48</v>
      </c>
      <c r="I43" s="4">
        <v>36</v>
      </c>
      <c r="J43" s="4">
        <v>32</v>
      </c>
      <c r="K43" s="4">
        <v>28</v>
      </c>
      <c r="L43" s="4">
        <v>28</v>
      </c>
      <c r="M43" s="4">
        <v>44</v>
      </c>
      <c r="N43" s="4">
        <v>24</v>
      </c>
      <c r="O43" s="4">
        <v>64</v>
      </c>
      <c r="P43" s="4">
        <v>56</v>
      </c>
      <c r="Q43" s="4">
        <v>28</v>
      </c>
      <c r="R43" s="1">
        <f t="shared" si="0"/>
        <v>388</v>
      </c>
      <c r="S43" s="1">
        <f t="shared" si="1"/>
        <v>38.799999999999997</v>
      </c>
      <c r="T43" s="20">
        <f t="shared" si="2"/>
        <v>37</v>
      </c>
    </row>
    <row r="44" spans="1:20" ht="18" customHeight="1">
      <c r="A44" s="19">
        <v>38</v>
      </c>
      <c r="B44" s="2" t="s">
        <v>4961</v>
      </c>
      <c r="C44" s="1">
        <v>321260429</v>
      </c>
      <c r="D44" s="3" t="s">
        <v>4962</v>
      </c>
      <c r="E44" s="1" t="s">
        <v>90</v>
      </c>
      <c r="F44" s="10" t="s">
        <v>4876</v>
      </c>
      <c r="G44" s="2" t="s">
        <v>102</v>
      </c>
      <c r="H44" s="4">
        <v>72</v>
      </c>
      <c r="I44" s="4">
        <v>28</v>
      </c>
      <c r="J44" s="4">
        <v>16</v>
      </c>
      <c r="K44" s="4">
        <v>32</v>
      </c>
      <c r="L44" s="4">
        <v>20</v>
      </c>
      <c r="M44" s="4">
        <v>48</v>
      </c>
      <c r="N44" s="4">
        <v>24</v>
      </c>
      <c r="O44" s="4">
        <v>80</v>
      </c>
      <c r="P44" s="4">
        <v>48</v>
      </c>
      <c r="Q44" s="4">
        <v>20</v>
      </c>
      <c r="R44" s="1">
        <f t="shared" si="0"/>
        <v>388</v>
      </c>
      <c r="S44" s="1">
        <f t="shared" si="1"/>
        <v>38.799999999999997</v>
      </c>
      <c r="T44" s="20">
        <f t="shared" si="2"/>
        <v>37</v>
      </c>
    </row>
    <row r="45" spans="1:20" ht="18" customHeight="1">
      <c r="A45" s="19">
        <v>39</v>
      </c>
      <c r="B45" s="2" t="s">
        <v>4913</v>
      </c>
      <c r="C45" s="1">
        <v>321260382</v>
      </c>
      <c r="D45" s="3" t="s">
        <v>4914</v>
      </c>
      <c r="E45" s="1" t="s">
        <v>62</v>
      </c>
      <c r="F45" s="10" t="s">
        <v>4876</v>
      </c>
      <c r="G45" s="2" t="s">
        <v>101</v>
      </c>
      <c r="H45" s="4">
        <v>72</v>
      </c>
      <c r="I45" s="4">
        <v>12</v>
      </c>
      <c r="J45" s="4">
        <v>12</v>
      </c>
      <c r="K45" s="4">
        <v>20</v>
      </c>
      <c r="L45" s="4">
        <v>4</v>
      </c>
      <c r="M45" s="4">
        <v>36</v>
      </c>
      <c r="N45" s="4">
        <v>20</v>
      </c>
      <c r="O45" s="4">
        <v>100</v>
      </c>
      <c r="P45" s="4">
        <v>52</v>
      </c>
      <c r="Q45" s="4">
        <v>32</v>
      </c>
      <c r="R45" s="1">
        <f t="shared" si="0"/>
        <v>360</v>
      </c>
      <c r="S45" s="1">
        <f t="shared" si="1"/>
        <v>36</v>
      </c>
      <c r="T45" s="20">
        <f t="shared" si="2"/>
        <v>39</v>
      </c>
    </row>
    <row r="46" spans="1:20" ht="18" customHeight="1">
      <c r="A46" s="19">
        <v>40</v>
      </c>
      <c r="B46" s="2" t="s">
        <v>4927</v>
      </c>
      <c r="C46" s="1">
        <v>321260392</v>
      </c>
      <c r="D46" s="3" t="s">
        <v>4928</v>
      </c>
      <c r="E46" s="1" t="s">
        <v>84</v>
      </c>
      <c r="F46" s="10" t="s">
        <v>4876</v>
      </c>
      <c r="G46" s="2" t="s">
        <v>101</v>
      </c>
      <c r="H46" s="4">
        <v>32</v>
      </c>
      <c r="I46" s="4">
        <v>16</v>
      </c>
      <c r="J46" s="4">
        <v>8</v>
      </c>
      <c r="K46" s="4">
        <v>60</v>
      </c>
      <c r="L46" s="4">
        <v>16</v>
      </c>
      <c r="M46" s="4">
        <v>32</v>
      </c>
      <c r="N46" s="4">
        <v>12</v>
      </c>
      <c r="O46" s="4">
        <v>84</v>
      </c>
      <c r="P46" s="4">
        <v>64</v>
      </c>
      <c r="Q46" s="4">
        <v>36</v>
      </c>
      <c r="R46" s="1">
        <f t="shared" si="0"/>
        <v>360</v>
      </c>
      <c r="S46" s="1">
        <f t="shared" si="1"/>
        <v>36</v>
      </c>
      <c r="T46" s="20">
        <f t="shared" si="2"/>
        <v>39</v>
      </c>
    </row>
    <row r="47" spans="1:20" ht="18" customHeight="1">
      <c r="A47" s="19">
        <v>41</v>
      </c>
      <c r="B47" s="2" t="s">
        <v>4885</v>
      </c>
      <c r="C47" s="1">
        <v>321260357</v>
      </c>
      <c r="D47" s="3" t="s">
        <v>4886</v>
      </c>
      <c r="E47" s="1" t="s">
        <v>79</v>
      </c>
      <c r="F47" s="10" t="s">
        <v>4876</v>
      </c>
      <c r="G47" s="2" t="s">
        <v>100</v>
      </c>
      <c r="H47" s="4">
        <v>60</v>
      </c>
      <c r="I47" s="4">
        <v>20</v>
      </c>
      <c r="J47" s="4">
        <v>24</v>
      </c>
      <c r="K47" s="4">
        <v>20</v>
      </c>
      <c r="L47" s="4">
        <v>8</v>
      </c>
      <c r="M47" s="4">
        <v>56</v>
      </c>
      <c r="N47" s="4">
        <v>20</v>
      </c>
      <c r="O47" s="4">
        <v>92</v>
      </c>
      <c r="P47" s="4">
        <v>40</v>
      </c>
      <c r="Q47" s="4">
        <v>16</v>
      </c>
      <c r="R47" s="1">
        <f t="shared" si="0"/>
        <v>356</v>
      </c>
      <c r="S47" s="1">
        <f t="shared" si="1"/>
        <v>35.6</v>
      </c>
      <c r="T47" s="20">
        <f t="shared" si="2"/>
        <v>41</v>
      </c>
    </row>
    <row r="48" spans="1:20" ht="18" customHeight="1">
      <c r="A48" s="19">
        <v>42</v>
      </c>
      <c r="B48" s="2" t="s">
        <v>4903</v>
      </c>
      <c r="C48" s="1">
        <v>321260376</v>
      </c>
      <c r="D48" s="3" t="s">
        <v>4904</v>
      </c>
      <c r="E48" s="1" t="s">
        <v>71</v>
      </c>
      <c r="F48" s="10" t="s">
        <v>4876</v>
      </c>
      <c r="G48" s="2" t="s">
        <v>101</v>
      </c>
      <c r="H48" s="4">
        <v>32</v>
      </c>
      <c r="I48" s="4">
        <v>28</v>
      </c>
      <c r="J48" s="4">
        <v>32</v>
      </c>
      <c r="K48" s="4">
        <v>8</v>
      </c>
      <c r="L48" s="4">
        <v>12</v>
      </c>
      <c r="M48" s="4">
        <v>56</v>
      </c>
      <c r="N48" s="4">
        <v>16</v>
      </c>
      <c r="O48" s="4">
        <v>100</v>
      </c>
      <c r="P48" s="4">
        <v>12</v>
      </c>
      <c r="Q48" s="4">
        <v>56</v>
      </c>
      <c r="R48" s="1">
        <f t="shared" si="0"/>
        <v>352</v>
      </c>
      <c r="S48" s="1">
        <f t="shared" si="1"/>
        <v>35.200000000000003</v>
      </c>
      <c r="T48" s="20">
        <f t="shared" si="2"/>
        <v>42</v>
      </c>
    </row>
    <row r="49" spans="1:20" ht="18" customHeight="1">
      <c r="A49" s="19">
        <v>43</v>
      </c>
      <c r="B49" s="2" t="s">
        <v>4941</v>
      </c>
      <c r="C49" s="1">
        <v>321260413</v>
      </c>
      <c r="D49" s="3" t="s">
        <v>4942</v>
      </c>
      <c r="E49" s="1" t="s">
        <v>685</v>
      </c>
      <c r="F49" s="10" t="s">
        <v>4876</v>
      </c>
      <c r="G49" s="2" t="s">
        <v>102</v>
      </c>
      <c r="H49" s="4">
        <v>32</v>
      </c>
      <c r="I49" s="4">
        <v>20</v>
      </c>
      <c r="J49" s="4">
        <v>12</v>
      </c>
      <c r="K49" s="4">
        <v>28</v>
      </c>
      <c r="L49" s="4">
        <v>16</v>
      </c>
      <c r="M49" s="4">
        <v>28</v>
      </c>
      <c r="N49" s="4">
        <v>24</v>
      </c>
      <c r="O49" s="4">
        <v>96</v>
      </c>
      <c r="P49" s="4">
        <v>60</v>
      </c>
      <c r="Q49" s="4">
        <v>4</v>
      </c>
      <c r="R49" s="1">
        <f t="shared" si="0"/>
        <v>320</v>
      </c>
      <c r="S49" s="1">
        <f t="shared" si="1"/>
        <v>32</v>
      </c>
      <c r="T49" s="20">
        <f t="shared" si="2"/>
        <v>43</v>
      </c>
    </row>
    <row r="50" spans="1:20" ht="18" customHeight="1">
      <c r="A50" s="19">
        <v>44</v>
      </c>
      <c r="B50" s="2" t="s">
        <v>4938</v>
      </c>
      <c r="C50" s="1">
        <v>321260407</v>
      </c>
      <c r="D50" s="3" t="s">
        <v>4939</v>
      </c>
      <c r="E50" s="1" t="s">
        <v>88</v>
      </c>
      <c r="F50" s="10" t="s">
        <v>4876</v>
      </c>
      <c r="G50" s="2" t="s">
        <v>102</v>
      </c>
      <c r="H50" s="4">
        <v>36</v>
      </c>
      <c r="I50" s="4">
        <v>12</v>
      </c>
      <c r="J50" s="4">
        <v>16</v>
      </c>
      <c r="K50" s="4">
        <v>8</v>
      </c>
      <c r="L50" s="4">
        <v>24</v>
      </c>
      <c r="M50" s="4">
        <v>28</v>
      </c>
      <c r="N50" s="4">
        <v>16</v>
      </c>
      <c r="O50" s="4">
        <v>84</v>
      </c>
      <c r="P50" s="4">
        <v>28</v>
      </c>
      <c r="Q50" s="4">
        <v>16</v>
      </c>
      <c r="R50" s="1">
        <f t="shared" si="0"/>
        <v>268</v>
      </c>
      <c r="S50" s="1">
        <f t="shared" si="1"/>
        <v>26.8</v>
      </c>
      <c r="T50" s="20">
        <f t="shared" si="2"/>
        <v>44</v>
      </c>
    </row>
    <row r="51" spans="1:20" ht="18" customHeight="1">
      <c r="A51" s="19">
        <v>45</v>
      </c>
      <c r="B51" s="2" t="s">
        <v>4931</v>
      </c>
      <c r="C51" s="1">
        <v>321260397</v>
      </c>
      <c r="D51" s="3" t="s">
        <v>4932</v>
      </c>
      <c r="E51" s="1" t="s">
        <v>270</v>
      </c>
      <c r="F51" s="10" t="s">
        <v>4876</v>
      </c>
      <c r="G51" s="2" t="s">
        <v>102</v>
      </c>
      <c r="H51" s="4">
        <v>48</v>
      </c>
      <c r="I51" s="4">
        <v>24</v>
      </c>
      <c r="J51" s="4"/>
      <c r="K51" s="4">
        <v>12</v>
      </c>
      <c r="L51" s="4">
        <v>16</v>
      </c>
      <c r="M51" s="4">
        <v>32</v>
      </c>
      <c r="N51" s="4"/>
      <c r="O51" s="4">
        <v>60</v>
      </c>
      <c r="P51" s="4">
        <v>48</v>
      </c>
      <c r="Q51" s="4"/>
      <c r="R51" s="1">
        <f t="shared" si="0"/>
        <v>240</v>
      </c>
      <c r="S51" s="1">
        <f t="shared" si="1"/>
        <v>24</v>
      </c>
      <c r="T51" s="20">
        <f t="shared" si="2"/>
        <v>45</v>
      </c>
    </row>
    <row r="52" spans="1:20" ht="18" customHeight="1">
      <c r="A52" s="19">
        <v>46</v>
      </c>
      <c r="B52" s="28" t="s">
        <v>4947</v>
      </c>
      <c r="C52" s="29">
        <v>321260418</v>
      </c>
      <c r="D52" s="30" t="s">
        <v>4948</v>
      </c>
      <c r="E52" s="29" t="s">
        <v>66</v>
      </c>
      <c r="F52" s="31" t="s">
        <v>4876</v>
      </c>
      <c r="G52" s="28" t="s">
        <v>102</v>
      </c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29">
        <f t="shared" si="0"/>
        <v>0</v>
      </c>
      <c r="S52" s="29">
        <f t="shared" si="1"/>
        <v>0</v>
      </c>
      <c r="T52" s="33">
        <f t="shared" si="2"/>
        <v>46</v>
      </c>
    </row>
  </sheetData>
  <mergeCells count="4">
    <mergeCell ref="A1:P1"/>
    <mergeCell ref="A2:P2"/>
    <mergeCell ref="A3:P3"/>
    <mergeCell ref="A5:B5"/>
  </mergeCells>
  <conditionalFormatting sqref="H7:Q7">
    <cfRule type="expression" dxfId="1095" priority="183">
      <formula>5</formula>
    </cfRule>
    <cfRule type="cellIs" dxfId="1094" priority="184" operator="lessThan">
      <formula>5</formula>
    </cfRule>
  </conditionalFormatting>
  <conditionalFormatting sqref="H7:Q7">
    <cfRule type="cellIs" dxfId="1093" priority="182" operator="lessThan">
      <formula>50</formula>
    </cfRule>
  </conditionalFormatting>
  <conditionalFormatting sqref="S7">
    <cfRule type="cellIs" dxfId="1092" priority="181" operator="lessThan">
      <formula>50</formula>
    </cfRule>
  </conditionalFormatting>
  <conditionalFormatting sqref="H8:Q8">
    <cfRule type="expression" dxfId="1091" priority="179">
      <formula>5</formula>
    </cfRule>
    <cfRule type="cellIs" dxfId="1090" priority="180" operator="lessThan">
      <formula>5</formula>
    </cfRule>
  </conditionalFormatting>
  <conditionalFormatting sqref="H8:Q8">
    <cfRule type="cellIs" dxfId="1089" priority="178" operator="lessThan">
      <formula>50</formula>
    </cfRule>
  </conditionalFormatting>
  <conditionalFormatting sqref="S8">
    <cfRule type="cellIs" dxfId="1088" priority="177" operator="lessThan">
      <formula>50</formula>
    </cfRule>
  </conditionalFormatting>
  <conditionalFormatting sqref="H9:Q9">
    <cfRule type="expression" dxfId="1087" priority="175">
      <formula>5</formula>
    </cfRule>
    <cfRule type="cellIs" dxfId="1086" priority="176" operator="lessThan">
      <formula>5</formula>
    </cfRule>
  </conditionalFormatting>
  <conditionalFormatting sqref="H9:Q9">
    <cfRule type="cellIs" dxfId="1085" priority="174" operator="lessThan">
      <formula>50</formula>
    </cfRule>
  </conditionalFormatting>
  <conditionalFormatting sqref="S9">
    <cfRule type="cellIs" dxfId="1084" priority="173" operator="lessThan">
      <formula>50</formula>
    </cfRule>
  </conditionalFormatting>
  <conditionalFormatting sqref="H10:Q10">
    <cfRule type="expression" dxfId="1083" priority="171">
      <formula>5</formula>
    </cfRule>
    <cfRule type="cellIs" dxfId="1082" priority="172" operator="lessThan">
      <formula>5</formula>
    </cfRule>
  </conditionalFormatting>
  <conditionalFormatting sqref="H10:Q10">
    <cfRule type="cellIs" dxfId="1081" priority="170" operator="lessThan">
      <formula>50</formula>
    </cfRule>
  </conditionalFormatting>
  <conditionalFormatting sqref="S10">
    <cfRule type="cellIs" dxfId="1080" priority="169" operator="lessThan">
      <formula>50</formula>
    </cfRule>
  </conditionalFormatting>
  <conditionalFormatting sqref="H11:Q11">
    <cfRule type="expression" dxfId="1079" priority="167">
      <formula>5</formula>
    </cfRule>
    <cfRule type="cellIs" dxfId="1078" priority="168" operator="lessThan">
      <formula>5</formula>
    </cfRule>
  </conditionalFormatting>
  <conditionalFormatting sqref="H11:Q11">
    <cfRule type="cellIs" dxfId="1077" priority="166" operator="lessThan">
      <formula>50</formula>
    </cfRule>
  </conditionalFormatting>
  <conditionalFormatting sqref="S11">
    <cfRule type="cellIs" dxfId="1076" priority="165" operator="lessThan">
      <formula>50</formula>
    </cfRule>
  </conditionalFormatting>
  <conditionalFormatting sqref="H12:Q12">
    <cfRule type="expression" dxfId="1075" priority="163">
      <formula>5</formula>
    </cfRule>
    <cfRule type="cellIs" dxfId="1074" priority="164" operator="lessThan">
      <formula>5</formula>
    </cfRule>
  </conditionalFormatting>
  <conditionalFormatting sqref="H12:Q12">
    <cfRule type="cellIs" dxfId="1073" priority="162" operator="lessThan">
      <formula>50</formula>
    </cfRule>
  </conditionalFormatting>
  <conditionalFormatting sqref="S12">
    <cfRule type="cellIs" dxfId="1072" priority="161" operator="lessThan">
      <formula>50</formula>
    </cfRule>
  </conditionalFormatting>
  <conditionalFormatting sqref="H13:Q13">
    <cfRule type="expression" dxfId="1071" priority="159">
      <formula>5</formula>
    </cfRule>
    <cfRule type="cellIs" dxfId="1070" priority="160" operator="lessThan">
      <formula>5</formula>
    </cfRule>
  </conditionalFormatting>
  <conditionalFormatting sqref="H13:Q13">
    <cfRule type="cellIs" dxfId="1069" priority="158" operator="lessThan">
      <formula>50</formula>
    </cfRule>
  </conditionalFormatting>
  <conditionalFormatting sqref="S13">
    <cfRule type="cellIs" dxfId="1068" priority="157" operator="lessThan">
      <formula>50</formula>
    </cfRule>
  </conditionalFormatting>
  <conditionalFormatting sqref="H14:Q14">
    <cfRule type="expression" dxfId="1067" priority="155">
      <formula>5</formula>
    </cfRule>
    <cfRule type="cellIs" dxfId="1066" priority="156" operator="lessThan">
      <formula>5</formula>
    </cfRule>
  </conditionalFormatting>
  <conditionalFormatting sqref="H14:Q14">
    <cfRule type="cellIs" dxfId="1065" priority="154" operator="lessThan">
      <formula>50</formula>
    </cfRule>
  </conditionalFormatting>
  <conditionalFormatting sqref="S14">
    <cfRule type="cellIs" dxfId="1064" priority="153" operator="lessThan">
      <formula>50</formula>
    </cfRule>
  </conditionalFormatting>
  <conditionalFormatting sqref="H15:Q15">
    <cfRule type="expression" dxfId="1063" priority="151">
      <formula>5</formula>
    </cfRule>
    <cfRule type="cellIs" dxfId="1062" priority="152" operator="lessThan">
      <formula>5</formula>
    </cfRule>
  </conditionalFormatting>
  <conditionalFormatting sqref="H15:Q15">
    <cfRule type="cellIs" dxfId="1061" priority="150" operator="lessThan">
      <formula>50</formula>
    </cfRule>
  </conditionalFormatting>
  <conditionalFormatting sqref="S15">
    <cfRule type="cellIs" dxfId="1060" priority="149" operator="lessThan">
      <formula>50</formula>
    </cfRule>
  </conditionalFormatting>
  <conditionalFormatting sqref="H16:Q16">
    <cfRule type="expression" dxfId="1059" priority="147">
      <formula>5</formula>
    </cfRule>
    <cfRule type="cellIs" dxfId="1058" priority="148" operator="lessThan">
      <formula>5</formula>
    </cfRule>
  </conditionalFormatting>
  <conditionalFormatting sqref="H16:Q16">
    <cfRule type="cellIs" dxfId="1057" priority="146" operator="lessThan">
      <formula>50</formula>
    </cfRule>
  </conditionalFormatting>
  <conditionalFormatting sqref="S16">
    <cfRule type="cellIs" dxfId="1056" priority="145" operator="lessThan">
      <formula>50</formula>
    </cfRule>
  </conditionalFormatting>
  <conditionalFormatting sqref="H17:Q17">
    <cfRule type="expression" dxfId="1055" priority="143">
      <formula>5</formula>
    </cfRule>
    <cfRule type="cellIs" dxfId="1054" priority="144" operator="lessThan">
      <formula>5</formula>
    </cfRule>
  </conditionalFormatting>
  <conditionalFormatting sqref="H17:Q17">
    <cfRule type="cellIs" dxfId="1053" priority="142" operator="lessThan">
      <formula>50</formula>
    </cfRule>
  </conditionalFormatting>
  <conditionalFormatting sqref="S17">
    <cfRule type="cellIs" dxfId="1052" priority="141" operator="lessThan">
      <formula>50</formula>
    </cfRule>
  </conditionalFormatting>
  <conditionalFormatting sqref="H18:Q18">
    <cfRule type="expression" dxfId="1051" priority="139">
      <formula>5</formula>
    </cfRule>
    <cfRule type="cellIs" dxfId="1050" priority="140" operator="lessThan">
      <formula>5</formula>
    </cfRule>
  </conditionalFormatting>
  <conditionalFormatting sqref="H18:Q18">
    <cfRule type="cellIs" dxfId="1049" priority="138" operator="lessThan">
      <formula>50</formula>
    </cfRule>
  </conditionalFormatting>
  <conditionalFormatting sqref="S18">
    <cfRule type="cellIs" dxfId="1048" priority="137" operator="lessThan">
      <formula>50</formula>
    </cfRule>
  </conditionalFormatting>
  <conditionalFormatting sqref="H19:Q19">
    <cfRule type="expression" dxfId="1047" priority="135">
      <formula>5</formula>
    </cfRule>
    <cfRule type="cellIs" dxfId="1046" priority="136" operator="lessThan">
      <formula>5</formula>
    </cfRule>
  </conditionalFormatting>
  <conditionalFormatting sqref="H19:Q19">
    <cfRule type="cellIs" dxfId="1045" priority="134" operator="lessThan">
      <formula>50</formula>
    </cfRule>
  </conditionalFormatting>
  <conditionalFormatting sqref="S19">
    <cfRule type="cellIs" dxfId="1044" priority="133" operator="lessThan">
      <formula>50</formula>
    </cfRule>
  </conditionalFormatting>
  <conditionalFormatting sqref="H20:Q20">
    <cfRule type="expression" dxfId="1043" priority="131">
      <formula>5</formula>
    </cfRule>
    <cfRule type="cellIs" dxfId="1042" priority="132" operator="lessThan">
      <formula>5</formula>
    </cfRule>
  </conditionalFormatting>
  <conditionalFormatting sqref="H20:Q20">
    <cfRule type="cellIs" dxfId="1041" priority="130" operator="lessThan">
      <formula>50</formula>
    </cfRule>
  </conditionalFormatting>
  <conditionalFormatting sqref="S20">
    <cfRule type="cellIs" dxfId="1040" priority="129" operator="lessThan">
      <formula>50</formula>
    </cfRule>
  </conditionalFormatting>
  <conditionalFormatting sqref="H21:Q21">
    <cfRule type="expression" dxfId="1039" priority="127">
      <formula>5</formula>
    </cfRule>
    <cfRule type="cellIs" dxfId="1038" priority="128" operator="lessThan">
      <formula>5</formula>
    </cfRule>
  </conditionalFormatting>
  <conditionalFormatting sqref="H21:Q21">
    <cfRule type="cellIs" dxfId="1037" priority="126" operator="lessThan">
      <formula>50</formula>
    </cfRule>
  </conditionalFormatting>
  <conditionalFormatting sqref="S21">
    <cfRule type="cellIs" dxfId="1036" priority="125" operator="lessThan">
      <formula>50</formula>
    </cfRule>
  </conditionalFormatting>
  <conditionalFormatting sqref="H22:Q22">
    <cfRule type="expression" dxfId="1035" priority="123">
      <formula>5</formula>
    </cfRule>
    <cfRule type="cellIs" dxfId="1034" priority="124" operator="lessThan">
      <formula>5</formula>
    </cfRule>
  </conditionalFormatting>
  <conditionalFormatting sqref="H22:Q22">
    <cfRule type="cellIs" dxfId="1033" priority="122" operator="lessThan">
      <formula>50</formula>
    </cfRule>
  </conditionalFormatting>
  <conditionalFormatting sqref="S22">
    <cfRule type="cellIs" dxfId="1032" priority="121" operator="lessThan">
      <formula>50</formula>
    </cfRule>
  </conditionalFormatting>
  <conditionalFormatting sqref="H23:Q23">
    <cfRule type="expression" dxfId="1031" priority="119">
      <formula>5</formula>
    </cfRule>
    <cfRule type="cellIs" dxfId="1030" priority="120" operator="lessThan">
      <formula>5</formula>
    </cfRule>
  </conditionalFormatting>
  <conditionalFormatting sqref="H23:Q23">
    <cfRule type="cellIs" dxfId="1029" priority="118" operator="lessThan">
      <formula>50</formula>
    </cfRule>
  </conditionalFormatting>
  <conditionalFormatting sqref="S23">
    <cfRule type="cellIs" dxfId="1028" priority="117" operator="lessThan">
      <formula>50</formula>
    </cfRule>
  </conditionalFormatting>
  <conditionalFormatting sqref="H24:Q24">
    <cfRule type="expression" dxfId="1027" priority="115">
      <formula>5</formula>
    </cfRule>
    <cfRule type="cellIs" dxfId="1026" priority="116" operator="lessThan">
      <formula>5</formula>
    </cfRule>
  </conditionalFormatting>
  <conditionalFormatting sqref="H24:Q24">
    <cfRule type="cellIs" dxfId="1025" priority="114" operator="lessThan">
      <formula>50</formula>
    </cfRule>
  </conditionalFormatting>
  <conditionalFormatting sqref="S24">
    <cfRule type="cellIs" dxfId="1024" priority="113" operator="lessThan">
      <formula>50</formula>
    </cfRule>
  </conditionalFormatting>
  <conditionalFormatting sqref="H25:Q25">
    <cfRule type="expression" dxfId="1023" priority="111">
      <formula>5</formula>
    </cfRule>
    <cfRule type="cellIs" dxfId="1022" priority="112" operator="lessThan">
      <formula>5</formula>
    </cfRule>
  </conditionalFormatting>
  <conditionalFormatting sqref="H25:Q25">
    <cfRule type="cellIs" dxfId="1021" priority="110" operator="lessThan">
      <formula>50</formula>
    </cfRule>
  </conditionalFormatting>
  <conditionalFormatting sqref="S25">
    <cfRule type="cellIs" dxfId="1020" priority="109" operator="lessThan">
      <formula>50</formula>
    </cfRule>
  </conditionalFormatting>
  <conditionalFormatting sqref="H26:Q26">
    <cfRule type="expression" dxfId="1019" priority="107">
      <formula>5</formula>
    </cfRule>
    <cfRule type="cellIs" dxfId="1018" priority="108" operator="lessThan">
      <formula>5</formula>
    </cfRule>
  </conditionalFormatting>
  <conditionalFormatting sqref="H26:Q26">
    <cfRule type="cellIs" dxfId="1017" priority="106" operator="lessThan">
      <formula>50</formula>
    </cfRule>
  </conditionalFormatting>
  <conditionalFormatting sqref="S26">
    <cfRule type="cellIs" dxfId="1016" priority="105" operator="lessThan">
      <formula>50</formula>
    </cfRule>
  </conditionalFormatting>
  <conditionalFormatting sqref="H27:Q27">
    <cfRule type="expression" dxfId="1015" priority="103">
      <formula>5</formula>
    </cfRule>
    <cfRule type="cellIs" dxfId="1014" priority="104" operator="lessThan">
      <formula>5</formula>
    </cfRule>
  </conditionalFormatting>
  <conditionalFormatting sqref="H27:Q27">
    <cfRule type="cellIs" dxfId="1013" priority="102" operator="lessThan">
      <formula>50</formula>
    </cfRule>
  </conditionalFormatting>
  <conditionalFormatting sqref="S27">
    <cfRule type="cellIs" dxfId="1012" priority="101" operator="lessThan">
      <formula>50</formula>
    </cfRule>
  </conditionalFormatting>
  <conditionalFormatting sqref="H28:Q28">
    <cfRule type="expression" dxfId="1011" priority="99">
      <formula>5</formula>
    </cfRule>
    <cfRule type="cellIs" dxfId="1010" priority="100" operator="lessThan">
      <formula>5</formula>
    </cfRule>
  </conditionalFormatting>
  <conditionalFormatting sqref="H28:Q28">
    <cfRule type="cellIs" dxfId="1009" priority="98" operator="lessThan">
      <formula>50</formula>
    </cfRule>
  </conditionalFormatting>
  <conditionalFormatting sqref="S28">
    <cfRule type="cellIs" dxfId="1008" priority="97" operator="lessThan">
      <formula>50</formula>
    </cfRule>
  </conditionalFormatting>
  <conditionalFormatting sqref="H29:Q29">
    <cfRule type="expression" dxfId="1007" priority="95">
      <formula>5</formula>
    </cfRule>
    <cfRule type="cellIs" dxfId="1006" priority="96" operator="lessThan">
      <formula>5</formula>
    </cfRule>
  </conditionalFormatting>
  <conditionalFormatting sqref="H29:Q29">
    <cfRule type="cellIs" dxfId="1005" priority="94" operator="lessThan">
      <formula>50</formula>
    </cfRule>
  </conditionalFormatting>
  <conditionalFormatting sqref="S29">
    <cfRule type="cellIs" dxfId="1004" priority="93" operator="lessThan">
      <formula>50</formula>
    </cfRule>
  </conditionalFormatting>
  <conditionalFormatting sqref="H30:Q30">
    <cfRule type="expression" dxfId="1003" priority="91">
      <formula>5</formula>
    </cfRule>
    <cfRule type="cellIs" dxfId="1002" priority="92" operator="lessThan">
      <formula>5</formula>
    </cfRule>
  </conditionalFormatting>
  <conditionalFormatting sqref="H30:Q30">
    <cfRule type="cellIs" dxfId="1001" priority="90" operator="lessThan">
      <formula>50</formula>
    </cfRule>
  </conditionalFormatting>
  <conditionalFormatting sqref="S30">
    <cfRule type="cellIs" dxfId="1000" priority="89" operator="lessThan">
      <formula>50</formula>
    </cfRule>
  </conditionalFormatting>
  <conditionalFormatting sqref="H31:Q31">
    <cfRule type="expression" dxfId="999" priority="87">
      <formula>5</formula>
    </cfRule>
    <cfRule type="cellIs" dxfId="998" priority="88" operator="lessThan">
      <formula>5</formula>
    </cfRule>
  </conditionalFormatting>
  <conditionalFormatting sqref="H31:Q31">
    <cfRule type="cellIs" dxfId="997" priority="86" operator="lessThan">
      <formula>50</formula>
    </cfRule>
  </conditionalFormatting>
  <conditionalFormatting sqref="S31">
    <cfRule type="cellIs" dxfId="996" priority="85" operator="lessThan">
      <formula>50</formula>
    </cfRule>
  </conditionalFormatting>
  <conditionalFormatting sqref="H32:Q32">
    <cfRule type="expression" dxfId="995" priority="83">
      <formula>5</formula>
    </cfRule>
    <cfRule type="cellIs" dxfId="994" priority="84" operator="lessThan">
      <formula>5</formula>
    </cfRule>
  </conditionalFormatting>
  <conditionalFormatting sqref="H32:Q32">
    <cfRule type="cellIs" dxfId="993" priority="82" operator="lessThan">
      <formula>50</formula>
    </cfRule>
  </conditionalFormatting>
  <conditionalFormatting sqref="S32">
    <cfRule type="cellIs" dxfId="992" priority="81" operator="lessThan">
      <formula>50</formula>
    </cfRule>
  </conditionalFormatting>
  <conditionalFormatting sqref="H33:Q33">
    <cfRule type="expression" dxfId="991" priority="79">
      <formula>5</formula>
    </cfRule>
    <cfRule type="cellIs" dxfId="990" priority="80" operator="lessThan">
      <formula>5</formula>
    </cfRule>
  </conditionalFormatting>
  <conditionalFormatting sqref="H33:Q33">
    <cfRule type="cellIs" dxfId="989" priority="78" operator="lessThan">
      <formula>50</formula>
    </cfRule>
  </conditionalFormatting>
  <conditionalFormatting sqref="S33">
    <cfRule type="cellIs" dxfId="988" priority="77" operator="lessThan">
      <formula>50</formula>
    </cfRule>
  </conditionalFormatting>
  <conditionalFormatting sqref="H34:Q34">
    <cfRule type="expression" dxfId="987" priority="75">
      <formula>5</formula>
    </cfRule>
    <cfRule type="cellIs" dxfId="986" priority="76" operator="lessThan">
      <formula>5</formula>
    </cfRule>
  </conditionalFormatting>
  <conditionalFormatting sqref="H34:Q34">
    <cfRule type="cellIs" dxfId="985" priority="74" operator="lessThan">
      <formula>50</formula>
    </cfRule>
  </conditionalFormatting>
  <conditionalFormatting sqref="S34">
    <cfRule type="cellIs" dxfId="984" priority="73" operator="lessThan">
      <formula>50</formula>
    </cfRule>
  </conditionalFormatting>
  <conditionalFormatting sqref="H35:Q35">
    <cfRule type="expression" dxfId="983" priority="71">
      <formula>5</formula>
    </cfRule>
    <cfRule type="cellIs" dxfId="982" priority="72" operator="lessThan">
      <formula>5</formula>
    </cfRule>
  </conditionalFormatting>
  <conditionalFormatting sqref="H35:Q35">
    <cfRule type="cellIs" dxfId="981" priority="70" operator="lessThan">
      <formula>50</formula>
    </cfRule>
  </conditionalFormatting>
  <conditionalFormatting sqref="S35">
    <cfRule type="cellIs" dxfId="980" priority="69" operator="lessThan">
      <formula>50</formula>
    </cfRule>
  </conditionalFormatting>
  <conditionalFormatting sqref="H36:Q36">
    <cfRule type="expression" dxfId="979" priority="67">
      <formula>5</formula>
    </cfRule>
    <cfRule type="cellIs" dxfId="978" priority="68" operator="lessThan">
      <formula>5</formula>
    </cfRule>
  </conditionalFormatting>
  <conditionalFormatting sqref="H36:Q36">
    <cfRule type="cellIs" dxfId="977" priority="66" operator="lessThan">
      <formula>50</formula>
    </cfRule>
  </conditionalFormatting>
  <conditionalFormatting sqref="S36">
    <cfRule type="cellIs" dxfId="976" priority="65" operator="lessThan">
      <formula>50</formula>
    </cfRule>
  </conditionalFormatting>
  <conditionalFormatting sqref="H37:Q37">
    <cfRule type="expression" dxfId="975" priority="63">
      <formula>5</formula>
    </cfRule>
    <cfRule type="cellIs" dxfId="974" priority="64" operator="lessThan">
      <formula>5</formula>
    </cfRule>
  </conditionalFormatting>
  <conditionalFormatting sqref="H37:Q37">
    <cfRule type="cellIs" dxfId="973" priority="62" operator="lessThan">
      <formula>50</formula>
    </cfRule>
  </conditionalFormatting>
  <conditionalFormatting sqref="S37">
    <cfRule type="cellIs" dxfId="972" priority="61" operator="lessThan">
      <formula>50</formula>
    </cfRule>
  </conditionalFormatting>
  <conditionalFormatting sqref="H38:Q38">
    <cfRule type="expression" dxfId="971" priority="59">
      <formula>5</formula>
    </cfRule>
    <cfRule type="cellIs" dxfId="970" priority="60" operator="lessThan">
      <formula>5</formula>
    </cfRule>
  </conditionalFormatting>
  <conditionalFormatting sqref="H38:Q38">
    <cfRule type="cellIs" dxfId="969" priority="58" operator="lessThan">
      <formula>50</formula>
    </cfRule>
  </conditionalFormatting>
  <conditionalFormatting sqref="S38">
    <cfRule type="cellIs" dxfId="968" priority="57" operator="lessThan">
      <formula>50</formula>
    </cfRule>
  </conditionalFormatting>
  <conditionalFormatting sqref="H39:Q39">
    <cfRule type="expression" dxfId="967" priority="55">
      <formula>5</formula>
    </cfRule>
    <cfRule type="cellIs" dxfId="966" priority="56" operator="lessThan">
      <formula>5</formula>
    </cfRule>
  </conditionalFormatting>
  <conditionalFormatting sqref="H39:Q39">
    <cfRule type="cellIs" dxfId="965" priority="54" operator="lessThan">
      <formula>50</formula>
    </cfRule>
  </conditionalFormatting>
  <conditionalFormatting sqref="S39">
    <cfRule type="cellIs" dxfId="964" priority="53" operator="lessThan">
      <formula>50</formula>
    </cfRule>
  </conditionalFormatting>
  <conditionalFormatting sqref="H40:Q40">
    <cfRule type="expression" dxfId="963" priority="51">
      <formula>5</formula>
    </cfRule>
    <cfRule type="cellIs" dxfId="962" priority="52" operator="lessThan">
      <formula>5</formula>
    </cfRule>
  </conditionalFormatting>
  <conditionalFormatting sqref="H40:Q40">
    <cfRule type="cellIs" dxfId="961" priority="50" operator="lessThan">
      <formula>50</formula>
    </cfRule>
  </conditionalFormatting>
  <conditionalFormatting sqref="S40">
    <cfRule type="cellIs" dxfId="960" priority="49" operator="lessThan">
      <formula>50</formula>
    </cfRule>
  </conditionalFormatting>
  <conditionalFormatting sqref="H41:Q41">
    <cfRule type="expression" dxfId="959" priority="47">
      <formula>5</formula>
    </cfRule>
    <cfRule type="cellIs" dxfId="958" priority="48" operator="lessThan">
      <formula>5</formula>
    </cfRule>
  </conditionalFormatting>
  <conditionalFormatting sqref="H41:Q41">
    <cfRule type="cellIs" dxfId="957" priority="46" operator="lessThan">
      <formula>50</formula>
    </cfRule>
  </conditionalFormatting>
  <conditionalFormatting sqref="S41">
    <cfRule type="cellIs" dxfId="956" priority="45" operator="lessThan">
      <formula>50</formula>
    </cfRule>
  </conditionalFormatting>
  <conditionalFormatting sqref="H42:Q42">
    <cfRule type="expression" dxfId="955" priority="43">
      <formula>5</formula>
    </cfRule>
    <cfRule type="cellIs" dxfId="954" priority="44" operator="lessThan">
      <formula>5</formula>
    </cfRule>
  </conditionalFormatting>
  <conditionalFormatting sqref="H42:Q42">
    <cfRule type="cellIs" dxfId="953" priority="42" operator="lessThan">
      <formula>50</formula>
    </cfRule>
  </conditionalFormatting>
  <conditionalFormatting sqref="S42">
    <cfRule type="cellIs" dxfId="952" priority="41" operator="lessThan">
      <formula>50</formula>
    </cfRule>
  </conditionalFormatting>
  <conditionalFormatting sqref="H43:Q43">
    <cfRule type="expression" dxfId="951" priority="39">
      <formula>5</formula>
    </cfRule>
    <cfRule type="cellIs" dxfId="950" priority="40" operator="lessThan">
      <formula>5</formula>
    </cfRule>
  </conditionalFormatting>
  <conditionalFormatting sqref="H43:Q43">
    <cfRule type="cellIs" dxfId="949" priority="38" operator="lessThan">
      <formula>50</formula>
    </cfRule>
  </conditionalFormatting>
  <conditionalFormatting sqref="S43">
    <cfRule type="cellIs" dxfId="948" priority="37" operator="lessThan">
      <formula>50</formula>
    </cfRule>
  </conditionalFormatting>
  <conditionalFormatting sqref="H44:Q44">
    <cfRule type="expression" dxfId="947" priority="35">
      <formula>5</formula>
    </cfRule>
    <cfRule type="cellIs" dxfId="946" priority="36" operator="lessThan">
      <formula>5</formula>
    </cfRule>
  </conditionalFormatting>
  <conditionalFormatting sqref="H44:Q44">
    <cfRule type="cellIs" dxfId="945" priority="34" operator="lessThan">
      <formula>50</formula>
    </cfRule>
  </conditionalFormatting>
  <conditionalFormatting sqref="S44">
    <cfRule type="cellIs" dxfId="944" priority="33" operator="lessThan">
      <formula>50</formula>
    </cfRule>
  </conditionalFormatting>
  <conditionalFormatting sqref="H45:Q45">
    <cfRule type="expression" dxfId="943" priority="31">
      <formula>5</formula>
    </cfRule>
    <cfRule type="cellIs" dxfId="942" priority="32" operator="lessThan">
      <formula>5</formula>
    </cfRule>
  </conditionalFormatting>
  <conditionalFormatting sqref="H45:Q45">
    <cfRule type="cellIs" dxfId="941" priority="30" operator="lessThan">
      <formula>50</formula>
    </cfRule>
  </conditionalFormatting>
  <conditionalFormatting sqref="S45">
    <cfRule type="cellIs" dxfId="940" priority="29" operator="lessThan">
      <formula>50</formula>
    </cfRule>
  </conditionalFormatting>
  <conditionalFormatting sqref="H46:Q46">
    <cfRule type="expression" dxfId="939" priority="27">
      <formula>5</formula>
    </cfRule>
    <cfRule type="cellIs" dxfId="938" priority="28" operator="lessThan">
      <formula>5</formula>
    </cfRule>
  </conditionalFormatting>
  <conditionalFormatting sqref="H46:Q46">
    <cfRule type="cellIs" dxfId="937" priority="26" operator="lessThan">
      <formula>50</formula>
    </cfRule>
  </conditionalFormatting>
  <conditionalFormatting sqref="S46">
    <cfRule type="cellIs" dxfId="936" priority="25" operator="lessThan">
      <formula>50</formula>
    </cfRule>
  </conditionalFormatting>
  <conditionalFormatting sqref="H47:Q47">
    <cfRule type="expression" dxfId="935" priority="23">
      <formula>5</formula>
    </cfRule>
    <cfRule type="cellIs" dxfId="934" priority="24" operator="lessThan">
      <formula>5</formula>
    </cfRule>
  </conditionalFormatting>
  <conditionalFormatting sqref="H47:Q47">
    <cfRule type="cellIs" dxfId="933" priority="22" operator="lessThan">
      <formula>50</formula>
    </cfRule>
  </conditionalFormatting>
  <conditionalFormatting sqref="S47">
    <cfRule type="cellIs" dxfId="932" priority="21" operator="lessThan">
      <formula>50</formula>
    </cfRule>
  </conditionalFormatting>
  <conditionalFormatting sqref="H48:Q48">
    <cfRule type="expression" dxfId="931" priority="19">
      <formula>5</formula>
    </cfRule>
    <cfRule type="cellIs" dxfId="930" priority="20" operator="lessThan">
      <formula>5</formula>
    </cfRule>
  </conditionalFormatting>
  <conditionalFormatting sqref="H48:Q48">
    <cfRule type="cellIs" dxfId="929" priority="18" operator="lessThan">
      <formula>50</formula>
    </cfRule>
  </conditionalFormatting>
  <conditionalFormatting sqref="S48">
    <cfRule type="cellIs" dxfId="928" priority="17" operator="lessThan">
      <formula>50</formula>
    </cfRule>
  </conditionalFormatting>
  <conditionalFormatting sqref="H49:Q49">
    <cfRule type="expression" dxfId="927" priority="15">
      <formula>5</formula>
    </cfRule>
    <cfRule type="cellIs" dxfId="926" priority="16" operator="lessThan">
      <formula>5</formula>
    </cfRule>
  </conditionalFormatting>
  <conditionalFormatting sqref="H49:Q49">
    <cfRule type="cellIs" dxfId="925" priority="14" operator="lessThan">
      <formula>50</formula>
    </cfRule>
  </conditionalFormatting>
  <conditionalFormatting sqref="S49">
    <cfRule type="cellIs" dxfId="924" priority="13" operator="lessThan">
      <formula>50</formula>
    </cfRule>
  </conditionalFormatting>
  <conditionalFormatting sqref="H50:Q50">
    <cfRule type="expression" dxfId="923" priority="11">
      <formula>5</formula>
    </cfRule>
    <cfRule type="cellIs" dxfId="922" priority="12" operator="lessThan">
      <formula>5</formula>
    </cfRule>
  </conditionalFormatting>
  <conditionalFormatting sqref="H50:Q50">
    <cfRule type="cellIs" dxfId="921" priority="10" operator="lessThan">
      <formula>50</formula>
    </cfRule>
  </conditionalFormatting>
  <conditionalFormatting sqref="S50">
    <cfRule type="cellIs" dxfId="920" priority="9" operator="lessThan">
      <formula>50</formula>
    </cfRule>
  </conditionalFormatting>
  <conditionalFormatting sqref="H51:Q51">
    <cfRule type="expression" dxfId="919" priority="7">
      <formula>5</formula>
    </cfRule>
    <cfRule type="cellIs" dxfId="918" priority="8" operator="lessThan">
      <formula>5</formula>
    </cfRule>
  </conditionalFormatting>
  <conditionalFormatting sqref="H51:Q51">
    <cfRule type="cellIs" dxfId="917" priority="6" operator="lessThan">
      <formula>50</formula>
    </cfRule>
  </conditionalFormatting>
  <conditionalFormatting sqref="S51">
    <cfRule type="cellIs" dxfId="916" priority="5" operator="lessThan">
      <formula>50</formula>
    </cfRule>
  </conditionalFormatting>
  <conditionalFormatting sqref="H52:Q52">
    <cfRule type="expression" dxfId="915" priority="3">
      <formula>5</formula>
    </cfRule>
    <cfRule type="cellIs" dxfId="914" priority="4" operator="lessThan">
      <formula>5</formula>
    </cfRule>
  </conditionalFormatting>
  <conditionalFormatting sqref="H52:Q52">
    <cfRule type="cellIs" dxfId="913" priority="2" operator="lessThan">
      <formula>50</formula>
    </cfRule>
  </conditionalFormatting>
  <conditionalFormatting sqref="S52">
    <cfRule type="cellIs" dxfId="912" priority="1" operator="lessThan">
      <formula>50</formula>
    </cfRule>
  </conditionalFormatting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8413-AB39-4BB4-9730-8CE4A3947BC2}">
  <sheetPr codeName="Sheet116"/>
  <dimension ref="A1:U69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8" width="4.7109375" customWidth="1"/>
    <col min="19" max="19" width="6.7109375" customWidth="1"/>
    <col min="20" max="21" width="4.7109375" customWidth="1"/>
  </cols>
  <sheetData>
    <row r="1" spans="1:21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  <c r="R1" s="11"/>
      <c r="S1" s="11"/>
      <c r="T1" s="11"/>
      <c r="U1" s="11"/>
    </row>
    <row r="2" spans="1:21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  <c r="R2" s="11"/>
      <c r="S2" s="11"/>
      <c r="T2" s="11"/>
      <c r="U2" s="11"/>
    </row>
    <row r="3" spans="1:21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  <c r="R3" s="11"/>
      <c r="S3" s="11"/>
      <c r="T3" s="11"/>
      <c r="U3" s="11"/>
    </row>
    <row r="4" spans="1:21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  <c r="R4" s="11"/>
      <c r="S4" s="11"/>
      <c r="T4" s="11"/>
      <c r="U4" s="11"/>
    </row>
    <row r="5" spans="1:21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2"/>
      <c r="S5" s="12"/>
      <c r="T5" s="12"/>
      <c r="U5" s="12"/>
    </row>
    <row r="6" spans="1:21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16</v>
      </c>
      <c r="I6" s="39" t="s">
        <v>28</v>
      </c>
      <c r="J6" s="39" t="s">
        <v>29</v>
      </c>
      <c r="K6" s="39" t="s">
        <v>5323</v>
      </c>
      <c r="L6" s="39" t="s">
        <v>38</v>
      </c>
      <c r="M6" s="39" t="s">
        <v>32</v>
      </c>
      <c r="N6" s="39" t="s">
        <v>5322</v>
      </c>
      <c r="O6" s="39" t="s">
        <v>37</v>
      </c>
      <c r="P6" s="39" t="s">
        <v>26</v>
      </c>
      <c r="Q6" s="39" t="s">
        <v>3</v>
      </c>
      <c r="R6" s="39" t="s">
        <v>36</v>
      </c>
      <c r="S6" s="39" t="s">
        <v>5320</v>
      </c>
      <c r="T6" s="39" t="s">
        <v>5321</v>
      </c>
      <c r="U6" s="39" t="s">
        <v>5324</v>
      </c>
    </row>
    <row r="7" spans="1:21" ht="18" customHeight="1" thickTop="1">
      <c r="A7" s="19">
        <v>1</v>
      </c>
      <c r="B7" s="2" t="s">
        <v>5039</v>
      </c>
      <c r="C7" s="1" t="s">
        <v>5040</v>
      </c>
      <c r="D7" s="3" t="s">
        <v>5041</v>
      </c>
      <c r="E7" s="1" t="s">
        <v>61</v>
      </c>
      <c r="F7" s="10" t="s">
        <v>4966</v>
      </c>
      <c r="G7" s="2" t="s">
        <v>96</v>
      </c>
      <c r="H7" s="4">
        <v>96</v>
      </c>
      <c r="I7" s="4">
        <v>92</v>
      </c>
      <c r="J7" s="4">
        <v>96</v>
      </c>
      <c r="K7" s="4">
        <v>60</v>
      </c>
      <c r="L7" s="4">
        <v>96</v>
      </c>
      <c r="M7" s="4">
        <v>88</v>
      </c>
      <c r="N7" s="4">
        <v>76</v>
      </c>
      <c r="O7" s="4">
        <v>92</v>
      </c>
      <c r="P7" s="4">
        <v>100</v>
      </c>
      <c r="Q7" s="4">
        <v>100</v>
      </c>
      <c r="R7" s="4">
        <v>56</v>
      </c>
      <c r="S7" s="1">
        <f t="shared" ref="S7:S38" si="0">SUBTOTAL(9,H7:R7)</f>
        <v>952</v>
      </c>
      <c r="T7" s="14">
        <f t="shared" ref="T7:T38" si="1">S7/12</f>
        <v>79.333333333333329</v>
      </c>
      <c r="U7" s="20">
        <f t="shared" ref="U7:U38" si="2">RANK(T7,T$7:T$125,0)</f>
        <v>1</v>
      </c>
    </row>
    <row r="8" spans="1:21" ht="18" customHeight="1">
      <c r="A8" s="19">
        <v>2</v>
      </c>
      <c r="B8" s="2" t="s">
        <v>5144</v>
      </c>
      <c r="C8" s="1" t="s">
        <v>5145</v>
      </c>
      <c r="D8" s="3" t="s">
        <v>5146</v>
      </c>
      <c r="E8" s="1" t="s">
        <v>85</v>
      </c>
      <c r="F8" s="10" t="s">
        <v>4966</v>
      </c>
      <c r="G8" s="2" t="s">
        <v>99</v>
      </c>
      <c r="H8" s="4">
        <v>92</v>
      </c>
      <c r="I8" s="4">
        <v>80</v>
      </c>
      <c r="J8" s="4">
        <v>88</v>
      </c>
      <c r="K8" s="4">
        <v>68</v>
      </c>
      <c r="L8" s="4">
        <v>72</v>
      </c>
      <c r="M8" s="4">
        <v>100</v>
      </c>
      <c r="N8" s="4">
        <v>92</v>
      </c>
      <c r="O8" s="4">
        <v>68</v>
      </c>
      <c r="P8" s="4">
        <v>100</v>
      </c>
      <c r="Q8" s="4">
        <v>89</v>
      </c>
      <c r="R8" s="4">
        <v>76</v>
      </c>
      <c r="S8" s="1">
        <f t="shared" si="0"/>
        <v>925</v>
      </c>
      <c r="T8" s="14">
        <f t="shared" si="1"/>
        <v>77.083333333333329</v>
      </c>
      <c r="U8" s="20">
        <f t="shared" si="2"/>
        <v>2</v>
      </c>
    </row>
    <row r="9" spans="1:21" ht="18" customHeight="1">
      <c r="A9" s="19">
        <v>3</v>
      </c>
      <c r="B9" s="2" t="s">
        <v>5025</v>
      </c>
      <c r="C9" s="1" t="s">
        <v>103</v>
      </c>
      <c r="D9" s="3" t="s">
        <v>5026</v>
      </c>
      <c r="E9" s="1" t="s">
        <v>72</v>
      </c>
      <c r="F9" s="10" t="s">
        <v>4966</v>
      </c>
      <c r="G9" s="2" t="s">
        <v>96</v>
      </c>
      <c r="H9" s="4">
        <v>80</v>
      </c>
      <c r="I9" s="4">
        <v>64</v>
      </c>
      <c r="J9" s="4">
        <v>84</v>
      </c>
      <c r="K9" s="4">
        <v>56</v>
      </c>
      <c r="L9" s="4">
        <v>100</v>
      </c>
      <c r="M9" s="4">
        <v>84</v>
      </c>
      <c r="N9" s="4">
        <v>88</v>
      </c>
      <c r="O9" s="4">
        <v>100</v>
      </c>
      <c r="P9" s="4">
        <v>96</v>
      </c>
      <c r="Q9" s="4">
        <v>100</v>
      </c>
      <c r="R9" s="4">
        <v>72</v>
      </c>
      <c r="S9" s="1">
        <f t="shared" si="0"/>
        <v>924</v>
      </c>
      <c r="T9" s="14">
        <f t="shared" si="1"/>
        <v>77</v>
      </c>
      <c r="U9" s="20">
        <f t="shared" si="2"/>
        <v>3</v>
      </c>
    </row>
    <row r="10" spans="1:21" ht="18" customHeight="1">
      <c r="A10" s="19">
        <v>4</v>
      </c>
      <c r="B10" s="2" t="s">
        <v>5027</v>
      </c>
      <c r="C10" s="1" t="s">
        <v>5028</v>
      </c>
      <c r="D10" s="3" t="s">
        <v>5029</v>
      </c>
      <c r="E10" s="1" t="s">
        <v>58</v>
      </c>
      <c r="F10" s="10" t="s">
        <v>4966</v>
      </c>
      <c r="G10" s="2" t="s">
        <v>96</v>
      </c>
      <c r="H10" s="4">
        <v>76</v>
      </c>
      <c r="I10" s="4">
        <v>100</v>
      </c>
      <c r="J10" s="4">
        <v>76</v>
      </c>
      <c r="K10" s="4">
        <v>56</v>
      </c>
      <c r="L10" s="4">
        <v>80</v>
      </c>
      <c r="M10" s="4">
        <v>92</v>
      </c>
      <c r="N10" s="4">
        <v>84</v>
      </c>
      <c r="O10" s="4">
        <v>88</v>
      </c>
      <c r="P10" s="4">
        <v>92</v>
      </c>
      <c r="Q10" s="4">
        <v>89</v>
      </c>
      <c r="R10" s="4">
        <v>68</v>
      </c>
      <c r="S10" s="1">
        <f t="shared" si="0"/>
        <v>901</v>
      </c>
      <c r="T10" s="14">
        <f t="shared" si="1"/>
        <v>75.083333333333329</v>
      </c>
      <c r="U10" s="20">
        <f t="shared" si="2"/>
        <v>4</v>
      </c>
    </row>
    <row r="11" spans="1:21" ht="18" customHeight="1">
      <c r="A11" s="19">
        <v>5</v>
      </c>
      <c r="B11" s="2" t="s">
        <v>5102</v>
      </c>
      <c r="C11" s="1" t="s">
        <v>5103</v>
      </c>
      <c r="D11" s="3" t="s">
        <v>5104</v>
      </c>
      <c r="E11" s="1" t="s">
        <v>90</v>
      </c>
      <c r="F11" s="10" t="s">
        <v>4966</v>
      </c>
      <c r="G11" s="2" t="s">
        <v>98</v>
      </c>
      <c r="H11" s="4">
        <v>92</v>
      </c>
      <c r="I11" s="4">
        <v>88</v>
      </c>
      <c r="J11" s="4">
        <v>88</v>
      </c>
      <c r="K11" s="4">
        <v>60</v>
      </c>
      <c r="L11" s="4">
        <v>88</v>
      </c>
      <c r="M11" s="4">
        <v>72</v>
      </c>
      <c r="N11" s="4">
        <v>84</v>
      </c>
      <c r="O11" s="4">
        <v>56</v>
      </c>
      <c r="P11" s="4">
        <v>100</v>
      </c>
      <c r="Q11" s="4">
        <v>89</v>
      </c>
      <c r="R11" s="4">
        <v>56</v>
      </c>
      <c r="S11" s="1">
        <f t="shared" si="0"/>
        <v>873</v>
      </c>
      <c r="T11" s="14">
        <f t="shared" si="1"/>
        <v>72.75</v>
      </c>
      <c r="U11" s="20">
        <f t="shared" si="2"/>
        <v>5</v>
      </c>
    </row>
    <row r="12" spans="1:21" ht="18" customHeight="1">
      <c r="A12" s="19">
        <v>6</v>
      </c>
      <c r="B12" s="2" t="s">
        <v>5099</v>
      </c>
      <c r="C12" s="1" t="s">
        <v>5100</v>
      </c>
      <c r="D12" s="3" t="s">
        <v>5101</v>
      </c>
      <c r="E12" s="1" t="s">
        <v>90</v>
      </c>
      <c r="F12" s="10" t="s">
        <v>4966</v>
      </c>
      <c r="G12" s="2" t="s">
        <v>98</v>
      </c>
      <c r="H12" s="4">
        <v>72</v>
      </c>
      <c r="I12" s="4">
        <v>76</v>
      </c>
      <c r="J12" s="4">
        <v>72</v>
      </c>
      <c r="K12" s="4">
        <v>52</v>
      </c>
      <c r="L12" s="4">
        <v>80</v>
      </c>
      <c r="M12" s="4">
        <v>84</v>
      </c>
      <c r="N12" s="4">
        <v>72</v>
      </c>
      <c r="O12" s="4">
        <v>96</v>
      </c>
      <c r="P12" s="4">
        <v>100</v>
      </c>
      <c r="Q12" s="4">
        <v>93</v>
      </c>
      <c r="R12" s="4">
        <v>48</v>
      </c>
      <c r="S12" s="1">
        <f t="shared" si="0"/>
        <v>845</v>
      </c>
      <c r="T12" s="14">
        <f t="shared" si="1"/>
        <v>70.416666666666671</v>
      </c>
      <c r="U12" s="20">
        <f t="shared" si="2"/>
        <v>6</v>
      </c>
    </row>
    <row r="13" spans="1:21" ht="18" customHeight="1">
      <c r="A13" s="19">
        <v>7</v>
      </c>
      <c r="B13" s="2" t="s">
        <v>5048</v>
      </c>
      <c r="C13" s="1" t="s">
        <v>5049</v>
      </c>
      <c r="D13" s="3" t="s">
        <v>5050</v>
      </c>
      <c r="E13" s="1" t="s">
        <v>60</v>
      </c>
      <c r="F13" s="10" t="s">
        <v>4966</v>
      </c>
      <c r="G13" s="2" t="s">
        <v>97</v>
      </c>
      <c r="H13" s="4">
        <v>88</v>
      </c>
      <c r="I13" s="4">
        <v>76</v>
      </c>
      <c r="J13" s="4">
        <v>92</v>
      </c>
      <c r="K13" s="4">
        <v>72</v>
      </c>
      <c r="L13" s="4">
        <v>60</v>
      </c>
      <c r="M13" s="4">
        <v>44</v>
      </c>
      <c r="N13" s="4">
        <v>84</v>
      </c>
      <c r="O13" s="4">
        <v>60</v>
      </c>
      <c r="P13" s="4">
        <v>100</v>
      </c>
      <c r="Q13" s="4">
        <v>100</v>
      </c>
      <c r="R13" s="4">
        <v>68</v>
      </c>
      <c r="S13" s="1">
        <f t="shared" si="0"/>
        <v>844</v>
      </c>
      <c r="T13" s="14">
        <f t="shared" si="1"/>
        <v>70.333333333333329</v>
      </c>
      <c r="U13" s="20">
        <f t="shared" si="2"/>
        <v>7</v>
      </c>
    </row>
    <row r="14" spans="1:21" ht="18" customHeight="1">
      <c r="A14" s="19">
        <v>8</v>
      </c>
      <c r="B14" s="2" t="s">
        <v>5108</v>
      </c>
      <c r="C14" s="1" t="s">
        <v>5109</v>
      </c>
      <c r="D14" s="3" t="s">
        <v>5110</v>
      </c>
      <c r="E14" s="1" t="s">
        <v>90</v>
      </c>
      <c r="F14" s="10" t="s">
        <v>4966</v>
      </c>
      <c r="G14" s="2" t="s">
        <v>98</v>
      </c>
      <c r="H14" s="4">
        <v>68</v>
      </c>
      <c r="I14" s="4">
        <v>84</v>
      </c>
      <c r="J14" s="4">
        <v>80</v>
      </c>
      <c r="K14" s="4">
        <v>64</v>
      </c>
      <c r="L14" s="4">
        <v>80</v>
      </c>
      <c r="M14" s="4">
        <v>76</v>
      </c>
      <c r="N14" s="4">
        <v>88</v>
      </c>
      <c r="O14" s="4">
        <v>52</v>
      </c>
      <c r="P14" s="4">
        <v>100</v>
      </c>
      <c r="Q14" s="4">
        <v>100</v>
      </c>
      <c r="R14" s="4">
        <v>52</v>
      </c>
      <c r="S14" s="1">
        <f t="shared" si="0"/>
        <v>844</v>
      </c>
      <c r="T14" s="14">
        <f t="shared" si="1"/>
        <v>70.333333333333329</v>
      </c>
      <c r="U14" s="20">
        <f t="shared" si="2"/>
        <v>7</v>
      </c>
    </row>
    <row r="15" spans="1:21" ht="18" customHeight="1">
      <c r="A15" s="19">
        <v>9</v>
      </c>
      <c r="B15" s="2" t="s">
        <v>5093</v>
      </c>
      <c r="C15" s="1" t="s">
        <v>5094</v>
      </c>
      <c r="D15" s="3" t="s">
        <v>5095</v>
      </c>
      <c r="E15" s="1" t="s">
        <v>74</v>
      </c>
      <c r="F15" s="10" t="s">
        <v>4966</v>
      </c>
      <c r="G15" s="2" t="s">
        <v>98</v>
      </c>
      <c r="H15" s="4">
        <v>88</v>
      </c>
      <c r="I15" s="4">
        <v>40</v>
      </c>
      <c r="J15" s="4">
        <v>92</v>
      </c>
      <c r="K15" s="4">
        <v>72</v>
      </c>
      <c r="L15" s="4">
        <v>92</v>
      </c>
      <c r="M15" s="4">
        <v>76</v>
      </c>
      <c r="N15" s="4">
        <v>64</v>
      </c>
      <c r="O15" s="4">
        <v>84</v>
      </c>
      <c r="P15" s="4">
        <v>88</v>
      </c>
      <c r="Q15" s="4">
        <v>93</v>
      </c>
      <c r="R15" s="4">
        <v>52</v>
      </c>
      <c r="S15" s="1">
        <f t="shared" si="0"/>
        <v>841</v>
      </c>
      <c r="T15" s="14">
        <f t="shared" si="1"/>
        <v>70.083333333333329</v>
      </c>
      <c r="U15" s="20">
        <f t="shared" si="2"/>
        <v>9</v>
      </c>
    </row>
    <row r="16" spans="1:21" ht="18" customHeight="1">
      <c r="A16" s="19">
        <v>10</v>
      </c>
      <c r="B16" s="2" t="s">
        <v>5022</v>
      </c>
      <c r="C16" s="1" t="s">
        <v>5023</v>
      </c>
      <c r="D16" s="3" t="s">
        <v>5024</v>
      </c>
      <c r="E16" s="1" t="s">
        <v>72</v>
      </c>
      <c r="F16" s="10" t="s">
        <v>4966</v>
      </c>
      <c r="G16" s="2" t="s">
        <v>96</v>
      </c>
      <c r="H16" s="4">
        <v>68</v>
      </c>
      <c r="I16" s="4">
        <v>72</v>
      </c>
      <c r="J16" s="4">
        <v>92</v>
      </c>
      <c r="K16" s="4">
        <v>64</v>
      </c>
      <c r="L16" s="4">
        <v>68</v>
      </c>
      <c r="M16" s="4">
        <v>72</v>
      </c>
      <c r="N16" s="4">
        <v>76</v>
      </c>
      <c r="O16" s="4">
        <v>72</v>
      </c>
      <c r="P16" s="4">
        <v>84</v>
      </c>
      <c r="Q16" s="4">
        <v>82</v>
      </c>
      <c r="R16" s="4">
        <v>88</v>
      </c>
      <c r="S16" s="1">
        <f t="shared" si="0"/>
        <v>838</v>
      </c>
      <c r="T16" s="14">
        <f t="shared" si="1"/>
        <v>69.833333333333329</v>
      </c>
      <c r="U16" s="20">
        <f t="shared" si="2"/>
        <v>10</v>
      </c>
    </row>
    <row r="17" spans="1:21" ht="18" customHeight="1">
      <c r="A17" s="19">
        <v>11</v>
      </c>
      <c r="B17" s="2" t="s">
        <v>5075</v>
      </c>
      <c r="C17" s="1" t="s">
        <v>5076</v>
      </c>
      <c r="D17" s="3" t="s">
        <v>5077</v>
      </c>
      <c r="E17" s="1" t="s">
        <v>77</v>
      </c>
      <c r="F17" s="10" t="s">
        <v>4966</v>
      </c>
      <c r="G17" s="2" t="s">
        <v>97</v>
      </c>
      <c r="H17" s="4">
        <v>48</v>
      </c>
      <c r="I17" s="4">
        <v>52</v>
      </c>
      <c r="J17" s="4">
        <v>92</v>
      </c>
      <c r="K17" s="4">
        <v>56</v>
      </c>
      <c r="L17" s="4">
        <v>64</v>
      </c>
      <c r="M17" s="4">
        <v>72</v>
      </c>
      <c r="N17" s="4">
        <v>92</v>
      </c>
      <c r="O17" s="4">
        <v>92</v>
      </c>
      <c r="P17" s="4">
        <v>96</v>
      </c>
      <c r="Q17" s="4">
        <v>100</v>
      </c>
      <c r="R17" s="4">
        <v>48</v>
      </c>
      <c r="S17" s="1">
        <f t="shared" si="0"/>
        <v>812</v>
      </c>
      <c r="T17" s="14">
        <f t="shared" si="1"/>
        <v>67.666666666666671</v>
      </c>
      <c r="U17" s="20">
        <f t="shared" si="2"/>
        <v>11</v>
      </c>
    </row>
    <row r="18" spans="1:21" ht="18" customHeight="1">
      <c r="A18" s="19">
        <v>12</v>
      </c>
      <c r="B18" s="2" t="s">
        <v>5105</v>
      </c>
      <c r="C18" s="1" t="s">
        <v>5106</v>
      </c>
      <c r="D18" s="3" t="s">
        <v>5107</v>
      </c>
      <c r="E18" s="1" t="s">
        <v>90</v>
      </c>
      <c r="F18" s="10" t="s">
        <v>4966</v>
      </c>
      <c r="G18" s="2" t="s">
        <v>98</v>
      </c>
      <c r="H18" s="4">
        <v>68</v>
      </c>
      <c r="I18" s="4">
        <v>52</v>
      </c>
      <c r="J18" s="4">
        <v>76</v>
      </c>
      <c r="K18" s="4">
        <v>44</v>
      </c>
      <c r="L18" s="4">
        <v>76</v>
      </c>
      <c r="M18" s="4">
        <v>80</v>
      </c>
      <c r="N18" s="4">
        <v>64</v>
      </c>
      <c r="O18" s="4">
        <v>76</v>
      </c>
      <c r="P18" s="4">
        <v>100</v>
      </c>
      <c r="Q18" s="4">
        <v>100</v>
      </c>
      <c r="R18" s="4">
        <v>56</v>
      </c>
      <c r="S18" s="1">
        <f t="shared" si="0"/>
        <v>792</v>
      </c>
      <c r="T18" s="14">
        <f t="shared" si="1"/>
        <v>66</v>
      </c>
      <c r="U18" s="20">
        <f t="shared" si="2"/>
        <v>12</v>
      </c>
    </row>
    <row r="19" spans="1:21" ht="18" customHeight="1">
      <c r="A19" s="19">
        <v>13</v>
      </c>
      <c r="B19" s="2" t="s">
        <v>5120</v>
      </c>
      <c r="C19" s="1" t="s">
        <v>5121</v>
      </c>
      <c r="D19" s="3" t="s">
        <v>5122</v>
      </c>
      <c r="E19" s="1" t="s">
        <v>82</v>
      </c>
      <c r="F19" s="10" t="s">
        <v>4966</v>
      </c>
      <c r="G19" s="2" t="s">
        <v>98</v>
      </c>
      <c r="H19" s="4">
        <v>72</v>
      </c>
      <c r="I19" s="4">
        <v>72</v>
      </c>
      <c r="J19" s="4">
        <v>72</v>
      </c>
      <c r="K19" s="4">
        <v>60</v>
      </c>
      <c r="L19" s="4">
        <v>72</v>
      </c>
      <c r="M19" s="4">
        <v>40</v>
      </c>
      <c r="N19" s="4">
        <v>76</v>
      </c>
      <c r="O19" s="4">
        <v>60</v>
      </c>
      <c r="P19" s="4">
        <v>96</v>
      </c>
      <c r="Q19" s="4">
        <v>86</v>
      </c>
      <c r="R19" s="4">
        <v>52</v>
      </c>
      <c r="S19" s="1">
        <f t="shared" si="0"/>
        <v>758</v>
      </c>
      <c r="T19" s="14">
        <f t="shared" si="1"/>
        <v>63.166666666666664</v>
      </c>
      <c r="U19" s="20">
        <f t="shared" si="2"/>
        <v>13</v>
      </c>
    </row>
    <row r="20" spans="1:21" ht="18" customHeight="1">
      <c r="A20" s="19">
        <v>14</v>
      </c>
      <c r="B20" s="2" t="s">
        <v>5063</v>
      </c>
      <c r="C20" s="1" t="s">
        <v>5064</v>
      </c>
      <c r="D20" s="3" t="s">
        <v>5065</v>
      </c>
      <c r="E20" s="1" t="s">
        <v>81</v>
      </c>
      <c r="F20" s="10" t="s">
        <v>4966</v>
      </c>
      <c r="G20" s="2" t="s">
        <v>97</v>
      </c>
      <c r="H20" s="4">
        <v>68</v>
      </c>
      <c r="I20" s="4">
        <v>72</v>
      </c>
      <c r="J20" s="4">
        <v>88</v>
      </c>
      <c r="K20" s="4">
        <v>48</v>
      </c>
      <c r="L20" s="4">
        <v>56</v>
      </c>
      <c r="M20" s="4">
        <v>72</v>
      </c>
      <c r="N20" s="4">
        <v>68</v>
      </c>
      <c r="O20" s="4">
        <v>64</v>
      </c>
      <c r="P20" s="4">
        <v>100</v>
      </c>
      <c r="Q20" s="4">
        <v>100</v>
      </c>
      <c r="R20" s="4">
        <v>16</v>
      </c>
      <c r="S20" s="1">
        <f t="shared" si="0"/>
        <v>752</v>
      </c>
      <c r="T20" s="14">
        <f t="shared" si="1"/>
        <v>62.666666666666664</v>
      </c>
      <c r="U20" s="20">
        <f t="shared" si="2"/>
        <v>14</v>
      </c>
    </row>
    <row r="21" spans="1:21" ht="18" customHeight="1">
      <c r="A21" s="19">
        <v>15</v>
      </c>
      <c r="B21" s="2" t="s">
        <v>5081</v>
      </c>
      <c r="C21" s="1" t="s">
        <v>5082</v>
      </c>
      <c r="D21" s="3" t="s">
        <v>5083</v>
      </c>
      <c r="E21" s="1" t="s">
        <v>84</v>
      </c>
      <c r="F21" s="10" t="s">
        <v>4966</v>
      </c>
      <c r="G21" s="2" t="s">
        <v>97</v>
      </c>
      <c r="H21" s="4">
        <v>60</v>
      </c>
      <c r="I21" s="4">
        <v>64</v>
      </c>
      <c r="J21" s="4">
        <v>88</v>
      </c>
      <c r="K21" s="4">
        <v>36</v>
      </c>
      <c r="L21" s="4">
        <v>100</v>
      </c>
      <c r="M21" s="4">
        <v>76</v>
      </c>
      <c r="N21" s="4">
        <v>72</v>
      </c>
      <c r="O21" s="4">
        <v>32</v>
      </c>
      <c r="P21" s="4">
        <v>88</v>
      </c>
      <c r="Q21" s="4">
        <v>100</v>
      </c>
      <c r="R21" s="4">
        <v>24</v>
      </c>
      <c r="S21" s="1">
        <f t="shared" si="0"/>
        <v>740</v>
      </c>
      <c r="T21" s="14">
        <f t="shared" si="1"/>
        <v>61.666666666666664</v>
      </c>
      <c r="U21" s="20">
        <f t="shared" si="2"/>
        <v>15</v>
      </c>
    </row>
    <row r="22" spans="1:21" ht="18" customHeight="1">
      <c r="A22" s="19">
        <v>16</v>
      </c>
      <c r="B22" s="2" t="s">
        <v>5123</v>
      </c>
      <c r="C22" s="1" t="s">
        <v>5124</v>
      </c>
      <c r="D22" s="3" t="s">
        <v>5125</v>
      </c>
      <c r="E22" s="1" t="s">
        <v>67</v>
      </c>
      <c r="F22" s="10" t="s">
        <v>4966</v>
      </c>
      <c r="G22" s="2" t="s">
        <v>98</v>
      </c>
      <c r="H22" s="4">
        <v>78</v>
      </c>
      <c r="I22" s="4">
        <v>52</v>
      </c>
      <c r="J22" s="4">
        <v>60</v>
      </c>
      <c r="K22" s="4">
        <v>44</v>
      </c>
      <c r="L22" s="4">
        <v>68</v>
      </c>
      <c r="M22" s="4">
        <v>80</v>
      </c>
      <c r="N22" s="4">
        <v>80</v>
      </c>
      <c r="O22" s="4">
        <v>32</v>
      </c>
      <c r="P22" s="4">
        <v>96</v>
      </c>
      <c r="Q22" s="4">
        <v>100</v>
      </c>
      <c r="R22" s="4">
        <v>40</v>
      </c>
      <c r="S22" s="1">
        <f t="shared" si="0"/>
        <v>730</v>
      </c>
      <c r="T22" s="14">
        <f t="shared" si="1"/>
        <v>60.833333333333336</v>
      </c>
      <c r="U22" s="20">
        <f t="shared" si="2"/>
        <v>16</v>
      </c>
    </row>
    <row r="23" spans="1:21" ht="18" customHeight="1">
      <c r="A23" s="19">
        <v>17</v>
      </c>
      <c r="B23" s="2" t="s">
        <v>5060</v>
      </c>
      <c r="C23" s="1" t="s">
        <v>5061</v>
      </c>
      <c r="D23" s="3" t="s">
        <v>5062</v>
      </c>
      <c r="E23" s="1" t="s">
        <v>61</v>
      </c>
      <c r="F23" s="10" t="s">
        <v>4966</v>
      </c>
      <c r="G23" s="2" t="s">
        <v>97</v>
      </c>
      <c r="H23" s="4">
        <v>80</v>
      </c>
      <c r="I23" s="4">
        <v>48</v>
      </c>
      <c r="J23" s="4">
        <v>80</v>
      </c>
      <c r="K23" s="4">
        <v>52</v>
      </c>
      <c r="L23" s="4">
        <v>60</v>
      </c>
      <c r="M23" s="4">
        <v>48</v>
      </c>
      <c r="N23" s="4">
        <v>72</v>
      </c>
      <c r="O23" s="4">
        <v>56</v>
      </c>
      <c r="P23" s="4">
        <v>92</v>
      </c>
      <c r="Q23" s="4">
        <v>89</v>
      </c>
      <c r="R23" s="4">
        <v>48</v>
      </c>
      <c r="S23" s="1">
        <f t="shared" si="0"/>
        <v>725</v>
      </c>
      <c r="T23" s="14">
        <f t="shared" si="1"/>
        <v>60.416666666666664</v>
      </c>
      <c r="U23" s="20">
        <f t="shared" si="2"/>
        <v>17</v>
      </c>
    </row>
    <row r="24" spans="1:21" ht="18" customHeight="1">
      <c r="A24" s="19">
        <v>18</v>
      </c>
      <c r="B24" s="2" t="s">
        <v>4996</v>
      </c>
      <c r="C24" s="1" t="s">
        <v>4997</v>
      </c>
      <c r="D24" s="3" t="s">
        <v>688</v>
      </c>
      <c r="E24" s="1" t="s">
        <v>70</v>
      </c>
      <c r="F24" s="10" t="s">
        <v>4966</v>
      </c>
      <c r="G24" s="2" t="s">
        <v>95</v>
      </c>
      <c r="H24" s="4">
        <v>68</v>
      </c>
      <c r="I24" s="4">
        <v>84</v>
      </c>
      <c r="J24" s="4">
        <v>84</v>
      </c>
      <c r="K24" s="4">
        <v>36</v>
      </c>
      <c r="L24" s="4">
        <v>48</v>
      </c>
      <c r="M24" s="4">
        <v>88</v>
      </c>
      <c r="N24" s="4">
        <v>28</v>
      </c>
      <c r="O24" s="4">
        <v>64</v>
      </c>
      <c r="P24" s="4">
        <v>92</v>
      </c>
      <c r="Q24" s="4">
        <v>96</v>
      </c>
      <c r="R24" s="4">
        <v>36</v>
      </c>
      <c r="S24" s="1">
        <f t="shared" si="0"/>
        <v>724</v>
      </c>
      <c r="T24" s="14">
        <f t="shared" si="1"/>
        <v>60.333333333333336</v>
      </c>
      <c r="U24" s="20">
        <f t="shared" si="2"/>
        <v>18</v>
      </c>
    </row>
    <row r="25" spans="1:21" ht="18" customHeight="1">
      <c r="A25" s="19">
        <v>19</v>
      </c>
      <c r="B25" s="2" t="s">
        <v>5054</v>
      </c>
      <c r="C25" s="1" t="s">
        <v>5055</v>
      </c>
      <c r="D25" s="3" t="s">
        <v>5056</v>
      </c>
      <c r="E25" s="1" t="s">
        <v>60</v>
      </c>
      <c r="F25" s="10" t="s">
        <v>4966</v>
      </c>
      <c r="G25" s="2" t="s">
        <v>97</v>
      </c>
      <c r="H25" s="4">
        <v>48</v>
      </c>
      <c r="I25" s="4">
        <v>88</v>
      </c>
      <c r="J25" s="4">
        <v>84</v>
      </c>
      <c r="K25" s="4">
        <v>40</v>
      </c>
      <c r="L25" s="4">
        <v>60</v>
      </c>
      <c r="M25" s="4">
        <v>72</v>
      </c>
      <c r="N25" s="4">
        <v>80</v>
      </c>
      <c r="O25" s="4">
        <v>44</v>
      </c>
      <c r="P25" s="4">
        <v>56</v>
      </c>
      <c r="Q25" s="4">
        <v>100</v>
      </c>
      <c r="R25" s="4">
        <v>52</v>
      </c>
      <c r="S25" s="1">
        <f t="shared" si="0"/>
        <v>724</v>
      </c>
      <c r="T25" s="14">
        <f t="shared" si="1"/>
        <v>60.333333333333336</v>
      </c>
      <c r="U25" s="20">
        <f t="shared" si="2"/>
        <v>18</v>
      </c>
    </row>
    <row r="26" spans="1:21" ht="18" customHeight="1">
      <c r="A26" s="19">
        <v>20</v>
      </c>
      <c r="B26" s="2" t="s">
        <v>4998</v>
      </c>
      <c r="C26" s="1" t="s">
        <v>4999</v>
      </c>
      <c r="D26" s="3" t="s">
        <v>5000</v>
      </c>
      <c r="E26" s="1" t="s">
        <v>57</v>
      </c>
      <c r="F26" s="10" t="s">
        <v>4966</v>
      </c>
      <c r="G26" s="2" t="s">
        <v>95</v>
      </c>
      <c r="H26" s="4">
        <v>64</v>
      </c>
      <c r="I26" s="4">
        <v>52</v>
      </c>
      <c r="J26" s="4">
        <v>60</v>
      </c>
      <c r="K26" s="4">
        <v>52</v>
      </c>
      <c r="L26" s="4">
        <v>76</v>
      </c>
      <c r="M26" s="4">
        <v>48</v>
      </c>
      <c r="N26" s="4">
        <v>64</v>
      </c>
      <c r="O26" s="4">
        <v>44</v>
      </c>
      <c r="P26" s="4">
        <v>100</v>
      </c>
      <c r="Q26" s="4">
        <v>96</v>
      </c>
      <c r="R26" s="4">
        <v>44</v>
      </c>
      <c r="S26" s="1">
        <f t="shared" si="0"/>
        <v>700</v>
      </c>
      <c r="T26" s="14">
        <f t="shared" si="1"/>
        <v>58.333333333333336</v>
      </c>
      <c r="U26" s="20">
        <f t="shared" si="2"/>
        <v>20</v>
      </c>
    </row>
    <row r="27" spans="1:21" ht="18" customHeight="1">
      <c r="A27" s="19">
        <v>21</v>
      </c>
      <c r="B27" s="2" t="s">
        <v>5111</v>
      </c>
      <c r="C27" s="1" t="s">
        <v>5112</v>
      </c>
      <c r="D27" s="3" t="s">
        <v>5113</v>
      </c>
      <c r="E27" s="1" t="s">
        <v>90</v>
      </c>
      <c r="F27" s="10" t="s">
        <v>4966</v>
      </c>
      <c r="G27" s="2" t="s">
        <v>98</v>
      </c>
      <c r="H27" s="4">
        <v>64</v>
      </c>
      <c r="I27" s="4">
        <v>68</v>
      </c>
      <c r="J27" s="4">
        <v>80</v>
      </c>
      <c r="K27" s="4">
        <v>60</v>
      </c>
      <c r="L27" s="4">
        <v>80</v>
      </c>
      <c r="M27" s="4">
        <v>64</v>
      </c>
      <c r="N27" s="4">
        <v>64</v>
      </c>
      <c r="O27" s="4">
        <v>24</v>
      </c>
      <c r="P27" s="4">
        <v>84</v>
      </c>
      <c r="Q27" s="4">
        <v>82</v>
      </c>
      <c r="R27" s="4">
        <v>28</v>
      </c>
      <c r="S27" s="1">
        <f t="shared" si="0"/>
        <v>698</v>
      </c>
      <c r="T27" s="14">
        <f t="shared" si="1"/>
        <v>58.166666666666664</v>
      </c>
      <c r="U27" s="20">
        <f t="shared" si="2"/>
        <v>21</v>
      </c>
    </row>
    <row r="28" spans="1:21" ht="18" customHeight="1">
      <c r="A28" s="19">
        <v>22</v>
      </c>
      <c r="B28" s="2" t="s">
        <v>5126</v>
      </c>
      <c r="C28" s="1" t="s">
        <v>5127</v>
      </c>
      <c r="D28" s="3" t="s">
        <v>5128</v>
      </c>
      <c r="E28" s="1" t="s">
        <v>67</v>
      </c>
      <c r="F28" s="10" t="s">
        <v>4966</v>
      </c>
      <c r="G28" s="2" t="s">
        <v>98</v>
      </c>
      <c r="H28" s="4">
        <v>56</v>
      </c>
      <c r="I28" s="4">
        <v>88</v>
      </c>
      <c r="J28" s="4">
        <v>80</v>
      </c>
      <c r="K28" s="4">
        <v>60</v>
      </c>
      <c r="L28" s="4">
        <v>68</v>
      </c>
      <c r="M28" s="4">
        <v>46</v>
      </c>
      <c r="N28" s="4">
        <v>56</v>
      </c>
      <c r="O28" s="4">
        <v>40</v>
      </c>
      <c r="P28" s="4">
        <v>100</v>
      </c>
      <c r="Q28" s="4">
        <v>93</v>
      </c>
      <c r="R28" s="4">
        <v>8</v>
      </c>
      <c r="S28" s="1">
        <f t="shared" si="0"/>
        <v>695</v>
      </c>
      <c r="T28" s="14">
        <f t="shared" si="1"/>
        <v>57.916666666666664</v>
      </c>
      <c r="U28" s="20">
        <f t="shared" si="2"/>
        <v>22</v>
      </c>
    </row>
    <row r="29" spans="1:21" ht="18" customHeight="1">
      <c r="A29" s="19">
        <v>23</v>
      </c>
      <c r="B29" s="2" t="s">
        <v>5030</v>
      </c>
      <c r="C29" s="1" t="s">
        <v>5031</v>
      </c>
      <c r="D29" s="3" t="s">
        <v>5032</v>
      </c>
      <c r="E29" s="1" t="s">
        <v>58</v>
      </c>
      <c r="F29" s="10" t="s">
        <v>4966</v>
      </c>
      <c r="G29" s="2" t="s">
        <v>96</v>
      </c>
      <c r="H29" s="4">
        <v>76</v>
      </c>
      <c r="I29" s="4">
        <v>68</v>
      </c>
      <c r="J29" s="4">
        <v>64</v>
      </c>
      <c r="K29" s="4">
        <v>52</v>
      </c>
      <c r="L29" s="4">
        <v>48</v>
      </c>
      <c r="M29" s="4">
        <v>72</v>
      </c>
      <c r="N29" s="4">
        <v>60</v>
      </c>
      <c r="O29" s="4">
        <v>40</v>
      </c>
      <c r="P29" s="4">
        <v>96</v>
      </c>
      <c r="Q29" s="4">
        <v>100</v>
      </c>
      <c r="R29" s="4">
        <v>16</v>
      </c>
      <c r="S29" s="1">
        <f t="shared" si="0"/>
        <v>692</v>
      </c>
      <c r="T29" s="14">
        <f t="shared" si="1"/>
        <v>57.666666666666664</v>
      </c>
      <c r="U29" s="20">
        <f t="shared" si="2"/>
        <v>23</v>
      </c>
    </row>
    <row r="30" spans="1:21" ht="18" customHeight="1">
      <c r="A30" s="19">
        <v>24</v>
      </c>
      <c r="B30" s="2" t="s">
        <v>5087</v>
      </c>
      <c r="C30" s="1" t="s">
        <v>5088</v>
      </c>
      <c r="D30" s="3" t="s">
        <v>5089</v>
      </c>
      <c r="E30" s="1" t="s">
        <v>63</v>
      </c>
      <c r="F30" s="10" t="s">
        <v>4966</v>
      </c>
      <c r="G30" s="2" t="s">
        <v>97</v>
      </c>
      <c r="H30" s="4">
        <v>52</v>
      </c>
      <c r="I30" s="4">
        <v>40</v>
      </c>
      <c r="J30" s="4">
        <v>48</v>
      </c>
      <c r="K30" s="4">
        <v>60</v>
      </c>
      <c r="L30" s="4">
        <v>76</v>
      </c>
      <c r="M30" s="4">
        <v>68</v>
      </c>
      <c r="N30" s="4">
        <v>76</v>
      </c>
      <c r="O30" s="4">
        <v>52</v>
      </c>
      <c r="P30" s="4">
        <v>96</v>
      </c>
      <c r="Q30" s="4">
        <v>100</v>
      </c>
      <c r="R30" s="4">
        <v>24</v>
      </c>
      <c r="S30" s="1">
        <f t="shared" si="0"/>
        <v>692</v>
      </c>
      <c r="T30" s="14">
        <f t="shared" si="1"/>
        <v>57.666666666666664</v>
      </c>
      <c r="U30" s="20">
        <f t="shared" si="2"/>
        <v>23</v>
      </c>
    </row>
    <row r="31" spans="1:21" ht="18" customHeight="1">
      <c r="A31" s="19">
        <v>25</v>
      </c>
      <c r="B31" s="2" t="s">
        <v>5114</v>
      </c>
      <c r="C31" s="1" t="s">
        <v>5115</v>
      </c>
      <c r="D31" s="3" t="s">
        <v>5116</v>
      </c>
      <c r="E31" s="1" t="s">
        <v>74</v>
      </c>
      <c r="F31" s="10" t="s">
        <v>4966</v>
      </c>
      <c r="G31" s="2" t="s">
        <v>98</v>
      </c>
      <c r="H31" s="4">
        <v>80</v>
      </c>
      <c r="I31" s="4">
        <v>32</v>
      </c>
      <c r="J31" s="4">
        <v>80</v>
      </c>
      <c r="K31" s="4">
        <v>60</v>
      </c>
      <c r="L31" s="4">
        <v>52</v>
      </c>
      <c r="M31" s="4">
        <v>56</v>
      </c>
      <c r="N31" s="4">
        <v>56</v>
      </c>
      <c r="O31" s="4">
        <v>44</v>
      </c>
      <c r="P31" s="4">
        <v>92</v>
      </c>
      <c r="Q31" s="4">
        <v>86</v>
      </c>
      <c r="R31" s="4">
        <v>40</v>
      </c>
      <c r="S31" s="1">
        <f t="shared" si="0"/>
        <v>678</v>
      </c>
      <c r="T31" s="14">
        <f t="shared" si="1"/>
        <v>56.5</v>
      </c>
      <c r="U31" s="20">
        <f t="shared" si="2"/>
        <v>25</v>
      </c>
    </row>
    <row r="32" spans="1:21" ht="18" customHeight="1">
      <c r="A32" s="19">
        <v>26</v>
      </c>
      <c r="B32" s="2" t="s">
        <v>5001</v>
      </c>
      <c r="C32" s="1" t="s">
        <v>5002</v>
      </c>
      <c r="D32" s="3" t="s">
        <v>5003</v>
      </c>
      <c r="E32" s="1" t="s">
        <v>57</v>
      </c>
      <c r="F32" s="10" t="s">
        <v>4966</v>
      </c>
      <c r="G32" s="2" t="s">
        <v>95</v>
      </c>
      <c r="H32" s="4">
        <v>36</v>
      </c>
      <c r="I32" s="4">
        <v>48</v>
      </c>
      <c r="J32" s="4">
        <v>72</v>
      </c>
      <c r="K32" s="4">
        <v>60</v>
      </c>
      <c r="L32" s="4">
        <v>76</v>
      </c>
      <c r="M32" s="4">
        <v>52</v>
      </c>
      <c r="N32" s="4">
        <v>80</v>
      </c>
      <c r="O32" s="4">
        <v>28</v>
      </c>
      <c r="P32" s="4">
        <v>68</v>
      </c>
      <c r="Q32" s="4">
        <v>100</v>
      </c>
      <c r="R32" s="4">
        <v>40</v>
      </c>
      <c r="S32" s="1">
        <f t="shared" si="0"/>
        <v>660</v>
      </c>
      <c r="T32" s="14">
        <f t="shared" si="1"/>
        <v>55</v>
      </c>
      <c r="U32" s="20">
        <f t="shared" si="2"/>
        <v>26</v>
      </c>
    </row>
    <row r="33" spans="1:21" ht="18" customHeight="1">
      <c r="A33" s="19">
        <v>27</v>
      </c>
      <c r="B33" s="2" t="s">
        <v>4993</v>
      </c>
      <c r="C33" s="1" t="s">
        <v>4994</v>
      </c>
      <c r="D33" s="3" t="s">
        <v>4995</v>
      </c>
      <c r="E33" s="1" t="s">
        <v>70</v>
      </c>
      <c r="F33" s="10" t="s">
        <v>4966</v>
      </c>
      <c r="G33" s="2" t="s">
        <v>95</v>
      </c>
      <c r="H33" s="4">
        <v>56</v>
      </c>
      <c r="I33" s="4">
        <v>56</v>
      </c>
      <c r="J33" s="4">
        <v>80</v>
      </c>
      <c r="K33" s="4">
        <v>48</v>
      </c>
      <c r="L33" s="4">
        <v>28</v>
      </c>
      <c r="M33" s="4">
        <v>32</v>
      </c>
      <c r="N33" s="4">
        <v>84</v>
      </c>
      <c r="O33" s="4">
        <v>28</v>
      </c>
      <c r="P33" s="4">
        <v>96</v>
      </c>
      <c r="Q33" s="4">
        <v>100</v>
      </c>
      <c r="R33" s="4">
        <v>48</v>
      </c>
      <c r="S33" s="1">
        <f t="shared" si="0"/>
        <v>656</v>
      </c>
      <c r="T33" s="14">
        <f t="shared" si="1"/>
        <v>54.666666666666664</v>
      </c>
      <c r="U33" s="20">
        <f t="shared" si="2"/>
        <v>27</v>
      </c>
    </row>
    <row r="34" spans="1:21" ht="18" customHeight="1">
      <c r="A34" s="19">
        <v>28</v>
      </c>
      <c r="B34" s="2" t="s">
        <v>5016</v>
      </c>
      <c r="C34" s="1" t="s">
        <v>5017</v>
      </c>
      <c r="D34" s="3" t="s">
        <v>5018</v>
      </c>
      <c r="E34" s="1" t="s">
        <v>71</v>
      </c>
      <c r="F34" s="10" t="s">
        <v>4966</v>
      </c>
      <c r="G34" s="2" t="s">
        <v>96</v>
      </c>
      <c r="H34" s="4">
        <v>28</v>
      </c>
      <c r="I34" s="4">
        <v>40</v>
      </c>
      <c r="J34" s="4">
        <v>76</v>
      </c>
      <c r="K34" s="4">
        <v>46</v>
      </c>
      <c r="L34" s="4">
        <v>52</v>
      </c>
      <c r="M34" s="4">
        <v>52</v>
      </c>
      <c r="N34" s="4">
        <v>64</v>
      </c>
      <c r="O34" s="4">
        <v>80</v>
      </c>
      <c r="P34" s="4">
        <v>100</v>
      </c>
      <c r="Q34" s="4">
        <v>96</v>
      </c>
      <c r="R34" s="4">
        <v>20</v>
      </c>
      <c r="S34" s="1">
        <f t="shared" si="0"/>
        <v>654</v>
      </c>
      <c r="T34" s="14">
        <f t="shared" si="1"/>
        <v>54.5</v>
      </c>
      <c r="U34" s="20">
        <f t="shared" si="2"/>
        <v>28</v>
      </c>
    </row>
    <row r="35" spans="1:21" ht="18" customHeight="1">
      <c r="A35" s="19">
        <v>29</v>
      </c>
      <c r="B35" s="2" t="s">
        <v>5084</v>
      </c>
      <c r="C35" s="1" t="s">
        <v>5085</v>
      </c>
      <c r="D35" s="3" t="s">
        <v>5086</v>
      </c>
      <c r="E35" s="1" t="s">
        <v>84</v>
      </c>
      <c r="F35" s="10" t="s">
        <v>4966</v>
      </c>
      <c r="G35" s="2" t="s">
        <v>97</v>
      </c>
      <c r="H35" s="4">
        <v>40</v>
      </c>
      <c r="I35" s="4">
        <v>52</v>
      </c>
      <c r="J35" s="4">
        <v>48</v>
      </c>
      <c r="K35" s="4">
        <v>52</v>
      </c>
      <c r="L35" s="4">
        <v>64</v>
      </c>
      <c r="M35" s="4">
        <v>88</v>
      </c>
      <c r="N35" s="4">
        <v>64</v>
      </c>
      <c r="O35" s="4">
        <v>36</v>
      </c>
      <c r="P35" s="4">
        <v>88</v>
      </c>
      <c r="Q35" s="4">
        <v>86</v>
      </c>
      <c r="R35" s="4">
        <v>36</v>
      </c>
      <c r="S35" s="1">
        <f t="shared" si="0"/>
        <v>654</v>
      </c>
      <c r="T35" s="14">
        <f t="shared" si="1"/>
        <v>54.5</v>
      </c>
      <c r="U35" s="20">
        <f t="shared" si="2"/>
        <v>28</v>
      </c>
    </row>
    <row r="36" spans="1:21" ht="18" customHeight="1">
      <c r="A36" s="19">
        <v>30</v>
      </c>
      <c r="B36" s="2" t="s">
        <v>5129</v>
      </c>
      <c r="C36" s="1" t="s">
        <v>5130</v>
      </c>
      <c r="D36" s="3" t="s">
        <v>5131</v>
      </c>
      <c r="E36" s="1" t="s">
        <v>67</v>
      </c>
      <c r="F36" s="10" t="s">
        <v>4966</v>
      </c>
      <c r="G36" s="2" t="s">
        <v>98</v>
      </c>
      <c r="H36" s="4">
        <v>48</v>
      </c>
      <c r="I36" s="4">
        <v>28</v>
      </c>
      <c r="J36" s="4">
        <v>88</v>
      </c>
      <c r="K36" s="4">
        <v>52</v>
      </c>
      <c r="L36" s="4">
        <v>48</v>
      </c>
      <c r="M36" s="4">
        <v>72</v>
      </c>
      <c r="N36" s="4">
        <v>60</v>
      </c>
      <c r="O36" s="4">
        <v>48</v>
      </c>
      <c r="P36" s="4">
        <v>80</v>
      </c>
      <c r="Q36" s="4">
        <v>100</v>
      </c>
      <c r="R36" s="4">
        <v>24</v>
      </c>
      <c r="S36" s="1">
        <f t="shared" si="0"/>
        <v>648</v>
      </c>
      <c r="T36" s="14">
        <f t="shared" si="1"/>
        <v>54</v>
      </c>
      <c r="U36" s="20">
        <f t="shared" si="2"/>
        <v>30</v>
      </c>
    </row>
    <row r="37" spans="1:21" ht="18" customHeight="1">
      <c r="A37" s="19">
        <v>31</v>
      </c>
      <c r="B37" s="2" t="s">
        <v>5051</v>
      </c>
      <c r="C37" s="1" t="s">
        <v>5052</v>
      </c>
      <c r="D37" s="3" t="s">
        <v>5053</v>
      </c>
      <c r="E37" s="1" t="s">
        <v>60</v>
      </c>
      <c r="F37" s="10" t="s">
        <v>4966</v>
      </c>
      <c r="G37" s="2" t="s">
        <v>97</v>
      </c>
      <c r="H37" s="4">
        <v>32</v>
      </c>
      <c r="I37" s="4">
        <v>48</v>
      </c>
      <c r="J37" s="4">
        <v>92</v>
      </c>
      <c r="K37" s="4">
        <v>40</v>
      </c>
      <c r="L37" s="4">
        <v>60</v>
      </c>
      <c r="M37" s="4">
        <v>49</v>
      </c>
      <c r="N37" s="4">
        <v>48</v>
      </c>
      <c r="O37" s="4">
        <v>48</v>
      </c>
      <c r="P37" s="4">
        <v>100</v>
      </c>
      <c r="Q37" s="4">
        <v>89</v>
      </c>
      <c r="R37" s="4">
        <v>32</v>
      </c>
      <c r="S37" s="1">
        <f t="shared" si="0"/>
        <v>638</v>
      </c>
      <c r="T37" s="14">
        <f t="shared" si="1"/>
        <v>53.166666666666664</v>
      </c>
      <c r="U37" s="20">
        <f t="shared" si="2"/>
        <v>31</v>
      </c>
    </row>
    <row r="38" spans="1:21" ht="18" customHeight="1">
      <c r="A38" s="19">
        <v>32</v>
      </c>
      <c r="B38" s="2" t="s">
        <v>5078</v>
      </c>
      <c r="C38" s="1" t="s">
        <v>5079</v>
      </c>
      <c r="D38" s="3" t="s">
        <v>5080</v>
      </c>
      <c r="E38" s="1" t="s">
        <v>84</v>
      </c>
      <c r="F38" s="10" t="s">
        <v>4966</v>
      </c>
      <c r="G38" s="2" t="s">
        <v>97</v>
      </c>
      <c r="H38" s="4">
        <v>52</v>
      </c>
      <c r="I38" s="4">
        <v>44</v>
      </c>
      <c r="J38" s="4">
        <v>80</v>
      </c>
      <c r="K38" s="4">
        <v>52</v>
      </c>
      <c r="L38" s="4">
        <v>64</v>
      </c>
      <c r="M38" s="4">
        <v>80</v>
      </c>
      <c r="N38" s="4">
        <v>12</v>
      </c>
      <c r="O38" s="4">
        <v>40</v>
      </c>
      <c r="P38" s="4">
        <v>88</v>
      </c>
      <c r="Q38" s="4">
        <v>96</v>
      </c>
      <c r="R38" s="4">
        <v>28</v>
      </c>
      <c r="S38" s="1">
        <f t="shared" si="0"/>
        <v>636</v>
      </c>
      <c r="T38" s="14">
        <f t="shared" si="1"/>
        <v>53</v>
      </c>
      <c r="U38" s="20">
        <f t="shared" si="2"/>
        <v>32</v>
      </c>
    </row>
    <row r="39" spans="1:21" ht="18" customHeight="1">
      <c r="A39" s="19">
        <v>33</v>
      </c>
      <c r="B39" s="2" t="s">
        <v>5007</v>
      </c>
      <c r="C39" s="1" t="s">
        <v>5008</v>
      </c>
      <c r="D39" s="3" t="s">
        <v>5009</v>
      </c>
      <c r="E39" s="1" t="s">
        <v>57</v>
      </c>
      <c r="F39" s="10" t="s">
        <v>4966</v>
      </c>
      <c r="G39" s="2" t="s">
        <v>96</v>
      </c>
      <c r="H39" s="4">
        <v>68</v>
      </c>
      <c r="I39" s="4">
        <v>44</v>
      </c>
      <c r="J39" s="4">
        <v>48</v>
      </c>
      <c r="K39" s="4">
        <v>40</v>
      </c>
      <c r="L39" s="4">
        <v>72</v>
      </c>
      <c r="M39" s="4">
        <v>68</v>
      </c>
      <c r="N39" s="4">
        <v>48</v>
      </c>
      <c r="O39" s="4">
        <v>20</v>
      </c>
      <c r="P39" s="4">
        <v>96</v>
      </c>
      <c r="Q39" s="4">
        <v>100</v>
      </c>
      <c r="R39" s="4">
        <v>16</v>
      </c>
      <c r="S39" s="1">
        <f t="shared" ref="S39:S69" si="3">SUBTOTAL(9,H39:R39)</f>
        <v>620</v>
      </c>
      <c r="T39" s="14">
        <f t="shared" ref="T39:T69" si="4">S39/12</f>
        <v>51.666666666666664</v>
      </c>
      <c r="U39" s="20">
        <f t="shared" ref="U39:U69" si="5">RANK(T39,T$7:T$125,0)</f>
        <v>33</v>
      </c>
    </row>
    <row r="40" spans="1:21" ht="18" customHeight="1">
      <c r="A40" s="19">
        <v>34</v>
      </c>
      <c r="B40" s="2" t="s">
        <v>5019</v>
      </c>
      <c r="C40" s="1" t="s">
        <v>5020</v>
      </c>
      <c r="D40" s="3" t="s">
        <v>5021</v>
      </c>
      <c r="E40" s="1" t="s">
        <v>71</v>
      </c>
      <c r="F40" s="10" t="s">
        <v>4966</v>
      </c>
      <c r="G40" s="2" t="s">
        <v>96</v>
      </c>
      <c r="H40" s="4">
        <v>32</v>
      </c>
      <c r="I40" s="4">
        <v>64</v>
      </c>
      <c r="J40" s="4">
        <v>84</v>
      </c>
      <c r="K40" s="4">
        <v>36</v>
      </c>
      <c r="L40" s="4">
        <v>56</v>
      </c>
      <c r="M40" s="4">
        <v>20</v>
      </c>
      <c r="N40" s="4">
        <v>68</v>
      </c>
      <c r="O40" s="4">
        <v>52</v>
      </c>
      <c r="P40" s="4">
        <v>96</v>
      </c>
      <c r="Q40" s="4">
        <v>93</v>
      </c>
      <c r="R40" s="4">
        <v>16</v>
      </c>
      <c r="S40" s="1">
        <f t="shared" si="3"/>
        <v>617</v>
      </c>
      <c r="T40" s="14">
        <f t="shared" si="4"/>
        <v>51.416666666666664</v>
      </c>
      <c r="U40" s="20">
        <f t="shared" si="5"/>
        <v>34</v>
      </c>
    </row>
    <row r="41" spans="1:21" ht="18" customHeight="1">
      <c r="A41" s="19">
        <v>35</v>
      </c>
      <c r="B41" s="2" t="s">
        <v>4990</v>
      </c>
      <c r="C41" s="1" t="s">
        <v>4991</v>
      </c>
      <c r="D41" s="3" t="s">
        <v>4992</v>
      </c>
      <c r="E41" s="1" t="s">
        <v>79</v>
      </c>
      <c r="F41" s="10" t="s">
        <v>4966</v>
      </c>
      <c r="G41" s="2" t="s">
        <v>95</v>
      </c>
      <c r="H41" s="4">
        <v>32</v>
      </c>
      <c r="I41" s="4">
        <v>48</v>
      </c>
      <c r="J41" s="4">
        <v>76</v>
      </c>
      <c r="K41" s="4">
        <v>56</v>
      </c>
      <c r="L41" s="4">
        <v>40</v>
      </c>
      <c r="M41" s="4">
        <v>52</v>
      </c>
      <c r="N41" s="4">
        <v>72</v>
      </c>
      <c r="O41" s="4">
        <v>16</v>
      </c>
      <c r="P41" s="4">
        <v>72</v>
      </c>
      <c r="Q41" s="4">
        <v>100</v>
      </c>
      <c r="R41" s="4">
        <v>16</v>
      </c>
      <c r="S41" s="1">
        <f t="shared" si="3"/>
        <v>580</v>
      </c>
      <c r="T41" s="14">
        <f t="shared" si="4"/>
        <v>48.333333333333336</v>
      </c>
      <c r="U41" s="20">
        <f t="shared" si="5"/>
        <v>35</v>
      </c>
    </row>
    <row r="42" spans="1:21" ht="18" customHeight="1">
      <c r="A42" s="19">
        <v>36</v>
      </c>
      <c r="B42" s="2" t="s">
        <v>5057</v>
      </c>
      <c r="C42" s="1" t="s">
        <v>5058</v>
      </c>
      <c r="D42" s="3" t="s">
        <v>5059</v>
      </c>
      <c r="E42" s="1" t="s">
        <v>60</v>
      </c>
      <c r="F42" s="10" t="s">
        <v>4966</v>
      </c>
      <c r="G42" s="2" t="s">
        <v>97</v>
      </c>
      <c r="H42" s="4">
        <v>32</v>
      </c>
      <c r="I42" s="4">
        <v>48</v>
      </c>
      <c r="J42" s="4">
        <v>88</v>
      </c>
      <c r="K42" s="4">
        <v>52</v>
      </c>
      <c r="L42" s="4">
        <v>56</v>
      </c>
      <c r="M42" s="4">
        <v>40</v>
      </c>
      <c r="N42" s="4">
        <v>16</v>
      </c>
      <c r="O42" s="4">
        <v>32</v>
      </c>
      <c r="P42" s="4">
        <v>92</v>
      </c>
      <c r="Q42" s="4">
        <v>93</v>
      </c>
      <c r="R42" s="4">
        <v>28</v>
      </c>
      <c r="S42" s="1">
        <f t="shared" si="3"/>
        <v>577</v>
      </c>
      <c r="T42" s="14">
        <f t="shared" si="4"/>
        <v>48.083333333333336</v>
      </c>
      <c r="U42" s="20">
        <f t="shared" si="5"/>
        <v>36</v>
      </c>
    </row>
    <row r="43" spans="1:21" ht="18" customHeight="1">
      <c r="A43" s="19">
        <v>37</v>
      </c>
      <c r="B43" s="2" t="s">
        <v>5066</v>
      </c>
      <c r="C43" s="1" t="s">
        <v>5067</v>
      </c>
      <c r="D43" s="3" t="s">
        <v>5068</v>
      </c>
      <c r="E43" s="1" t="s">
        <v>81</v>
      </c>
      <c r="F43" s="10" t="s">
        <v>4966</v>
      </c>
      <c r="G43" s="2" t="s">
        <v>97</v>
      </c>
      <c r="H43" s="4">
        <v>40</v>
      </c>
      <c r="I43" s="4">
        <v>36</v>
      </c>
      <c r="J43" s="4">
        <v>84</v>
      </c>
      <c r="K43" s="4">
        <v>52</v>
      </c>
      <c r="L43" s="4">
        <v>64</v>
      </c>
      <c r="M43" s="4">
        <v>32</v>
      </c>
      <c r="N43" s="4">
        <v>44</v>
      </c>
      <c r="O43" s="4">
        <v>20</v>
      </c>
      <c r="P43" s="4">
        <v>100</v>
      </c>
      <c r="Q43" s="4">
        <v>86</v>
      </c>
      <c r="R43" s="4">
        <v>16</v>
      </c>
      <c r="S43" s="1">
        <f t="shared" si="3"/>
        <v>574</v>
      </c>
      <c r="T43" s="14">
        <f t="shared" si="4"/>
        <v>47.833333333333336</v>
      </c>
      <c r="U43" s="20">
        <f t="shared" si="5"/>
        <v>37</v>
      </c>
    </row>
    <row r="44" spans="1:21" ht="18" customHeight="1">
      <c r="A44" s="19">
        <v>38</v>
      </c>
      <c r="B44" s="2" t="s">
        <v>4975</v>
      </c>
      <c r="C44" s="1" t="s">
        <v>4976</v>
      </c>
      <c r="D44" s="3" t="s">
        <v>4977</v>
      </c>
      <c r="E44" s="1" t="s">
        <v>69</v>
      </c>
      <c r="F44" s="10" t="s">
        <v>4966</v>
      </c>
      <c r="G44" s="2" t="s">
        <v>95</v>
      </c>
      <c r="H44" s="4">
        <v>40</v>
      </c>
      <c r="I44" s="4">
        <v>56</v>
      </c>
      <c r="J44" s="4">
        <v>80</v>
      </c>
      <c r="K44" s="4">
        <v>64</v>
      </c>
      <c r="L44" s="4">
        <v>52</v>
      </c>
      <c r="M44" s="4">
        <v>48</v>
      </c>
      <c r="N44" s="4">
        <v>16</v>
      </c>
      <c r="O44" s="4">
        <v>4</v>
      </c>
      <c r="P44" s="4">
        <v>96</v>
      </c>
      <c r="Q44" s="4">
        <v>93</v>
      </c>
      <c r="R44" s="4">
        <v>16</v>
      </c>
      <c r="S44" s="1">
        <f t="shared" si="3"/>
        <v>565</v>
      </c>
      <c r="T44" s="14">
        <f t="shared" si="4"/>
        <v>47.083333333333336</v>
      </c>
      <c r="U44" s="20">
        <f t="shared" si="5"/>
        <v>38</v>
      </c>
    </row>
    <row r="45" spans="1:21" ht="18" customHeight="1">
      <c r="A45" s="19">
        <v>39</v>
      </c>
      <c r="B45" s="2" t="s">
        <v>4978</v>
      </c>
      <c r="C45" s="1" t="s">
        <v>4979</v>
      </c>
      <c r="D45" s="3" t="s">
        <v>4980</v>
      </c>
      <c r="E45" s="1" t="s">
        <v>55</v>
      </c>
      <c r="F45" s="10" t="s">
        <v>4966</v>
      </c>
      <c r="G45" s="2" t="s">
        <v>95</v>
      </c>
      <c r="H45" s="4">
        <v>52</v>
      </c>
      <c r="I45" s="4">
        <v>44</v>
      </c>
      <c r="J45" s="4">
        <v>60</v>
      </c>
      <c r="K45" s="4">
        <v>36</v>
      </c>
      <c r="L45" s="4">
        <v>40</v>
      </c>
      <c r="M45" s="4">
        <v>48</v>
      </c>
      <c r="N45" s="4">
        <v>44</v>
      </c>
      <c r="O45" s="4">
        <v>32</v>
      </c>
      <c r="P45" s="4">
        <v>88</v>
      </c>
      <c r="Q45" s="4">
        <v>93</v>
      </c>
      <c r="R45" s="4">
        <v>28</v>
      </c>
      <c r="S45" s="1">
        <f t="shared" si="3"/>
        <v>565</v>
      </c>
      <c r="T45" s="14">
        <f t="shared" si="4"/>
        <v>47.083333333333336</v>
      </c>
      <c r="U45" s="20">
        <f t="shared" si="5"/>
        <v>38</v>
      </c>
    </row>
    <row r="46" spans="1:21" ht="18" customHeight="1">
      <c r="A46" s="19">
        <v>40</v>
      </c>
      <c r="B46" s="2" t="s">
        <v>4972</v>
      </c>
      <c r="C46" s="1" t="s">
        <v>4973</v>
      </c>
      <c r="D46" s="3" t="s">
        <v>4974</v>
      </c>
      <c r="E46" s="1" t="s">
        <v>69</v>
      </c>
      <c r="F46" s="10" t="s">
        <v>4966</v>
      </c>
      <c r="G46" s="2" t="s">
        <v>95</v>
      </c>
      <c r="H46" s="4">
        <v>36</v>
      </c>
      <c r="I46" s="4">
        <v>36</v>
      </c>
      <c r="J46" s="4">
        <v>64</v>
      </c>
      <c r="K46" s="4">
        <v>36</v>
      </c>
      <c r="L46" s="4">
        <v>60</v>
      </c>
      <c r="M46" s="4">
        <v>60</v>
      </c>
      <c r="N46" s="4">
        <v>48</v>
      </c>
      <c r="O46" s="4">
        <v>24</v>
      </c>
      <c r="P46" s="4">
        <v>96</v>
      </c>
      <c r="Q46" s="4">
        <v>96</v>
      </c>
      <c r="R46" s="4">
        <v>8</v>
      </c>
      <c r="S46" s="1">
        <f t="shared" si="3"/>
        <v>564</v>
      </c>
      <c r="T46" s="14">
        <f t="shared" si="4"/>
        <v>47</v>
      </c>
      <c r="U46" s="20">
        <f t="shared" si="5"/>
        <v>40</v>
      </c>
    </row>
    <row r="47" spans="1:21" ht="18" customHeight="1">
      <c r="A47" s="19">
        <v>41</v>
      </c>
      <c r="B47" s="2" t="s">
        <v>5072</v>
      </c>
      <c r="C47" s="1" t="s">
        <v>5073</v>
      </c>
      <c r="D47" s="3" t="s">
        <v>5074</v>
      </c>
      <c r="E47" s="1" t="s">
        <v>73</v>
      </c>
      <c r="F47" s="10" t="s">
        <v>4966</v>
      </c>
      <c r="G47" s="2" t="s">
        <v>97</v>
      </c>
      <c r="H47" s="4">
        <v>48</v>
      </c>
      <c r="I47" s="4">
        <v>40</v>
      </c>
      <c r="J47" s="4">
        <v>60</v>
      </c>
      <c r="K47" s="4">
        <v>28</v>
      </c>
      <c r="L47" s="4">
        <v>64</v>
      </c>
      <c r="M47" s="4">
        <v>32</v>
      </c>
      <c r="N47" s="4">
        <v>40</v>
      </c>
      <c r="O47" s="4">
        <v>24</v>
      </c>
      <c r="P47" s="4">
        <v>92</v>
      </c>
      <c r="Q47" s="4">
        <v>93</v>
      </c>
      <c r="R47" s="4">
        <v>40</v>
      </c>
      <c r="S47" s="1">
        <f t="shared" si="3"/>
        <v>561</v>
      </c>
      <c r="T47" s="14">
        <f t="shared" si="4"/>
        <v>46.75</v>
      </c>
      <c r="U47" s="20">
        <f t="shared" si="5"/>
        <v>41</v>
      </c>
    </row>
    <row r="48" spans="1:21" ht="18" customHeight="1">
      <c r="A48" s="19">
        <v>42</v>
      </c>
      <c r="B48" s="2" t="s">
        <v>5042</v>
      </c>
      <c r="C48" s="1" t="s">
        <v>5043</v>
      </c>
      <c r="D48" s="3" t="s">
        <v>5044</v>
      </c>
      <c r="E48" s="1" t="s">
        <v>59</v>
      </c>
      <c r="F48" s="10" t="s">
        <v>4966</v>
      </c>
      <c r="G48" s="2" t="s">
        <v>96</v>
      </c>
      <c r="H48" s="4">
        <v>28</v>
      </c>
      <c r="I48" s="4">
        <v>32</v>
      </c>
      <c r="J48" s="4">
        <v>72</v>
      </c>
      <c r="K48" s="4">
        <v>40</v>
      </c>
      <c r="L48" s="4">
        <v>68</v>
      </c>
      <c r="M48" s="4">
        <v>44</v>
      </c>
      <c r="N48" s="4">
        <v>36</v>
      </c>
      <c r="O48" s="4">
        <v>4</v>
      </c>
      <c r="P48" s="4">
        <v>100</v>
      </c>
      <c r="Q48" s="4">
        <v>89</v>
      </c>
      <c r="R48" s="4">
        <v>36</v>
      </c>
      <c r="S48" s="1">
        <f t="shared" si="3"/>
        <v>549</v>
      </c>
      <c r="T48" s="14">
        <f t="shared" si="4"/>
        <v>45.75</v>
      </c>
      <c r="U48" s="20">
        <f t="shared" si="5"/>
        <v>42</v>
      </c>
    </row>
    <row r="49" spans="1:21" ht="18" customHeight="1">
      <c r="A49" s="19">
        <v>43</v>
      </c>
      <c r="B49" s="2" t="s">
        <v>5096</v>
      </c>
      <c r="C49" s="1" t="s">
        <v>5097</v>
      </c>
      <c r="D49" s="3" t="s">
        <v>5098</v>
      </c>
      <c r="E49" s="1" t="s">
        <v>78</v>
      </c>
      <c r="F49" s="10" t="s">
        <v>4966</v>
      </c>
      <c r="G49" s="2" t="s">
        <v>98</v>
      </c>
      <c r="H49" s="4">
        <v>44</v>
      </c>
      <c r="I49" s="4">
        <v>28</v>
      </c>
      <c r="J49" s="4">
        <v>64</v>
      </c>
      <c r="K49" s="4">
        <v>48</v>
      </c>
      <c r="L49" s="4">
        <v>56</v>
      </c>
      <c r="M49" s="4">
        <v>32</v>
      </c>
      <c r="N49" s="4">
        <v>52</v>
      </c>
      <c r="O49" s="4">
        <v>44</v>
      </c>
      <c r="P49" s="4">
        <v>64</v>
      </c>
      <c r="Q49" s="4">
        <v>100</v>
      </c>
      <c r="R49" s="4">
        <v>16</v>
      </c>
      <c r="S49" s="1">
        <f t="shared" si="3"/>
        <v>548</v>
      </c>
      <c r="T49" s="14">
        <f t="shared" si="4"/>
        <v>45.666666666666664</v>
      </c>
      <c r="U49" s="20">
        <f t="shared" si="5"/>
        <v>43</v>
      </c>
    </row>
    <row r="50" spans="1:21" ht="18" customHeight="1">
      <c r="A50" s="19">
        <v>44</v>
      </c>
      <c r="B50" s="2" t="s">
        <v>4981</v>
      </c>
      <c r="C50" s="1" t="s">
        <v>4982</v>
      </c>
      <c r="D50" s="3" t="s">
        <v>4983</v>
      </c>
      <c r="E50" s="1" t="s">
        <v>79</v>
      </c>
      <c r="F50" s="10" t="s">
        <v>4966</v>
      </c>
      <c r="G50" s="2" t="s">
        <v>95</v>
      </c>
      <c r="H50" s="4">
        <v>20</v>
      </c>
      <c r="I50" s="4">
        <v>20</v>
      </c>
      <c r="J50" s="4">
        <v>64</v>
      </c>
      <c r="K50" s="4">
        <v>58</v>
      </c>
      <c r="L50" s="4">
        <v>44</v>
      </c>
      <c r="M50" s="4">
        <v>44</v>
      </c>
      <c r="N50" s="4">
        <v>80</v>
      </c>
      <c r="O50" s="4">
        <v>12</v>
      </c>
      <c r="P50" s="4">
        <v>84</v>
      </c>
      <c r="Q50" s="4">
        <v>100</v>
      </c>
      <c r="R50" s="4">
        <v>16</v>
      </c>
      <c r="S50" s="1">
        <f t="shared" si="3"/>
        <v>542</v>
      </c>
      <c r="T50" s="14">
        <f t="shared" si="4"/>
        <v>45.166666666666664</v>
      </c>
      <c r="U50" s="20">
        <f t="shared" si="5"/>
        <v>44</v>
      </c>
    </row>
    <row r="51" spans="1:21" ht="18" customHeight="1">
      <c r="A51" s="19">
        <v>45</v>
      </c>
      <c r="B51" s="2" t="s">
        <v>5117</v>
      </c>
      <c r="C51" s="1" t="s">
        <v>5118</v>
      </c>
      <c r="D51" s="3" t="s">
        <v>5119</v>
      </c>
      <c r="E51" s="1" t="s">
        <v>65</v>
      </c>
      <c r="F51" s="10" t="s">
        <v>4966</v>
      </c>
      <c r="G51" s="2" t="s">
        <v>98</v>
      </c>
      <c r="H51" s="4">
        <v>36</v>
      </c>
      <c r="I51" s="4">
        <v>52</v>
      </c>
      <c r="J51" s="4">
        <v>44</v>
      </c>
      <c r="K51" s="4">
        <v>36</v>
      </c>
      <c r="L51" s="4">
        <v>68</v>
      </c>
      <c r="M51" s="4">
        <v>40</v>
      </c>
      <c r="N51" s="4">
        <v>48</v>
      </c>
      <c r="O51" s="4">
        <v>32</v>
      </c>
      <c r="P51" s="4">
        <v>76</v>
      </c>
      <c r="Q51" s="4">
        <v>82</v>
      </c>
      <c r="R51" s="4">
        <v>12</v>
      </c>
      <c r="S51" s="1">
        <f t="shared" si="3"/>
        <v>526</v>
      </c>
      <c r="T51" s="14">
        <f t="shared" si="4"/>
        <v>43.833333333333336</v>
      </c>
      <c r="U51" s="20">
        <f t="shared" si="5"/>
        <v>45</v>
      </c>
    </row>
    <row r="52" spans="1:21" ht="18" customHeight="1">
      <c r="A52" s="19">
        <v>46</v>
      </c>
      <c r="B52" s="2" t="s">
        <v>4970</v>
      </c>
      <c r="C52" s="1">
        <v>4032198</v>
      </c>
      <c r="D52" s="3" t="s">
        <v>4971</v>
      </c>
      <c r="E52" s="1" t="s">
        <v>61</v>
      </c>
      <c r="F52" s="10" t="s">
        <v>4966</v>
      </c>
      <c r="G52" s="2" t="s">
        <v>95</v>
      </c>
      <c r="H52" s="4">
        <v>16</v>
      </c>
      <c r="I52" s="4">
        <v>60</v>
      </c>
      <c r="J52" s="4">
        <v>80</v>
      </c>
      <c r="K52" s="4">
        <v>48</v>
      </c>
      <c r="L52" s="4">
        <v>28</v>
      </c>
      <c r="M52" s="4">
        <v>36</v>
      </c>
      <c r="N52" s="4">
        <v>24</v>
      </c>
      <c r="O52" s="4">
        <v>28</v>
      </c>
      <c r="P52" s="4">
        <v>84</v>
      </c>
      <c r="Q52" s="4">
        <v>86</v>
      </c>
      <c r="R52" s="4">
        <v>16</v>
      </c>
      <c r="S52" s="1">
        <f t="shared" si="3"/>
        <v>506</v>
      </c>
      <c r="T52" s="14">
        <f t="shared" si="4"/>
        <v>42.166666666666664</v>
      </c>
      <c r="U52" s="20">
        <f t="shared" si="5"/>
        <v>46</v>
      </c>
    </row>
    <row r="53" spans="1:21" ht="18" customHeight="1">
      <c r="A53" s="19">
        <v>47</v>
      </c>
      <c r="B53" s="2" t="s">
        <v>4984</v>
      </c>
      <c r="C53" s="1" t="s">
        <v>4985</v>
      </c>
      <c r="D53" s="3" t="s">
        <v>4986</v>
      </c>
      <c r="E53" s="1" t="s">
        <v>79</v>
      </c>
      <c r="F53" s="10" t="s">
        <v>4966</v>
      </c>
      <c r="G53" s="2" t="s">
        <v>95</v>
      </c>
      <c r="H53" s="4">
        <v>16</v>
      </c>
      <c r="I53" s="4">
        <v>28</v>
      </c>
      <c r="J53" s="4">
        <v>56</v>
      </c>
      <c r="K53" s="4">
        <v>28</v>
      </c>
      <c r="L53" s="4">
        <v>28</v>
      </c>
      <c r="M53" s="4">
        <v>36</v>
      </c>
      <c r="N53" s="4">
        <v>84</v>
      </c>
      <c r="O53" s="4">
        <v>24</v>
      </c>
      <c r="P53" s="4">
        <v>64</v>
      </c>
      <c r="Q53" s="4">
        <v>100</v>
      </c>
      <c r="R53" s="4">
        <v>40</v>
      </c>
      <c r="S53" s="1">
        <f t="shared" si="3"/>
        <v>504</v>
      </c>
      <c r="T53" s="14">
        <f t="shared" si="4"/>
        <v>42</v>
      </c>
      <c r="U53" s="20">
        <f t="shared" si="5"/>
        <v>47</v>
      </c>
    </row>
    <row r="54" spans="1:21" ht="18" customHeight="1">
      <c r="A54" s="19">
        <v>48</v>
      </c>
      <c r="B54" s="2" t="s">
        <v>5132</v>
      </c>
      <c r="C54" s="1" t="s">
        <v>5133</v>
      </c>
      <c r="D54" s="3" t="s">
        <v>5134</v>
      </c>
      <c r="E54" s="1" t="s">
        <v>353</v>
      </c>
      <c r="F54" s="10" t="s">
        <v>4966</v>
      </c>
      <c r="G54" s="2" t="s">
        <v>98</v>
      </c>
      <c r="H54" s="4">
        <v>40</v>
      </c>
      <c r="I54" s="4">
        <v>44</v>
      </c>
      <c r="J54" s="4">
        <v>80</v>
      </c>
      <c r="K54" s="4">
        <v>60</v>
      </c>
      <c r="L54" s="4">
        <v>52</v>
      </c>
      <c r="M54" s="4">
        <v>56</v>
      </c>
      <c r="N54" s="4">
        <v>16</v>
      </c>
      <c r="O54" s="4">
        <v>32</v>
      </c>
      <c r="P54" s="4">
        <v>92</v>
      </c>
      <c r="Q54" s="4">
        <v>0</v>
      </c>
      <c r="R54" s="4">
        <v>24</v>
      </c>
      <c r="S54" s="1">
        <f t="shared" si="3"/>
        <v>496</v>
      </c>
      <c r="T54" s="14">
        <f t="shared" si="4"/>
        <v>41.333333333333336</v>
      </c>
      <c r="U54" s="20">
        <f t="shared" si="5"/>
        <v>48</v>
      </c>
    </row>
    <row r="55" spans="1:21" ht="18" customHeight="1">
      <c r="A55" s="19">
        <v>49</v>
      </c>
      <c r="B55" s="2" t="s">
        <v>5141</v>
      </c>
      <c r="C55" s="1" t="s">
        <v>5142</v>
      </c>
      <c r="D55" s="3" t="s">
        <v>5143</v>
      </c>
      <c r="E55" s="1" t="s">
        <v>80</v>
      </c>
      <c r="F55" s="10" t="s">
        <v>4966</v>
      </c>
      <c r="G55" s="2" t="s">
        <v>99</v>
      </c>
      <c r="H55" s="4">
        <v>52</v>
      </c>
      <c r="I55" s="4">
        <v>33</v>
      </c>
      <c r="J55" s="4">
        <v>44</v>
      </c>
      <c r="K55" s="4">
        <v>24</v>
      </c>
      <c r="L55" s="4">
        <v>20</v>
      </c>
      <c r="M55" s="4">
        <v>20</v>
      </c>
      <c r="N55" s="4">
        <v>16</v>
      </c>
      <c r="O55" s="4">
        <v>40</v>
      </c>
      <c r="P55" s="4">
        <v>48</v>
      </c>
      <c r="Q55" s="4">
        <v>100</v>
      </c>
      <c r="R55" s="4">
        <v>68</v>
      </c>
      <c r="S55" s="1">
        <f t="shared" si="3"/>
        <v>465</v>
      </c>
      <c r="T55" s="14">
        <f t="shared" si="4"/>
        <v>38.75</v>
      </c>
      <c r="U55" s="20">
        <f t="shared" si="5"/>
        <v>49</v>
      </c>
    </row>
    <row r="56" spans="1:21" ht="18" customHeight="1">
      <c r="A56" s="19">
        <v>50</v>
      </c>
      <c r="B56" s="2" t="s">
        <v>5033</v>
      </c>
      <c r="C56" s="1" t="s">
        <v>5034</v>
      </c>
      <c r="D56" s="3" t="s">
        <v>5035</v>
      </c>
      <c r="E56" s="1" t="s">
        <v>58</v>
      </c>
      <c r="F56" s="10" t="s">
        <v>4966</v>
      </c>
      <c r="G56" s="2" t="s">
        <v>96</v>
      </c>
      <c r="H56" s="4">
        <v>36</v>
      </c>
      <c r="I56" s="4">
        <v>48</v>
      </c>
      <c r="J56" s="4">
        <v>20</v>
      </c>
      <c r="K56" s="4">
        <v>36</v>
      </c>
      <c r="L56" s="4">
        <v>56</v>
      </c>
      <c r="M56" s="4">
        <v>40</v>
      </c>
      <c r="N56" s="4">
        <v>20</v>
      </c>
      <c r="O56" s="4">
        <v>8</v>
      </c>
      <c r="P56" s="4">
        <v>88</v>
      </c>
      <c r="Q56" s="4">
        <v>96</v>
      </c>
      <c r="R56" s="4">
        <v>16</v>
      </c>
      <c r="S56" s="1">
        <f t="shared" si="3"/>
        <v>464</v>
      </c>
      <c r="T56" s="14">
        <f t="shared" si="4"/>
        <v>38.666666666666664</v>
      </c>
      <c r="U56" s="20">
        <f t="shared" si="5"/>
        <v>50</v>
      </c>
    </row>
    <row r="57" spans="1:21" ht="18" customHeight="1">
      <c r="A57" s="19">
        <v>51</v>
      </c>
      <c r="B57" s="2" t="s">
        <v>5138</v>
      </c>
      <c r="C57" s="1" t="s">
        <v>5139</v>
      </c>
      <c r="D57" s="3" t="s">
        <v>5140</v>
      </c>
      <c r="E57" s="1" t="s">
        <v>76</v>
      </c>
      <c r="F57" s="10" t="s">
        <v>4966</v>
      </c>
      <c r="G57" s="2" t="s">
        <v>99</v>
      </c>
      <c r="H57" s="4">
        <v>24</v>
      </c>
      <c r="I57" s="4">
        <v>16</v>
      </c>
      <c r="J57" s="4">
        <v>92</v>
      </c>
      <c r="K57" s="4">
        <v>56</v>
      </c>
      <c r="L57" s="4">
        <v>40</v>
      </c>
      <c r="M57" s="4">
        <v>56</v>
      </c>
      <c r="N57" s="4">
        <v>28</v>
      </c>
      <c r="O57" s="4">
        <v>12</v>
      </c>
      <c r="P57" s="4">
        <v>68</v>
      </c>
      <c r="Q57" s="4">
        <v>64</v>
      </c>
      <c r="R57" s="4">
        <v>8</v>
      </c>
      <c r="S57" s="1">
        <f t="shared" si="3"/>
        <v>464</v>
      </c>
      <c r="T57" s="14">
        <f t="shared" si="4"/>
        <v>38.666666666666664</v>
      </c>
      <c r="U57" s="20">
        <f t="shared" si="5"/>
        <v>50</v>
      </c>
    </row>
    <row r="58" spans="1:21" ht="18" customHeight="1">
      <c r="A58" s="19">
        <v>52</v>
      </c>
      <c r="B58" s="2" t="s">
        <v>5004</v>
      </c>
      <c r="C58" s="1" t="s">
        <v>5005</v>
      </c>
      <c r="D58" s="3" t="s">
        <v>5006</v>
      </c>
      <c r="E58" s="1" t="s">
        <v>57</v>
      </c>
      <c r="F58" s="10" t="s">
        <v>4966</v>
      </c>
      <c r="G58" s="2" t="s">
        <v>96</v>
      </c>
      <c r="H58" s="4">
        <v>24</v>
      </c>
      <c r="I58" s="4">
        <v>24</v>
      </c>
      <c r="J58" s="4">
        <v>56</v>
      </c>
      <c r="K58" s="4">
        <v>36</v>
      </c>
      <c r="L58" s="4">
        <v>48</v>
      </c>
      <c r="M58" s="4">
        <v>20</v>
      </c>
      <c r="N58" s="4">
        <v>60</v>
      </c>
      <c r="O58" s="4">
        <v>20</v>
      </c>
      <c r="P58" s="4">
        <v>76</v>
      </c>
      <c r="Q58" s="4">
        <v>60</v>
      </c>
      <c r="R58" s="4">
        <v>24</v>
      </c>
      <c r="S58" s="1">
        <f t="shared" si="3"/>
        <v>448</v>
      </c>
      <c r="T58" s="14">
        <f t="shared" si="4"/>
        <v>37.333333333333336</v>
      </c>
      <c r="U58" s="20">
        <f t="shared" si="5"/>
        <v>52</v>
      </c>
    </row>
    <row r="59" spans="1:21" ht="18" customHeight="1">
      <c r="A59" s="19">
        <v>53</v>
      </c>
      <c r="B59" s="2" t="s">
        <v>5090</v>
      </c>
      <c r="C59" s="1" t="s">
        <v>5091</v>
      </c>
      <c r="D59" s="3" t="s">
        <v>5092</v>
      </c>
      <c r="E59" s="1" t="s">
        <v>63</v>
      </c>
      <c r="F59" s="10" t="s">
        <v>4966</v>
      </c>
      <c r="G59" s="2" t="s">
        <v>98</v>
      </c>
      <c r="H59" s="4">
        <v>32</v>
      </c>
      <c r="I59" s="4">
        <v>24</v>
      </c>
      <c r="J59" s="4">
        <v>64</v>
      </c>
      <c r="K59" s="4">
        <v>56</v>
      </c>
      <c r="L59" s="4">
        <v>36</v>
      </c>
      <c r="M59" s="4">
        <v>44</v>
      </c>
      <c r="N59" s="4">
        <v>28</v>
      </c>
      <c r="O59" s="4">
        <v>8</v>
      </c>
      <c r="P59" s="4">
        <v>48</v>
      </c>
      <c r="Q59" s="4">
        <v>100</v>
      </c>
      <c r="R59" s="4">
        <v>8</v>
      </c>
      <c r="S59" s="1">
        <f t="shared" si="3"/>
        <v>448</v>
      </c>
      <c r="T59" s="14">
        <f t="shared" si="4"/>
        <v>37.333333333333336</v>
      </c>
      <c r="U59" s="20">
        <f t="shared" si="5"/>
        <v>52</v>
      </c>
    </row>
    <row r="60" spans="1:21" ht="18" customHeight="1">
      <c r="A60" s="19">
        <v>54</v>
      </c>
      <c r="B60" s="2" t="s">
        <v>4987</v>
      </c>
      <c r="C60" s="1" t="s">
        <v>4988</v>
      </c>
      <c r="D60" s="3" t="s">
        <v>4989</v>
      </c>
      <c r="E60" s="1" t="s">
        <v>79</v>
      </c>
      <c r="F60" s="10" t="s">
        <v>4966</v>
      </c>
      <c r="G60" s="2" t="s">
        <v>95</v>
      </c>
      <c r="H60" s="4">
        <v>16</v>
      </c>
      <c r="I60" s="4">
        <v>32</v>
      </c>
      <c r="J60" s="4">
        <v>20</v>
      </c>
      <c r="K60" s="4">
        <v>44</v>
      </c>
      <c r="L60" s="4">
        <v>32</v>
      </c>
      <c r="M60" s="4">
        <v>24</v>
      </c>
      <c r="N60" s="4">
        <v>72</v>
      </c>
      <c r="O60" s="4">
        <v>20</v>
      </c>
      <c r="P60" s="4">
        <v>72</v>
      </c>
      <c r="Q60" s="4">
        <v>96</v>
      </c>
      <c r="R60" s="4">
        <v>12</v>
      </c>
      <c r="S60" s="1">
        <f t="shared" si="3"/>
        <v>440</v>
      </c>
      <c r="T60" s="14">
        <f t="shared" si="4"/>
        <v>36.666666666666664</v>
      </c>
      <c r="U60" s="20">
        <f t="shared" si="5"/>
        <v>54</v>
      </c>
    </row>
    <row r="61" spans="1:21" ht="18" customHeight="1">
      <c r="A61" s="19">
        <v>55</v>
      </c>
      <c r="B61" s="2" t="s">
        <v>5045</v>
      </c>
      <c r="C61" s="1" t="s">
        <v>5046</v>
      </c>
      <c r="D61" s="3" t="s">
        <v>5047</v>
      </c>
      <c r="E61" s="1" t="s">
        <v>59</v>
      </c>
      <c r="F61" s="10" t="s">
        <v>4966</v>
      </c>
      <c r="G61" s="2" t="s">
        <v>97</v>
      </c>
      <c r="H61" s="4">
        <v>36</v>
      </c>
      <c r="I61" s="4">
        <v>16</v>
      </c>
      <c r="J61" s="4">
        <v>76</v>
      </c>
      <c r="K61" s="4">
        <v>36</v>
      </c>
      <c r="L61" s="4">
        <v>56</v>
      </c>
      <c r="M61" s="4">
        <v>84</v>
      </c>
      <c r="N61" s="4"/>
      <c r="O61" s="4">
        <v>36</v>
      </c>
      <c r="P61" s="4"/>
      <c r="Q61" s="4">
        <v>100</v>
      </c>
      <c r="R61" s="4"/>
      <c r="S61" s="1">
        <f t="shared" si="3"/>
        <v>440</v>
      </c>
      <c r="T61" s="14">
        <f t="shared" si="4"/>
        <v>36.666666666666664</v>
      </c>
      <c r="U61" s="20">
        <f t="shared" si="5"/>
        <v>54</v>
      </c>
    </row>
    <row r="62" spans="1:21" ht="18" customHeight="1">
      <c r="A62" s="19">
        <v>56</v>
      </c>
      <c r="B62" s="2" t="s">
        <v>5036</v>
      </c>
      <c r="C62" s="1" t="s">
        <v>5037</v>
      </c>
      <c r="D62" s="3" t="s">
        <v>5038</v>
      </c>
      <c r="E62" s="1" t="s">
        <v>58</v>
      </c>
      <c r="F62" s="10" t="s">
        <v>4966</v>
      </c>
      <c r="G62" s="2" t="s">
        <v>96</v>
      </c>
      <c r="H62" s="4">
        <v>52</v>
      </c>
      <c r="I62" s="4">
        <v>20</v>
      </c>
      <c r="J62" s="4">
        <v>24</v>
      </c>
      <c r="K62" s="4">
        <v>32</v>
      </c>
      <c r="L62" s="4">
        <v>32</v>
      </c>
      <c r="M62" s="4">
        <v>32</v>
      </c>
      <c r="N62" s="4">
        <v>40</v>
      </c>
      <c r="O62" s="4">
        <v>20</v>
      </c>
      <c r="P62" s="4">
        <v>52</v>
      </c>
      <c r="Q62" s="4">
        <v>100</v>
      </c>
      <c r="R62" s="4">
        <v>24</v>
      </c>
      <c r="S62" s="1">
        <f t="shared" si="3"/>
        <v>428</v>
      </c>
      <c r="T62" s="14">
        <f t="shared" si="4"/>
        <v>35.666666666666664</v>
      </c>
      <c r="U62" s="20">
        <f t="shared" si="5"/>
        <v>56</v>
      </c>
    </row>
    <row r="63" spans="1:21" ht="18" customHeight="1">
      <c r="A63" s="19">
        <v>57</v>
      </c>
      <c r="B63" s="2" t="s">
        <v>4963</v>
      </c>
      <c r="C63" s="1" t="s">
        <v>4964</v>
      </c>
      <c r="D63" s="3" t="s">
        <v>4965</v>
      </c>
      <c r="E63" s="1" t="s">
        <v>90</v>
      </c>
      <c r="F63" s="10" t="s">
        <v>4966</v>
      </c>
      <c r="G63" s="2" t="s">
        <v>95</v>
      </c>
      <c r="H63" s="4">
        <v>28</v>
      </c>
      <c r="I63" s="4">
        <v>16</v>
      </c>
      <c r="J63" s="4">
        <v>24</v>
      </c>
      <c r="K63" s="4">
        <v>24</v>
      </c>
      <c r="L63" s="4">
        <v>44</v>
      </c>
      <c r="M63" s="4">
        <v>8</v>
      </c>
      <c r="N63" s="4">
        <v>56</v>
      </c>
      <c r="O63" s="4">
        <v>8</v>
      </c>
      <c r="P63" s="4">
        <v>96</v>
      </c>
      <c r="Q63" s="4">
        <v>82</v>
      </c>
      <c r="R63" s="4">
        <v>12</v>
      </c>
      <c r="S63" s="1">
        <f t="shared" si="3"/>
        <v>398</v>
      </c>
      <c r="T63" s="14">
        <f t="shared" si="4"/>
        <v>33.166666666666664</v>
      </c>
      <c r="U63" s="20">
        <f t="shared" si="5"/>
        <v>57</v>
      </c>
    </row>
    <row r="64" spans="1:21" ht="18" customHeight="1">
      <c r="A64" s="19">
        <v>58</v>
      </c>
      <c r="B64" s="2" t="s">
        <v>5010</v>
      </c>
      <c r="C64" s="1" t="s">
        <v>5011</v>
      </c>
      <c r="D64" s="3" t="s">
        <v>5012</v>
      </c>
      <c r="E64" s="1" t="s">
        <v>57</v>
      </c>
      <c r="F64" s="10" t="s">
        <v>4966</v>
      </c>
      <c r="G64" s="2" t="s">
        <v>96</v>
      </c>
      <c r="H64" s="4">
        <v>20</v>
      </c>
      <c r="I64" s="4">
        <v>24</v>
      </c>
      <c r="J64" s="4">
        <v>40</v>
      </c>
      <c r="K64" s="4">
        <v>16</v>
      </c>
      <c r="L64" s="4">
        <v>56</v>
      </c>
      <c r="M64" s="4">
        <v>20</v>
      </c>
      <c r="N64" s="4">
        <v>32</v>
      </c>
      <c r="O64" s="4">
        <v>56</v>
      </c>
      <c r="P64" s="4">
        <v>52</v>
      </c>
      <c r="Q64" s="4">
        <v>68</v>
      </c>
      <c r="R64" s="4">
        <v>0</v>
      </c>
      <c r="S64" s="1">
        <f t="shared" si="3"/>
        <v>384</v>
      </c>
      <c r="T64" s="14">
        <f t="shared" si="4"/>
        <v>32</v>
      </c>
      <c r="U64" s="20">
        <f t="shared" si="5"/>
        <v>58</v>
      </c>
    </row>
    <row r="65" spans="1:21" ht="18" customHeight="1">
      <c r="A65" s="19">
        <v>59</v>
      </c>
      <c r="B65" s="2" t="s">
        <v>5013</v>
      </c>
      <c r="C65" s="1" t="s">
        <v>5014</v>
      </c>
      <c r="D65" s="3" t="s">
        <v>5015</v>
      </c>
      <c r="E65" s="1" t="s">
        <v>57</v>
      </c>
      <c r="F65" s="10" t="s">
        <v>4966</v>
      </c>
      <c r="G65" s="2" t="s">
        <v>96</v>
      </c>
      <c r="H65" s="4">
        <v>20</v>
      </c>
      <c r="I65" s="4">
        <v>32</v>
      </c>
      <c r="J65" s="4">
        <v>52</v>
      </c>
      <c r="K65" s="4">
        <v>8</v>
      </c>
      <c r="L65" s="4">
        <v>48</v>
      </c>
      <c r="M65" s="4">
        <v>8</v>
      </c>
      <c r="N65" s="4">
        <v>8</v>
      </c>
      <c r="O65" s="4">
        <v>12</v>
      </c>
      <c r="P65" s="4">
        <v>52</v>
      </c>
      <c r="Q65" s="4">
        <v>100</v>
      </c>
      <c r="R65" s="4">
        <v>12</v>
      </c>
      <c r="S65" s="1">
        <f t="shared" si="3"/>
        <v>352</v>
      </c>
      <c r="T65" s="14">
        <f t="shared" si="4"/>
        <v>29.333333333333332</v>
      </c>
      <c r="U65" s="20">
        <f t="shared" si="5"/>
        <v>59</v>
      </c>
    </row>
    <row r="66" spans="1:21" ht="18" customHeight="1">
      <c r="A66" s="19">
        <v>60</v>
      </c>
      <c r="B66" s="2" t="s">
        <v>4967</v>
      </c>
      <c r="C66" s="1" t="s">
        <v>4968</v>
      </c>
      <c r="D66" s="3" t="s">
        <v>4969</v>
      </c>
      <c r="E66" s="1" t="s">
        <v>685</v>
      </c>
      <c r="F66" s="10" t="s">
        <v>4966</v>
      </c>
      <c r="G66" s="2" t="s">
        <v>95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">
        <f t="shared" si="3"/>
        <v>0</v>
      </c>
      <c r="T66" s="14">
        <f t="shared" si="4"/>
        <v>0</v>
      </c>
      <c r="U66" s="20">
        <f t="shared" si="5"/>
        <v>60</v>
      </c>
    </row>
    <row r="67" spans="1:21" ht="18" customHeight="1">
      <c r="A67" s="19">
        <v>61</v>
      </c>
      <c r="B67" s="2" t="s">
        <v>5069</v>
      </c>
      <c r="C67" s="1" t="s">
        <v>5070</v>
      </c>
      <c r="D67" s="3" t="s">
        <v>5071</v>
      </c>
      <c r="E67" s="1" t="s">
        <v>81</v>
      </c>
      <c r="F67" s="10" t="s">
        <v>4966</v>
      </c>
      <c r="G67" s="2" t="s">
        <v>97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">
        <f t="shared" si="3"/>
        <v>0</v>
      </c>
      <c r="T67" s="14">
        <f t="shared" si="4"/>
        <v>0</v>
      </c>
      <c r="U67" s="20">
        <f t="shared" si="5"/>
        <v>60</v>
      </c>
    </row>
    <row r="68" spans="1:21" ht="18" customHeight="1">
      <c r="A68" s="19">
        <v>62</v>
      </c>
      <c r="B68" s="2" t="s">
        <v>5135</v>
      </c>
      <c r="C68" s="1" t="s">
        <v>5136</v>
      </c>
      <c r="D68" s="3" t="s">
        <v>5137</v>
      </c>
      <c r="E68" s="1" t="s">
        <v>75</v>
      </c>
      <c r="F68" s="10" t="s">
        <v>4966</v>
      </c>
      <c r="G68" s="2" t="s">
        <v>99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">
        <f t="shared" si="3"/>
        <v>0</v>
      </c>
      <c r="T68" s="14">
        <f t="shared" si="4"/>
        <v>0</v>
      </c>
      <c r="U68" s="20">
        <f t="shared" si="5"/>
        <v>60</v>
      </c>
    </row>
    <row r="69" spans="1:21" ht="18" customHeight="1">
      <c r="A69" s="19">
        <v>63</v>
      </c>
      <c r="B69" s="28" t="s">
        <v>5147</v>
      </c>
      <c r="C69" s="29">
        <v>311261005</v>
      </c>
      <c r="D69" s="30" t="s">
        <v>5148</v>
      </c>
      <c r="E69" s="29" t="s">
        <v>69</v>
      </c>
      <c r="F69" s="31" t="s">
        <v>4966</v>
      </c>
      <c r="G69" s="28" t="s">
        <v>99</v>
      </c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29">
        <f t="shared" si="3"/>
        <v>0</v>
      </c>
      <c r="T69" s="41">
        <f t="shared" si="4"/>
        <v>0</v>
      </c>
      <c r="U69" s="33">
        <f t="shared" si="5"/>
        <v>60</v>
      </c>
    </row>
  </sheetData>
  <mergeCells count="4">
    <mergeCell ref="A1:P1"/>
    <mergeCell ref="A2:P2"/>
    <mergeCell ref="A3:P3"/>
    <mergeCell ref="A5:B5"/>
  </mergeCells>
  <conditionalFormatting sqref="H7:R7">
    <cfRule type="expression" dxfId="888" priority="251">
      <formula>5</formula>
    </cfRule>
    <cfRule type="cellIs" dxfId="887" priority="252" operator="lessThan">
      <formula>5</formula>
    </cfRule>
  </conditionalFormatting>
  <conditionalFormatting sqref="H7:R7">
    <cfRule type="cellIs" dxfId="886" priority="250" operator="lessThan">
      <formula>50</formula>
    </cfRule>
  </conditionalFormatting>
  <conditionalFormatting sqref="T7">
    <cfRule type="cellIs" dxfId="885" priority="249" operator="lessThan">
      <formula>50</formula>
    </cfRule>
  </conditionalFormatting>
  <conditionalFormatting sqref="H8:R8">
    <cfRule type="expression" dxfId="884" priority="247">
      <formula>5</formula>
    </cfRule>
    <cfRule type="cellIs" dxfId="883" priority="248" operator="lessThan">
      <formula>5</formula>
    </cfRule>
  </conditionalFormatting>
  <conditionalFormatting sqref="H8:R8">
    <cfRule type="cellIs" dxfId="882" priority="246" operator="lessThan">
      <formula>50</formula>
    </cfRule>
  </conditionalFormatting>
  <conditionalFormatting sqref="T8">
    <cfRule type="cellIs" dxfId="881" priority="245" operator="lessThan">
      <formula>50</formula>
    </cfRule>
  </conditionalFormatting>
  <conditionalFormatting sqref="H9:R9">
    <cfRule type="expression" dxfId="880" priority="243">
      <formula>5</formula>
    </cfRule>
    <cfRule type="cellIs" dxfId="879" priority="244" operator="lessThan">
      <formula>5</formula>
    </cfRule>
  </conditionalFormatting>
  <conditionalFormatting sqref="H9:R9">
    <cfRule type="cellIs" dxfId="878" priority="242" operator="lessThan">
      <formula>50</formula>
    </cfRule>
  </conditionalFormatting>
  <conditionalFormatting sqref="T9">
    <cfRule type="cellIs" dxfId="877" priority="241" operator="lessThan">
      <formula>50</formula>
    </cfRule>
  </conditionalFormatting>
  <conditionalFormatting sqref="H10:R10">
    <cfRule type="expression" dxfId="876" priority="239">
      <formula>5</formula>
    </cfRule>
    <cfRule type="cellIs" dxfId="875" priority="240" operator="lessThan">
      <formula>5</formula>
    </cfRule>
  </conditionalFormatting>
  <conditionalFormatting sqref="H10:R10">
    <cfRule type="cellIs" dxfId="874" priority="238" operator="lessThan">
      <formula>50</formula>
    </cfRule>
  </conditionalFormatting>
  <conditionalFormatting sqref="T10">
    <cfRule type="cellIs" dxfId="873" priority="237" operator="lessThan">
      <formula>50</formula>
    </cfRule>
  </conditionalFormatting>
  <conditionalFormatting sqref="H11:R11">
    <cfRule type="expression" dxfId="872" priority="235">
      <formula>5</formula>
    </cfRule>
    <cfRule type="cellIs" dxfId="871" priority="236" operator="lessThan">
      <formula>5</formula>
    </cfRule>
  </conditionalFormatting>
  <conditionalFormatting sqref="H11:R11">
    <cfRule type="cellIs" dxfId="870" priority="234" operator="lessThan">
      <formula>50</formula>
    </cfRule>
  </conditionalFormatting>
  <conditionalFormatting sqref="T11">
    <cfRule type="cellIs" dxfId="869" priority="233" operator="lessThan">
      <formula>50</formula>
    </cfRule>
  </conditionalFormatting>
  <conditionalFormatting sqref="H12:R12">
    <cfRule type="expression" dxfId="868" priority="231">
      <formula>5</formula>
    </cfRule>
    <cfRule type="cellIs" dxfId="867" priority="232" operator="lessThan">
      <formula>5</formula>
    </cfRule>
  </conditionalFormatting>
  <conditionalFormatting sqref="H12:R12">
    <cfRule type="cellIs" dxfId="866" priority="230" operator="lessThan">
      <formula>50</formula>
    </cfRule>
  </conditionalFormatting>
  <conditionalFormatting sqref="T12">
    <cfRule type="cellIs" dxfId="865" priority="229" operator="lessThan">
      <formula>50</formula>
    </cfRule>
  </conditionalFormatting>
  <conditionalFormatting sqref="H13:R13">
    <cfRule type="expression" dxfId="864" priority="227">
      <formula>5</formula>
    </cfRule>
    <cfRule type="cellIs" dxfId="863" priority="228" operator="lessThan">
      <formula>5</formula>
    </cfRule>
  </conditionalFormatting>
  <conditionalFormatting sqref="H13:R13">
    <cfRule type="cellIs" dxfId="862" priority="226" operator="lessThan">
      <formula>50</formula>
    </cfRule>
  </conditionalFormatting>
  <conditionalFormatting sqref="T13">
    <cfRule type="cellIs" dxfId="861" priority="225" operator="lessThan">
      <formula>50</formula>
    </cfRule>
  </conditionalFormatting>
  <conditionalFormatting sqref="H14:R14">
    <cfRule type="expression" dxfId="860" priority="223">
      <formula>5</formula>
    </cfRule>
    <cfRule type="cellIs" dxfId="859" priority="224" operator="lessThan">
      <formula>5</formula>
    </cfRule>
  </conditionalFormatting>
  <conditionalFormatting sqref="H14:R14">
    <cfRule type="cellIs" dxfId="858" priority="222" operator="lessThan">
      <formula>50</formula>
    </cfRule>
  </conditionalFormatting>
  <conditionalFormatting sqref="T14">
    <cfRule type="cellIs" dxfId="857" priority="221" operator="lessThan">
      <formula>50</formula>
    </cfRule>
  </conditionalFormatting>
  <conditionalFormatting sqref="H15:R15">
    <cfRule type="expression" dxfId="856" priority="219">
      <formula>5</formula>
    </cfRule>
    <cfRule type="cellIs" dxfId="855" priority="220" operator="lessThan">
      <formula>5</formula>
    </cfRule>
  </conditionalFormatting>
  <conditionalFormatting sqref="H15:R15">
    <cfRule type="cellIs" dxfId="854" priority="218" operator="lessThan">
      <formula>50</formula>
    </cfRule>
  </conditionalFormatting>
  <conditionalFormatting sqref="T15">
    <cfRule type="cellIs" dxfId="853" priority="217" operator="lessThan">
      <formula>50</formula>
    </cfRule>
  </conditionalFormatting>
  <conditionalFormatting sqref="H16:R16">
    <cfRule type="expression" dxfId="852" priority="215">
      <formula>5</formula>
    </cfRule>
    <cfRule type="cellIs" dxfId="851" priority="216" operator="lessThan">
      <formula>5</formula>
    </cfRule>
  </conditionalFormatting>
  <conditionalFormatting sqref="H16:R16">
    <cfRule type="cellIs" dxfId="850" priority="214" operator="lessThan">
      <formula>50</formula>
    </cfRule>
  </conditionalFormatting>
  <conditionalFormatting sqref="T16">
    <cfRule type="cellIs" dxfId="849" priority="213" operator="lessThan">
      <formula>50</formula>
    </cfRule>
  </conditionalFormatting>
  <conditionalFormatting sqref="H17:R17">
    <cfRule type="expression" dxfId="848" priority="211">
      <formula>5</formula>
    </cfRule>
    <cfRule type="cellIs" dxfId="847" priority="212" operator="lessThan">
      <formula>5</formula>
    </cfRule>
  </conditionalFormatting>
  <conditionalFormatting sqref="H17:R17">
    <cfRule type="cellIs" dxfId="846" priority="210" operator="lessThan">
      <formula>50</formula>
    </cfRule>
  </conditionalFormatting>
  <conditionalFormatting sqref="T17">
    <cfRule type="cellIs" dxfId="845" priority="209" operator="lessThan">
      <formula>50</formula>
    </cfRule>
  </conditionalFormatting>
  <conditionalFormatting sqref="H18:R18">
    <cfRule type="expression" dxfId="844" priority="207">
      <formula>5</formula>
    </cfRule>
    <cfRule type="cellIs" dxfId="843" priority="208" operator="lessThan">
      <formula>5</formula>
    </cfRule>
  </conditionalFormatting>
  <conditionalFormatting sqref="H18:R18">
    <cfRule type="cellIs" dxfId="842" priority="206" operator="lessThan">
      <formula>50</formula>
    </cfRule>
  </conditionalFormatting>
  <conditionalFormatting sqref="T18">
    <cfRule type="cellIs" dxfId="841" priority="205" operator="lessThan">
      <formula>50</formula>
    </cfRule>
  </conditionalFormatting>
  <conditionalFormatting sqref="H19:R19">
    <cfRule type="expression" dxfId="840" priority="203">
      <formula>5</formula>
    </cfRule>
    <cfRule type="cellIs" dxfId="839" priority="204" operator="lessThan">
      <formula>5</formula>
    </cfRule>
  </conditionalFormatting>
  <conditionalFormatting sqref="H19:R19">
    <cfRule type="cellIs" dxfId="838" priority="202" operator="lessThan">
      <formula>50</formula>
    </cfRule>
  </conditionalFormatting>
  <conditionalFormatting sqref="T19">
    <cfRule type="cellIs" dxfId="837" priority="201" operator="lessThan">
      <formula>50</formula>
    </cfRule>
  </conditionalFormatting>
  <conditionalFormatting sqref="H20:R20">
    <cfRule type="expression" dxfId="836" priority="199">
      <formula>5</formula>
    </cfRule>
    <cfRule type="cellIs" dxfId="835" priority="200" operator="lessThan">
      <formula>5</formula>
    </cfRule>
  </conditionalFormatting>
  <conditionalFormatting sqref="H20:R20">
    <cfRule type="cellIs" dxfId="834" priority="198" operator="lessThan">
      <formula>50</formula>
    </cfRule>
  </conditionalFormatting>
  <conditionalFormatting sqref="T20">
    <cfRule type="cellIs" dxfId="833" priority="197" operator="lessThan">
      <formula>50</formula>
    </cfRule>
  </conditionalFormatting>
  <conditionalFormatting sqref="H21:R21">
    <cfRule type="expression" dxfId="832" priority="195">
      <formula>5</formula>
    </cfRule>
    <cfRule type="cellIs" dxfId="831" priority="196" operator="lessThan">
      <formula>5</formula>
    </cfRule>
  </conditionalFormatting>
  <conditionalFormatting sqref="H21:R21">
    <cfRule type="cellIs" dxfId="830" priority="194" operator="lessThan">
      <formula>50</formula>
    </cfRule>
  </conditionalFormatting>
  <conditionalFormatting sqref="T21">
    <cfRule type="cellIs" dxfId="829" priority="193" operator="lessThan">
      <formula>50</formula>
    </cfRule>
  </conditionalFormatting>
  <conditionalFormatting sqref="H22:R22">
    <cfRule type="expression" dxfId="828" priority="191">
      <formula>5</formula>
    </cfRule>
    <cfRule type="cellIs" dxfId="827" priority="192" operator="lessThan">
      <formula>5</formula>
    </cfRule>
  </conditionalFormatting>
  <conditionalFormatting sqref="H22:R22">
    <cfRule type="cellIs" dxfId="826" priority="190" operator="lessThan">
      <formula>50</formula>
    </cfRule>
  </conditionalFormatting>
  <conditionalFormatting sqref="T22">
    <cfRule type="cellIs" dxfId="825" priority="189" operator="lessThan">
      <formula>50</formula>
    </cfRule>
  </conditionalFormatting>
  <conditionalFormatting sqref="H23:R23">
    <cfRule type="expression" dxfId="824" priority="187">
      <formula>5</formula>
    </cfRule>
    <cfRule type="cellIs" dxfId="823" priority="188" operator="lessThan">
      <formula>5</formula>
    </cfRule>
  </conditionalFormatting>
  <conditionalFormatting sqref="H23:R23">
    <cfRule type="cellIs" dxfId="822" priority="186" operator="lessThan">
      <formula>50</formula>
    </cfRule>
  </conditionalFormatting>
  <conditionalFormatting sqref="T23">
    <cfRule type="cellIs" dxfId="821" priority="185" operator="lessThan">
      <formula>50</formula>
    </cfRule>
  </conditionalFormatting>
  <conditionalFormatting sqref="H24:R24">
    <cfRule type="expression" dxfId="820" priority="183">
      <formula>5</formula>
    </cfRule>
    <cfRule type="cellIs" dxfId="819" priority="184" operator="lessThan">
      <formula>5</formula>
    </cfRule>
  </conditionalFormatting>
  <conditionalFormatting sqref="H24:R24">
    <cfRule type="cellIs" dxfId="818" priority="182" operator="lessThan">
      <formula>50</formula>
    </cfRule>
  </conditionalFormatting>
  <conditionalFormatting sqref="T24">
    <cfRule type="cellIs" dxfId="817" priority="181" operator="lessThan">
      <formula>50</formula>
    </cfRule>
  </conditionalFormatting>
  <conditionalFormatting sqref="H25:R25">
    <cfRule type="expression" dxfId="816" priority="179">
      <formula>5</formula>
    </cfRule>
    <cfRule type="cellIs" dxfId="815" priority="180" operator="lessThan">
      <formula>5</formula>
    </cfRule>
  </conditionalFormatting>
  <conditionalFormatting sqref="H25:R25">
    <cfRule type="cellIs" dxfId="814" priority="178" operator="lessThan">
      <formula>50</formula>
    </cfRule>
  </conditionalFormatting>
  <conditionalFormatting sqref="T25">
    <cfRule type="cellIs" dxfId="813" priority="177" operator="lessThan">
      <formula>50</formula>
    </cfRule>
  </conditionalFormatting>
  <conditionalFormatting sqref="H26:R26">
    <cfRule type="expression" dxfId="812" priority="175">
      <formula>5</formula>
    </cfRule>
    <cfRule type="cellIs" dxfId="811" priority="176" operator="lessThan">
      <formula>5</formula>
    </cfRule>
  </conditionalFormatting>
  <conditionalFormatting sqref="H26:R26">
    <cfRule type="cellIs" dxfId="810" priority="174" operator="lessThan">
      <formula>50</formula>
    </cfRule>
  </conditionalFormatting>
  <conditionalFormatting sqref="T26">
    <cfRule type="cellIs" dxfId="809" priority="173" operator="lessThan">
      <formula>50</formula>
    </cfRule>
  </conditionalFormatting>
  <conditionalFormatting sqref="H27:R27">
    <cfRule type="expression" dxfId="808" priority="171">
      <formula>5</formula>
    </cfRule>
    <cfRule type="cellIs" dxfId="807" priority="172" operator="lessThan">
      <formula>5</formula>
    </cfRule>
  </conditionalFormatting>
  <conditionalFormatting sqref="H27:R27">
    <cfRule type="cellIs" dxfId="806" priority="170" operator="lessThan">
      <formula>50</formula>
    </cfRule>
  </conditionalFormatting>
  <conditionalFormatting sqref="T27">
    <cfRule type="cellIs" dxfId="805" priority="169" operator="lessThan">
      <formula>50</formula>
    </cfRule>
  </conditionalFormatting>
  <conditionalFormatting sqref="H28:R28">
    <cfRule type="expression" dxfId="804" priority="167">
      <formula>5</formula>
    </cfRule>
    <cfRule type="cellIs" dxfId="803" priority="168" operator="lessThan">
      <formula>5</formula>
    </cfRule>
  </conditionalFormatting>
  <conditionalFormatting sqref="H28:R28">
    <cfRule type="cellIs" dxfId="802" priority="166" operator="lessThan">
      <formula>50</formula>
    </cfRule>
  </conditionalFormatting>
  <conditionalFormatting sqref="T28">
    <cfRule type="cellIs" dxfId="801" priority="165" operator="lessThan">
      <formula>50</formula>
    </cfRule>
  </conditionalFormatting>
  <conditionalFormatting sqref="H29:R29">
    <cfRule type="expression" dxfId="800" priority="163">
      <formula>5</formula>
    </cfRule>
    <cfRule type="cellIs" dxfId="799" priority="164" operator="lessThan">
      <formula>5</formula>
    </cfRule>
  </conditionalFormatting>
  <conditionalFormatting sqref="H29:R29">
    <cfRule type="cellIs" dxfId="798" priority="162" operator="lessThan">
      <formula>50</formula>
    </cfRule>
  </conditionalFormatting>
  <conditionalFormatting sqref="T29">
    <cfRule type="cellIs" dxfId="797" priority="161" operator="lessThan">
      <formula>50</formula>
    </cfRule>
  </conditionalFormatting>
  <conditionalFormatting sqref="H30:R30">
    <cfRule type="expression" dxfId="796" priority="159">
      <formula>5</formula>
    </cfRule>
    <cfRule type="cellIs" dxfId="795" priority="160" operator="lessThan">
      <formula>5</formula>
    </cfRule>
  </conditionalFormatting>
  <conditionalFormatting sqref="H30:R30">
    <cfRule type="cellIs" dxfId="794" priority="158" operator="lessThan">
      <formula>50</formula>
    </cfRule>
  </conditionalFormatting>
  <conditionalFormatting sqref="T30">
    <cfRule type="cellIs" dxfId="793" priority="157" operator="lessThan">
      <formula>50</formula>
    </cfRule>
  </conditionalFormatting>
  <conditionalFormatting sqref="H31:R31">
    <cfRule type="expression" dxfId="792" priority="155">
      <formula>5</formula>
    </cfRule>
    <cfRule type="cellIs" dxfId="791" priority="156" operator="lessThan">
      <formula>5</formula>
    </cfRule>
  </conditionalFormatting>
  <conditionalFormatting sqref="H31:R31">
    <cfRule type="cellIs" dxfId="790" priority="154" operator="lessThan">
      <formula>50</formula>
    </cfRule>
  </conditionalFormatting>
  <conditionalFormatting sqref="T31">
    <cfRule type="cellIs" dxfId="789" priority="153" operator="lessThan">
      <formula>50</formula>
    </cfRule>
  </conditionalFormatting>
  <conditionalFormatting sqref="H32:R32">
    <cfRule type="expression" dxfId="788" priority="151">
      <formula>5</formula>
    </cfRule>
    <cfRule type="cellIs" dxfId="787" priority="152" operator="lessThan">
      <formula>5</formula>
    </cfRule>
  </conditionalFormatting>
  <conditionalFormatting sqref="H32:R32">
    <cfRule type="cellIs" dxfId="786" priority="150" operator="lessThan">
      <formula>50</formula>
    </cfRule>
  </conditionalFormatting>
  <conditionalFormatting sqref="T32">
    <cfRule type="cellIs" dxfId="785" priority="149" operator="lessThan">
      <formula>50</formula>
    </cfRule>
  </conditionalFormatting>
  <conditionalFormatting sqref="H33:R33">
    <cfRule type="expression" dxfId="784" priority="147">
      <formula>5</formula>
    </cfRule>
    <cfRule type="cellIs" dxfId="783" priority="148" operator="lessThan">
      <formula>5</formula>
    </cfRule>
  </conditionalFormatting>
  <conditionalFormatting sqref="H33:R33">
    <cfRule type="cellIs" dxfId="782" priority="146" operator="lessThan">
      <formula>50</formula>
    </cfRule>
  </conditionalFormatting>
  <conditionalFormatting sqref="T33">
    <cfRule type="cellIs" dxfId="781" priority="145" operator="lessThan">
      <formula>50</formula>
    </cfRule>
  </conditionalFormatting>
  <conditionalFormatting sqref="H34:R34">
    <cfRule type="expression" dxfId="780" priority="143">
      <formula>5</formula>
    </cfRule>
    <cfRule type="cellIs" dxfId="779" priority="144" operator="lessThan">
      <formula>5</formula>
    </cfRule>
  </conditionalFormatting>
  <conditionalFormatting sqref="H34:R34">
    <cfRule type="cellIs" dxfId="778" priority="142" operator="lessThan">
      <formula>50</formula>
    </cfRule>
  </conditionalFormatting>
  <conditionalFormatting sqref="T34">
    <cfRule type="cellIs" dxfId="777" priority="141" operator="lessThan">
      <formula>50</formula>
    </cfRule>
  </conditionalFormatting>
  <conditionalFormatting sqref="H35:R35">
    <cfRule type="expression" dxfId="776" priority="139">
      <formula>5</formula>
    </cfRule>
    <cfRule type="cellIs" dxfId="775" priority="140" operator="lessThan">
      <formula>5</formula>
    </cfRule>
  </conditionalFormatting>
  <conditionalFormatting sqref="H35:R35">
    <cfRule type="cellIs" dxfId="774" priority="138" operator="lessThan">
      <formula>50</formula>
    </cfRule>
  </conditionalFormatting>
  <conditionalFormatting sqref="T35">
    <cfRule type="cellIs" dxfId="773" priority="137" operator="lessThan">
      <formula>50</formula>
    </cfRule>
  </conditionalFormatting>
  <conditionalFormatting sqref="H36:R36">
    <cfRule type="expression" dxfId="772" priority="135">
      <formula>5</formula>
    </cfRule>
    <cfRule type="cellIs" dxfId="771" priority="136" operator="lessThan">
      <formula>5</formula>
    </cfRule>
  </conditionalFormatting>
  <conditionalFormatting sqref="H36:R36">
    <cfRule type="cellIs" dxfId="770" priority="134" operator="lessThan">
      <formula>50</formula>
    </cfRule>
  </conditionalFormatting>
  <conditionalFormatting sqref="T36">
    <cfRule type="cellIs" dxfId="769" priority="133" operator="lessThan">
      <formula>50</formula>
    </cfRule>
  </conditionalFormatting>
  <conditionalFormatting sqref="H37:R37">
    <cfRule type="expression" dxfId="768" priority="131">
      <formula>5</formula>
    </cfRule>
    <cfRule type="cellIs" dxfId="767" priority="132" operator="lessThan">
      <formula>5</formula>
    </cfRule>
  </conditionalFormatting>
  <conditionalFormatting sqref="H37:R37">
    <cfRule type="cellIs" dxfId="766" priority="130" operator="lessThan">
      <formula>50</formula>
    </cfRule>
  </conditionalFormatting>
  <conditionalFormatting sqref="T37">
    <cfRule type="cellIs" dxfId="765" priority="129" operator="lessThan">
      <formula>50</formula>
    </cfRule>
  </conditionalFormatting>
  <conditionalFormatting sqref="H38:R38">
    <cfRule type="expression" dxfId="764" priority="127">
      <formula>5</formula>
    </cfRule>
    <cfRule type="cellIs" dxfId="763" priority="128" operator="lessThan">
      <formula>5</formula>
    </cfRule>
  </conditionalFormatting>
  <conditionalFormatting sqref="H38:R38">
    <cfRule type="cellIs" dxfId="762" priority="126" operator="lessThan">
      <formula>50</formula>
    </cfRule>
  </conditionalFormatting>
  <conditionalFormatting sqref="T38">
    <cfRule type="cellIs" dxfId="761" priority="125" operator="lessThan">
      <formula>50</formula>
    </cfRule>
  </conditionalFormatting>
  <conditionalFormatting sqref="H39:R39">
    <cfRule type="expression" dxfId="760" priority="123">
      <formula>5</formula>
    </cfRule>
    <cfRule type="cellIs" dxfId="759" priority="124" operator="lessThan">
      <formula>5</formula>
    </cfRule>
  </conditionalFormatting>
  <conditionalFormatting sqref="H39:R39">
    <cfRule type="cellIs" dxfId="758" priority="122" operator="lessThan">
      <formula>50</formula>
    </cfRule>
  </conditionalFormatting>
  <conditionalFormatting sqref="T39">
    <cfRule type="cellIs" dxfId="757" priority="121" operator="lessThan">
      <formula>50</formula>
    </cfRule>
  </conditionalFormatting>
  <conditionalFormatting sqref="H40:R40">
    <cfRule type="expression" dxfId="756" priority="119">
      <formula>5</formula>
    </cfRule>
    <cfRule type="cellIs" dxfId="755" priority="120" operator="lessThan">
      <formula>5</formula>
    </cfRule>
  </conditionalFormatting>
  <conditionalFormatting sqref="H40:R40">
    <cfRule type="cellIs" dxfId="754" priority="118" operator="lessThan">
      <formula>50</formula>
    </cfRule>
  </conditionalFormatting>
  <conditionalFormatting sqref="T40">
    <cfRule type="cellIs" dxfId="753" priority="117" operator="lessThan">
      <formula>50</formula>
    </cfRule>
  </conditionalFormatting>
  <conditionalFormatting sqref="H41:R41">
    <cfRule type="expression" dxfId="752" priority="115">
      <formula>5</formula>
    </cfRule>
    <cfRule type="cellIs" dxfId="751" priority="116" operator="lessThan">
      <formula>5</formula>
    </cfRule>
  </conditionalFormatting>
  <conditionalFormatting sqref="H41:R41">
    <cfRule type="cellIs" dxfId="750" priority="114" operator="lessThan">
      <formula>50</formula>
    </cfRule>
  </conditionalFormatting>
  <conditionalFormatting sqref="T41">
    <cfRule type="cellIs" dxfId="749" priority="113" operator="lessThan">
      <formula>50</formula>
    </cfRule>
  </conditionalFormatting>
  <conditionalFormatting sqref="H42:R42">
    <cfRule type="expression" dxfId="748" priority="111">
      <formula>5</formula>
    </cfRule>
    <cfRule type="cellIs" dxfId="747" priority="112" operator="lessThan">
      <formula>5</formula>
    </cfRule>
  </conditionalFormatting>
  <conditionalFormatting sqref="H42:R42">
    <cfRule type="cellIs" dxfId="746" priority="110" operator="lessThan">
      <formula>50</formula>
    </cfRule>
  </conditionalFormatting>
  <conditionalFormatting sqref="T42">
    <cfRule type="cellIs" dxfId="745" priority="109" operator="lessThan">
      <formula>50</formula>
    </cfRule>
  </conditionalFormatting>
  <conditionalFormatting sqref="H43:R43">
    <cfRule type="expression" dxfId="744" priority="107">
      <formula>5</formula>
    </cfRule>
    <cfRule type="cellIs" dxfId="743" priority="108" operator="lessThan">
      <formula>5</formula>
    </cfRule>
  </conditionalFormatting>
  <conditionalFormatting sqref="H43:R43">
    <cfRule type="cellIs" dxfId="742" priority="106" operator="lessThan">
      <formula>50</formula>
    </cfRule>
  </conditionalFormatting>
  <conditionalFormatting sqref="T43">
    <cfRule type="cellIs" dxfId="741" priority="105" operator="lessThan">
      <formula>50</formula>
    </cfRule>
  </conditionalFormatting>
  <conditionalFormatting sqref="H44:R44">
    <cfRule type="expression" dxfId="740" priority="103">
      <formula>5</formula>
    </cfRule>
    <cfRule type="cellIs" dxfId="739" priority="104" operator="lessThan">
      <formula>5</formula>
    </cfRule>
  </conditionalFormatting>
  <conditionalFormatting sqref="H44:R44">
    <cfRule type="cellIs" dxfId="738" priority="102" operator="lessThan">
      <formula>50</formula>
    </cfRule>
  </conditionalFormatting>
  <conditionalFormatting sqref="T44">
    <cfRule type="cellIs" dxfId="737" priority="101" operator="lessThan">
      <formula>50</formula>
    </cfRule>
  </conditionalFormatting>
  <conditionalFormatting sqref="H45:R45">
    <cfRule type="expression" dxfId="736" priority="99">
      <formula>5</formula>
    </cfRule>
    <cfRule type="cellIs" dxfId="735" priority="100" operator="lessThan">
      <formula>5</formula>
    </cfRule>
  </conditionalFormatting>
  <conditionalFormatting sqref="H45:R45">
    <cfRule type="cellIs" dxfId="734" priority="98" operator="lessThan">
      <formula>50</formula>
    </cfRule>
  </conditionalFormatting>
  <conditionalFormatting sqref="T45">
    <cfRule type="cellIs" dxfId="733" priority="97" operator="lessThan">
      <formula>50</formula>
    </cfRule>
  </conditionalFormatting>
  <conditionalFormatting sqref="H46:R46">
    <cfRule type="expression" dxfId="732" priority="95">
      <formula>5</formula>
    </cfRule>
    <cfRule type="cellIs" dxfId="731" priority="96" operator="lessThan">
      <formula>5</formula>
    </cfRule>
  </conditionalFormatting>
  <conditionalFormatting sqref="H46:R46">
    <cfRule type="cellIs" dxfId="730" priority="94" operator="lessThan">
      <formula>50</formula>
    </cfRule>
  </conditionalFormatting>
  <conditionalFormatting sqref="T46">
    <cfRule type="cellIs" dxfId="729" priority="93" operator="lessThan">
      <formula>50</formula>
    </cfRule>
  </conditionalFormatting>
  <conditionalFormatting sqref="H47:R47">
    <cfRule type="expression" dxfId="728" priority="91">
      <formula>5</formula>
    </cfRule>
    <cfRule type="cellIs" dxfId="727" priority="92" operator="lessThan">
      <formula>5</formula>
    </cfRule>
  </conditionalFormatting>
  <conditionalFormatting sqref="H47:R47">
    <cfRule type="cellIs" dxfId="726" priority="90" operator="lessThan">
      <formula>50</formula>
    </cfRule>
  </conditionalFormatting>
  <conditionalFormatting sqref="T47">
    <cfRule type="cellIs" dxfId="725" priority="89" operator="lessThan">
      <formula>50</formula>
    </cfRule>
  </conditionalFormatting>
  <conditionalFormatting sqref="H48:R48">
    <cfRule type="expression" dxfId="724" priority="87">
      <formula>5</formula>
    </cfRule>
    <cfRule type="cellIs" dxfId="723" priority="88" operator="lessThan">
      <formula>5</formula>
    </cfRule>
  </conditionalFormatting>
  <conditionalFormatting sqref="H48:R48">
    <cfRule type="cellIs" dxfId="722" priority="86" operator="lessThan">
      <formula>50</formula>
    </cfRule>
  </conditionalFormatting>
  <conditionalFormatting sqref="T48">
    <cfRule type="cellIs" dxfId="721" priority="85" operator="lessThan">
      <formula>50</formula>
    </cfRule>
  </conditionalFormatting>
  <conditionalFormatting sqref="H49:R49">
    <cfRule type="expression" dxfId="720" priority="83">
      <formula>5</formula>
    </cfRule>
    <cfRule type="cellIs" dxfId="719" priority="84" operator="lessThan">
      <formula>5</formula>
    </cfRule>
  </conditionalFormatting>
  <conditionalFormatting sqref="H49:R49">
    <cfRule type="cellIs" dxfId="718" priority="82" operator="lessThan">
      <formula>50</formula>
    </cfRule>
  </conditionalFormatting>
  <conditionalFormatting sqref="T49">
    <cfRule type="cellIs" dxfId="717" priority="81" operator="lessThan">
      <formula>50</formula>
    </cfRule>
  </conditionalFormatting>
  <conditionalFormatting sqref="H50:R50">
    <cfRule type="expression" dxfId="716" priority="79">
      <formula>5</formula>
    </cfRule>
    <cfRule type="cellIs" dxfId="715" priority="80" operator="lessThan">
      <formula>5</formula>
    </cfRule>
  </conditionalFormatting>
  <conditionalFormatting sqref="H50:R50">
    <cfRule type="cellIs" dxfId="714" priority="78" operator="lessThan">
      <formula>50</formula>
    </cfRule>
  </conditionalFormatting>
  <conditionalFormatting sqref="T50">
    <cfRule type="cellIs" dxfId="713" priority="77" operator="lessThan">
      <formula>50</formula>
    </cfRule>
  </conditionalFormatting>
  <conditionalFormatting sqref="H51:R51">
    <cfRule type="expression" dxfId="712" priority="75">
      <formula>5</formula>
    </cfRule>
    <cfRule type="cellIs" dxfId="711" priority="76" operator="lessThan">
      <formula>5</formula>
    </cfRule>
  </conditionalFormatting>
  <conditionalFormatting sqref="H51:R51">
    <cfRule type="cellIs" dxfId="710" priority="74" operator="lessThan">
      <formula>50</formula>
    </cfRule>
  </conditionalFormatting>
  <conditionalFormatting sqref="T51">
    <cfRule type="cellIs" dxfId="709" priority="73" operator="lessThan">
      <formula>50</formula>
    </cfRule>
  </conditionalFormatting>
  <conditionalFormatting sqref="H52:R52">
    <cfRule type="expression" dxfId="708" priority="71">
      <formula>5</formula>
    </cfRule>
    <cfRule type="cellIs" dxfId="707" priority="72" operator="lessThan">
      <formula>5</formula>
    </cfRule>
  </conditionalFormatting>
  <conditionalFormatting sqref="H52:R52">
    <cfRule type="cellIs" dxfId="706" priority="70" operator="lessThan">
      <formula>50</formula>
    </cfRule>
  </conditionalFormatting>
  <conditionalFormatting sqref="T52">
    <cfRule type="cellIs" dxfId="705" priority="69" operator="lessThan">
      <formula>50</formula>
    </cfRule>
  </conditionalFormatting>
  <conditionalFormatting sqref="H53:R53">
    <cfRule type="expression" dxfId="704" priority="67">
      <formula>5</formula>
    </cfRule>
    <cfRule type="cellIs" dxfId="703" priority="68" operator="lessThan">
      <formula>5</formula>
    </cfRule>
  </conditionalFormatting>
  <conditionalFormatting sqref="H53:R53">
    <cfRule type="cellIs" dxfId="702" priority="66" operator="lessThan">
      <formula>50</formula>
    </cfRule>
  </conditionalFormatting>
  <conditionalFormatting sqref="T53">
    <cfRule type="cellIs" dxfId="701" priority="65" operator="lessThan">
      <formula>50</formula>
    </cfRule>
  </conditionalFormatting>
  <conditionalFormatting sqref="H54:R54">
    <cfRule type="expression" dxfId="700" priority="63">
      <formula>5</formula>
    </cfRule>
    <cfRule type="cellIs" dxfId="699" priority="64" operator="lessThan">
      <formula>5</formula>
    </cfRule>
  </conditionalFormatting>
  <conditionalFormatting sqref="H54:R54">
    <cfRule type="cellIs" dxfId="698" priority="62" operator="lessThan">
      <formula>50</formula>
    </cfRule>
  </conditionalFormatting>
  <conditionalFormatting sqref="T54">
    <cfRule type="cellIs" dxfId="697" priority="61" operator="lessThan">
      <formula>50</formula>
    </cfRule>
  </conditionalFormatting>
  <conditionalFormatting sqref="H55:R55">
    <cfRule type="expression" dxfId="696" priority="59">
      <formula>5</formula>
    </cfRule>
    <cfRule type="cellIs" dxfId="695" priority="60" operator="lessThan">
      <formula>5</formula>
    </cfRule>
  </conditionalFormatting>
  <conditionalFormatting sqref="H55:R55">
    <cfRule type="cellIs" dxfId="694" priority="58" operator="lessThan">
      <formula>50</formula>
    </cfRule>
  </conditionalFormatting>
  <conditionalFormatting sqref="T55">
    <cfRule type="cellIs" dxfId="693" priority="57" operator="lessThan">
      <formula>50</formula>
    </cfRule>
  </conditionalFormatting>
  <conditionalFormatting sqref="H56:R56">
    <cfRule type="expression" dxfId="692" priority="55">
      <formula>5</formula>
    </cfRule>
    <cfRule type="cellIs" dxfId="691" priority="56" operator="lessThan">
      <formula>5</formula>
    </cfRule>
  </conditionalFormatting>
  <conditionalFormatting sqref="H56:R56">
    <cfRule type="cellIs" dxfId="690" priority="54" operator="lessThan">
      <formula>50</formula>
    </cfRule>
  </conditionalFormatting>
  <conditionalFormatting sqref="T56">
    <cfRule type="cellIs" dxfId="689" priority="53" operator="lessThan">
      <formula>50</formula>
    </cfRule>
  </conditionalFormatting>
  <conditionalFormatting sqref="H57:R57">
    <cfRule type="expression" dxfId="688" priority="51">
      <formula>5</formula>
    </cfRule>
    <cfRule type="cellIs" dxfId="687" priority="52" operator="lessThan">
      <formula>5</formula>
    </cfRule>
  </conditionalFormatting>
  <conditionalFormatting sqref="H57:R57">
    <cfRule type="cellIs" dxfId="686" priority="50" operator="lessThan">
      <formula>50</formula>
    </cfRule>
  </conditionalFormatting>
  <conditionalFormatting sqref="T57">
    <cfRule type="cellIs" dxfId="685" priority="49" operator="lessThan">
      <formula>50</formula>
    </cfRule>
  </conditionalFormatting>
  <conditionalFormatting sqref="H58:R58">
    <cfRule type="expression" dxfId="684" priority="47">
      <formula>5</formula>
    </cfRule>
    <cfRule type="cellIs" dxfId="683" priority="48" operator="lessThan">
      <formula>5</formula>
    </cfRule>
  </conditionalFormatting>
  <conditionalFormatting sqref="H58:R58">
    <cfRule type="cellIs" dxfId="682" priority="46" operator="lessThan">
      <formula>50</formula>
    </cfRule>
  </conditionalFormatting>
  <conditionalFormatting sqref="T58">
    <cfRule type="cellIs" dxfId="681" priority="45" operator="lessThan">
      <formula>50</formula>
    </cfRule>
  </conditionalFormatting>
  <conditionalFormatting sqref="H59:R59">
    <cfRule type="expression" dxfId="680" priority="43">
      <formula>5</formula>
    </cfRule>
    <cfRule type="cellIs" dxfId="679" priority="44" operator="lessThan">
      <formula>5</formula>
    </cfRule>
  </conditionalFormatting>
  <conditionalFormatting sqref="H59:R59">
    <cfRule type="cellIs" dxfId="678" priority="42" operator="lessThan">
      <formula>50</formula>
    </cfRule>
  </conditionalFormatting>
  <conditionalFormatting sqref="T59">
    <cfRule type="cellIs" dxfId="677" priority="41" operator="lessThan">
      <formula>50</formula>
    </cfRule>
  </conditionalFormatting>
  <conditionalFormatting sqref="H60:R60">
    <cfRule type="expression" dxfId="676" priority="39">
      <formula>5</formula>
    </cfRule>
    <cfRule type="cellIs" dxfId="675" priority="40" operator="lessThan">
      <formula>5</formula>
    </cfRule>
  </conditionalFormatting>
  <conditionalFormatting sqref="H60:R60">
    <cfRule type="cellIs" dxfId="674" priority="38" operator="lessThan">
      <formula>50</formula>
    </cfRule>
  </conditionalFormatting>
  <conditionalFormatting sqref="T60">
    <cfRule type="cellIs" dxfId="673" priority="37" operator="lessThan">
      <formula>50</formula>
    </cfRule>
  </conditionalFormatting>
  <conditionalFormatting sqref="H61:R61">
    <cfRule type="expression" dxfId="672" priority="35">
      <formula>5</formula>
    </cfRule>
    <cfRule type="cellIs" dxfId="671" priority="36" operator="lessThan">
      <formula>5</formula>
    </cfRule>
  </conditionalFormatting>
  <conditionalFormatting sqref="H61:R61">
    <cfRule type="cellIs" dxfId="670" priority="34" operator="lessThan">
      <formula>50</formula>
    </cfRule>
  </conditionalFormatting>
  <conditionalFormatting sqref="T61">
    <cfRule type="cellIs" dxfId="669" priority="33" operator="lessThan">
      <formula>50</formula>
    </cfRule>
  </conditionalFormatting>
  <conditionalFormatting sqref="H62:R62">
    <cfRule type="expression" dxfId="668" priority="31">
      <formula>5</formula>
    </cfRule>
    <cfRule type="cellIs" dxfId="667" priority="32" operator="lessThan">
      <formula>5</formula>
    </cfRule>
  </conditionalFormatting>
  <conditionalFormatting sqref="H62:R62">
    <cfRule type="cellIs" dxfId="666" priority="30" operator="lessThan">
      <formula>50</formula>
    </cfRule>
  </conditionalFormatting>
  <conditionalFormatting sqref="T62">
    <cfRule type="cellIs" dxfId="665" priority="29" operator="lessThan">
      <formula>50</formula>
    </cfRule>
  </conditionalFormatting>
  <conditionalFormatting sqref="H63:R63">
    <cfRule type="expression" dxfId="664" priority="27">
      <formula>5</formula>
    </cfRule>
    <cfRule type="cellIs" dxfId="663" priority="28" operator="lessThan">
      <formula>5</formula>
    </cfRule>
  </conditionalFormatting>
  <conditionalFormatting sqref="H63:R63">
    <cfRule type="cellIs" dxfId="662" priority="26" operator="lessThan">
      <formula>50</formula>
    </cfRule>
  </conditionalFormatting>
  <conditionalFormatting sqref="T63">
    <cfRule type="cellIs" dxfId="661" priority="25" operator="lessThan">
      <formula>50</formula>
    </cfRule>
  </conditionalFormatting>
  <conditionalFormatting sqref="H64:R64">
    <cfRule type="expression" dxfId="660" priority="23">
      <formula>5</formula>
    </cfRule>
    <cfRule type="cellIs" dxfId="659" priority="24" operator="lessThan">
      <formula>5</formula>
    </cfRule>
  </conditionalFormatting>
  <conditionalFormatting sqref="H64:R64">
    <cfRule type="cellIs" dxfId="658" priority="22" operator="lessThan">
      <formula>50</formula>
    </cfRule>
  </conditionalFormatting>
  <conditionalFormatting sqref="T64">
    <cfRule type="cellIs" dxfId="657" priority="21" operator="lessThan">
      <formula>50</formula>
    </cfRule>
  </conditionalFormatting>
  <conditionalFormatting sqref="H65:R65">
    <cfRule type="expression" dxfId="656" priority="19">
      <formula>5</formula>
    </cfRule>
    <cfRule type="cellIs" dxfId="655" priority="20" operator="lessThan">
      <formula>5</formula>
    </cfRule>
  </conditionalFormatting>
  <conditionalFormatting sqref="H65:R65">
    <cfRule type="cellIs" dxfId="654" priority="18" operator="lessThan">
      <formula>50</formula>
    </cfRule>
  </conditionalFormatting>
  <conditionalFormatting sqref="T65">
    <cfRule type="cellIs" dxfId="653" priority="17" operator="lessThan">
      <formula>50</formula>
    </cfRule>
  </conditionalFormatting>
  <conditionalFormatting sqref="H66:R66">
    <cfRule type="expression" dxfId="652" priority="15">
      <formula>5</formula>
    </cfRule>
    <cfRule type="cellIs" dxfId="651" priority="16" operator="lessThan">
      <formula>5</formula>
    </cfRule>
  </conditionalFormatting>
  <conditionalFormatting sqref="H66:R66">
    <cfRule type="cellIs" dxfId="650" priority="14" operator="lessThan">
      <formula>50</formula>
    </cfRule>
  </conditionalFormatting>
  <conditionalFormatting sqref="T66">
    <cfRule type="cellIs" dxfId="649" priority="13" operator="lessThan">
      <formula>50</formula>
    </cfRule>
  </conditionalFormatting>
  <conditionalFormatting sqref="H67:R67">
    <cfRule type="expression" dxfId="648" priority="11">
      <formula>5</formula>
    </cfRule>
    <cfRule type="cellIs" dxfId="647" priority="12" operator="lessThan">
      <formula>5</formula>
    </cfRule>
  </conditionalFormatting>
  <conditionalFormatting sqref="H67:R67">
    <cfRule type="cellIs" dxfId="646" priority="10" operator="lessThan">
      <formula>50</formula>
    </cfRule>
  </conditionalFormatting>
  <conditionalFormatting sqref="T67">
    <cfRule type="cellIs" dxfId="645" priority="9" operator="lessThan">
      <formula>50</formula>
    </cfRule>
  </conditionalFormatting>
  <conditionalFormatting sqref="H68:R68">
    <cfRule type="expression" dxfId="644" priority="7">
      <formula>5</formula>
    </cfRule>
    <cfRule type="cellIs" dxfId="643" priority="8" operator="lessThan">
      <formula>5</formula>
    </cfRule>
  </conditionalFormatting>
  <conditionalFormatting sqref="H68:R68">
    <cfRule type="cellIs" dxfId="642" priority="6" operator="lessThan">
      <formula>50</formula>
    </cfRule>
  </conditionalFormatting>
  <conditionalFormatting sqref="T68">
    <cfRule type="cellIs" dxfId="641" priority="5" operator="lessThan">
      <formula>50</formula>
    </cfRule>
  </conditionalFormatting>
  <conditionalFormatting sqref="H69:R69">
    <cfRule type="expression" dxfId="640" priority="3">
      <formula>5</formula>
    </cfRule>
    <cfRule type="cellIs" dxfId="639" priority="4" operator="lessThan">
      <formula>5</formula>
    </cfRule>
  </conditionalFormatting>
  <conditionalFormatting sqref="H69:R69">
    <cfRule type="cellIs" dxfId="638" priority="2" operator="lessThan">
      <formula>50</formula>
    </cfRule>
  </conditionalFormatting>
  <conditionalFormatting sqref="T69">
    <cfRule type="cellIs" dxfId="637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21:E21 D23:E23 D31:E31 D33:E34 D36:E36 D38:E38 D41:E46 D50:E51 D53:E58 D64:E65" xr:uid="{039945A6-F705-418A-A5EF-FC0860192D2B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8247-A01B-44EC-9405-7F56FFCB7EA1}">
  <sheetPr codeName="Sheet117"/>
  <dimension ref="A1:U62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8" width="4.7109375" customWidth="1"/>
    <col min="19" max="19" width="6.7109375" customWidth="1"/>
    <col min="20" max="21" width="4.7109375" customWidth="1"/>
  </cols>
  <sheetData>
    <row r="1" spans="1:21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  <c r="R1" s="11"/>
      <c r="S1" s="11"/>
      <c r="T1" s="11"/>
      <c r="U1" s="11"/>
    </row>
    <row r="2" spans="1:21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  <c r="R2" s="11"/>
      <c r="S2" s="11"/>
      <c r="T2" s="11"/>
      <c r="U2" s="11"/>
    </row>
    <row r="3" spans="1:21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  <c r="R3" s="11"/>
      <c r="S3" s="11"/>
      <c r="T3" s="11"/>
      <c r="U3" s="11"/>
    </row>
    <row r="4" spans="1:21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  <c r="R4" s="11"/>
      <c r="S4" s="11"/>
      <c r="T4" s="11"/>
      <c r="U4" s="11"/>
    </row>
    <row r="5" spans="1:21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2"/>
      <c r="S5" s="12"/>
      <c r="T5" s="12"/>
      <c r="U5" s="12"/>
    </row>
    <row r="6" spans="1:21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16</v>
      </c>
      <c r="I6" s="39" t="s">
        <v>28</v>
      </c>
      <c r="J6" s="39" t="s">
        <v>29</v>
      </c>
      <c r="K6" s="39" t="s">
        <v>5323</v>
      </c>
      <c r="L6" s="39" t="s">
        <v>38</v>
      </c>
      <c r="M6" s="39" t="s">
        <v>32</v>
      </c>
      <c r="N6" s="39" t="s">
        <v>5322</v>
      </c>
      <c r="O6" s="39" t="s">
        <v>37</v>
      </c>
      <c r="P6" s="39" t="s">
        <v>26</v>
      </c>
      <c r="Q6" s="39" t="s">
        <v>3</v>
      </c>
      <c r="R6" s="39" t="s">
        <v>36</v>
      </c>
      <c r="S6" s="39" t="s">
        <v>5320</v>
      </c>
      <c r="T6" s="39" t="s">
        <v>5321</v>
      </c>
      <c r="U6" s="39" t="s">
        <v>5324</v>
      </c>
    </row>
    <row r="7" spans="1:21" ht="18" customHeight="1" thickTop="1">
      <c r="A7" s="19">
        <v>1</v>
      </c>
      <c r="B7" s="2" t="s">
        <v>5212</v>
      </c>
      <c r="C7" s="1" t="s">
        <v>5213</v>
      </c>
      <c r="D7" s="3" t="s">
        <v>5214</v>
      </c>
      <c r="E7" s="1" t="s">
        <v>72</v>
      </c>
      <c r="F7" s="10" t="s">
        <v>5152</v>
      </c>
      <c r="G7" s="2" t="s">
        <v>100</v>
      </c>
      <c r="H7" s="4">
        <v>84</v>
      </c>
      <c r="I7" s="4">
        <v>100</v>
      </c>
      <c r="J7" s="4">
        <v>80</v>
      </c>
      <c r="K7" s="4">
        <v>72</v>
      </c>
      <c r="L7" s="4">
        <v>88</v>
      </c>
      <c r="M7" s="4">
        <v>84</v>
      </c>
      <c r="N7" s="4">
        <v>80</v>
      </c>
      <c r="O7" s="4">
        <v>92</v>
      </c>
      <c r="P7" s="4">
        <v>100</v>
      </c>
      <c r="Q7" s="4">
        <v>89</v>
      </c>
      <c r="R7" s="4">
        <v>84</v>
      </c>
      <c r="S7" s="1">
        <f t="shared" ref="S7:S38" si="0">SUBTOTAL(9,H7:R7)</f>
        <v>953</v>
      </c>
      <c r="T7" s="14">
        <f t="shared" ref="T7:T38" si="1">S7/12</f>
        <v>79.416666666666671</v>
      </c>
      <c r="U7" s="20">
        <f t="shared" ref="U7:U38" si="2">RANK(T7,T$7:T$125,0)</f>
        <v>1</v>
      </c>
    </row>
    <row r="8" spans="1:21" ht="18" customHeight="1">
      <c r="A8" s="19">
        <v>2</v>
      </c>
      <c r="B8" s="2" t="s">
        <v>5179</v>
      </c>
      <c r="C8" s="1" t="s">
        <v>5180</v>
      </c>
      <c r="D8" s="3" t="s">
        <v>5181</v>
      </c>
      <c r="E8" s="1" t="s">
        <v>55</v>
      </c>
      <c r="F8" s="10" t="s">
        <v>5152</v>
      </c>
      <c r="G8" s="2" t="s">
        <v>100</v>
      </c>
      <c r="H8" s="4">
        <v>88</v>
      </c>
      <c r="I8" s="4">
        <v>76</v>
      </c>
      <c r="J8" s="4">
        <v>80</v>
      </c>
      <c r="K8" s="4">
        <v>64</v>
      </c>
      <c r="L8" s="4">
        <v>76</v>
      </c>
      <c r="M8" s="4">
        <v>60</v>
      </c>
      <c r="N8" s="4">
        <v>80</v>
      </c>
      <c r="O8" s="4">
        <v>76</v>
      </c>
      <c r="P8" s="4">
        <v>100</v>
      </c>
      <c r="Q8" s="4">
        <v>89</v>
      </c>
      <c r="R8" s="4">
        <v>80</v>
      </c>
      <c r="S8" s="1">
        <f t="shared" si="0"/>
        <v>869</v>
      </c>
      <c r="T8" s="14">
        <f t="shared" si="1"/>
        <v>72.416666666666671</v>
      </c>
      <c r="U8" s="20">
        <f t="shared" si="2"/>
        <v>2</v>
      </c>
    </row>
    <row r="9" spans="1:21" ht="18" customHeight="1">
      <c r="A9" s="19">
        <v>3</v>
      </c>
      <c r="B9" s="2" t="s">
        <v>5221</v>
      </c>
      <c r="C9" s="1" t="s">
        <v>5222</v>
      </c>
      <c r="D9" s="3" t="s">
        <v>5223</v>
      </c>
      <c r="E9" s="1" t="s">
        <v>58</v>
      </c>
      <c r="F9" s="10" t="s">
        <v>5152</v>
      </c>
      <c r="G9" s="2" t="s">
        <v>100</v>
      </c>
      <c r="H9" s="4">
        <v>92</v>
      </c>
      <c r="I9" s="4">
        <v>80</v>
      </c>
      <c r="J9" s="4">
        <v>100</v>
      </c>
      <c r="K9" s="4">
        <v>60</v>
      </c>
      <c r="L9" s="4">
        <v>64</v>
      </c>
      <c r="M9" s="4">
        <v>64</v>
      </c>
      <c r="N9" s="4">
        <v>88</v>
      </c>
      <c r="O9" s="4">
        <v>76</v>
      </c>
      <c r="P9" s="4">
        <v>92</v>
      </c>
      <c r="Q9" s="4">
        <v>100</v>
      </c>
      <c r="R9" s="4">
        <v>48</v>
      </c>
      <c r="S9" s="1">
        <f t="shared" si="0"/>
        <v>864</v>
      </c>
      <c r="T9" s="14">
        <f t="shared" si="1"/>
        <v>72</v>
      </c>
      <c r="U9" s="20">
        <f t="shared" si="2"/>
        <v>3</v>
      </c>
    </row>
    <row r="10" spans="1:21" ht="18" customHeight="1">
      <c r="A10" s="19">
        <v>4</v>
      </c>
      <c r="B10" s="2" t="s">
        <v>5265</v>
      </c>
      <c r="C10" s="1" t="s">
        <v>5266</v>
      </c>
      <c r="D10" s="3" t="s">
        <v>5267</v>
      </c>
      <c r="E10" s="1" t="s">
        <v>90</v>
      </c>
      <c r="F10" s="10" t="s">
        <v>5152</v>
      </c>
      <c r="G10" s="2" t="s">
        <v>101</v>
      </c>
      <c r="H10" s="4">
        <v>84</v>
      </c>
      <c r="I10" s="4">
        <v>88</v>
      </c>
      <c r="J10" s="4">
        <v>80</v>
      </c>
      <c r="K10" s="4">
        <v>40</v>
      </c>
      <c r="L10" s="4">
        <v>80</v>
      </c>
      <c r="M10" s="4">
        <v>72</v>
      </c>
      <c r="N10" s="4">
        <v>60</v>
      </c>
      <c r="O10" s="4">
        <v>96</v>
      </c>
      <c r="P10" s="4">
        <v>100</v>
      </c>
      <c r="Q10" s="4">
        <v>93</v>
      </c>
      <c r="R10" s="4">
        <v>32</v>
      </c>
      <c r="S10" s="1">
        <f t="shared" si="0"/>
        <v>825</v>
      </c>
      <c r="T10" s="14">
        <f t="shared" si="1"/>
        <v>68.75</v>
      </c>
      <c r="U10" s="20">
        <f t="shared" si="2"/>
        <v>4</v>
      </c>
    </row>
    <row r="11" spans="1:21" ht="18" customHeight="1">
      <c r="A11" s="19">
        <v>5</v>
      </c>
      <c r="B11" s="2" t="s">
        <v>5164</v>
      </c>
      <c r="C11" s="1" t="s">
        <v>5165</v>
      </c>
      <c r="D11" s="3" t="s">
        <v>5166</v>
      </c>
      <c r="E11" s="1" t="s">
        <v>69</v>
      </c>
      <c r="F11" s="10" t="s">
        <v>5152</v>
      </c>
      <c r="G11" s="2" t="s">
        <v>99</v>
      </c>
      <c r="H11" s="4">
        <v>60</v>
      </c>
      <c r="I11" s="4">
        <v>80</v>
      </c>
      <c r="J11" s="4">
        <v>80</v>
      </c>
      <c r="K11" s="4">
        <v>44</v>
      </c>
      <c r="L11" s="4">
        <v>64</v>
      </c>
      <c r="M11" s="4">
        <v>76</v>
      </c>
      <c r="N11" s="4">
        <v>88</v>
      </c>
      <c r="O11" s="4">
        <v>76</v>
      </c>
      <c r="P11" s="4">
        <v>100</v>
      </c>
      <c r="Q11" s="4">
        <v>78</v>
      </c>
      <c r="R11" s="4">
        <v>68</v>
      </c>
      <c r="S11" s="1">
        <f t="shared" si="0"/>
        <v>814</v>
      </c>
      <c r="T11" s="14">
        <f t="shared" si="1"/>
        <v>67.833333333333329</v>
      </c>
      <c r="U11" s="20">
        <f t="shared" si="2"/>
        <v>5</v>
      </c>
    </row>
    <row r="12" spans="1:21" ht="18" customHeight="1">
      <c r="A12" s="19">
        <v>6</v>
      </c>
      <c r="B12" s="2" t="s">
        <v>5167</v>
      </c>
      <c r="C12" s="1" t="s">
        <v>5168</v>
      </c>
      <c r="D12" s="3" t="s">
        <v>5169</v>
      </c>
      <c r="E12" s="1" t="s">
        <v>69</v>
      </c>
      <c r="F12" s="10" t="s">
        <v>5152</v>
      </c>
      <c r="G12" s="2" t="s">
        <v>99</v>
      </c>
      <c r="H12" s="4">
        <v>76</v>
      </c>
      <c r="I12" s="4">
        <v>84</v>
      </c>
      <c r="J12" s="4">
        <v>76</v>
      </c>
      <c r="K12" s="4">
        <v>40</v>
      </c>
      <c r="L12" s="4">
        <v>72</v>
      </c>
      <c r="M12" s="4">
        <v>80</v>
      </c>
      <c r="N12" s="4">
        <v>84</v>
      </c>
      <c r="O12" s="4">
        <v>52</v>
      </c>
      <c r="P12" s="4">
        <v>100</v>
      </c>
      <c r="Q12" s="4">
        <v>100</v>
      </c>
      <c r="R12" s="4">
        <v>44</v>
      </c>
      <c r="S12" s="1">
        <f t="shared" si="0"/>
        <v>808</v>
      </c>
      <c r="T12" s="14">
        <f t="shared" si="1"/>
        <v>67.333333333333329</v>
      </c>
      <c r="U12" s="20">
        <f t="shared" si="2"/>
        <v>6</v>
      </c>
    </row>
    <row r="13" spans="1:21" ht="18" customHeight="1">
      <c r="A13" s="19">
        <v>7</v>
      </c>
      <c r="B13" s="2" t="s">
        <v>5206</v>
      </c>
      <c r="C13" s="1" t="s">
        <v>5207</v>
      </c>
      <c r="D13" s="3" t="s">
        <v>5208</v>
      </c>
      <c r="E13" s="1" t="s">
        <v>57</v>
      </c>
      <c r="F13" s="10" t="s">
        <v>5152</v>
      </c>
      <c r="G13" s="2" t="s">
        <v>100</v>
      </c>
      <c r="H13" s="4">
        <v>52</v>
      </c>
      <c r="I13" s="4">
        <v>68</v>
      </c>
      <c r="J13" s="4">
        <v>84</v>
      </c>
      <c r="K13" s="4">
        <v>60</v>
      </c>
      <c r="L13" s="4">
        <v>80</v>
      </c>
      <c r="M13" s="4">
        <v>68</v>
      </c>
      <c r="N13" s="4">
        <v>64</v>
      </c>
      <c r="O13" s="4">
        <v>52</v>
      </c>
      <c r="P13" s="4">
        <v>100</v>
      </c>
      <c r="Q13" s="4">
        <v>100</v>
      </c>
      <c r="R13" s="4">
        <v>68</v>
      </c>
      <c r="S13" s="1">
        <f t="shared" si="0"/>
        <v>796</v>
      </c>
      <c r="T13" s="14">
        <f t="shared" si="1"/>
        <v>66.333333333333329</v>
      </c>
      <c r="U13" s="20">
        <f t="shared" si="2"/>
        <v>7</v>
      </c>
    </row>
    <row r="14" spans="1:21" ht="18" customHeight="1">
      <c r="A14" s="19">
        <v>8</v>
      </c>
      <c r="B14" s="2" t="s">
        <v>5241</v>
      </c>
      <c r="C14" s="1" t="s">
        <v>5242</v>
      </c>
      <c r="D14" s="3" t="s">
        <v>5243</v>
      </c>
      <c r="E14" s="1" t="s">
        <v>80</v>
      </c>
      <c r="F14" s="10" t="s">
        <v>5152</v>
      </c>
      <c r="G14" s="2" t="s">
        <v>101</v>
      </c>
      <c r="H14" s="4">
        <v>76</v>
      </c>
      <c r="I14" s="4">
        <v>72</v>
      </c>
      <c r="J14" s="4">
        <v>68</v>
      </c>
      <c r="K14" s="4">
        <v>64</v>
      </c>
      <c r="L14" s="4">
        <v>64</v>
      </c>
      <c r="M14" s="4">
        <v>92</v>
      </c>
      <c r="N14" s="4">
        <v>60</v>
      </c>
      <c r="O14" s="4">
        <v>36</v>
      </c>
      <c r="P14" s="4">
        <v>100</v>
      </c>
      <c r="Q14" s="4">
        <v>100</v>
      </c>
      <c r="R14" s="4">
        <v>48</v>
      </c>
      <c r="S14" s="1">
        <f t="shared" si="0"/>
        <v>780</v>
      </c>
      <c r="T14" s="14">
        <f t="shared" si="1"/>
        <v>65</v>
      </c>
      <c r="U14" s="20">
        <f t="shared" si="2"/>
        <v>8</v>
      </c>
    </row>
    <row r="15" spans="1:21" ht="18" customHeight="1">
      <c r="A15" s="19">
        <v>9</v>
      </c>
      <c r="B15" s="2" t="s">
        <v>5170</v>
      </c>
      <c r="C15" s="1" t="s">
        <v>5171</v>
      </c>
      <c r="D15" s="3" t="s">
        <v>5172</v>
      </c>
      <c r="E15" s="1" t="s">
        <v>69</v>
      </c>
      <c r="F15" s="10" t="s">
        <v>5152</v>
      </c>
      <c r="G15" s="2" t="s">
        <v>99</v>
      </c>
      <c r="H15" s="4">
        <v>72</v>
      </c>
      <c r="I15" s="4">
        <v>56</v>
      </c>
      <c r="J15" s="4">
        <v>72</v>
      </c>
      <c r="K15" s="4">
        <v>52</v>
      </c>
      <c r="L15" s="4">
        <v>72</v>
      </c>
      <c r="M15" s="4">
        <v>88</v>
      </c>
      <c r="N15" s="4">
        <v>72</v>
      </c>
      <c r="O15" s="4">
        <v>76</v>
      </c>
      <c r="P15" s="4">
        <v>96</v>
      </c>
      <c r="Q15" s="4">
        <v>89</v>
      </c>
      <c r="R15" s="4">
        <v>32</v>
      </c>
      <c r="S15" s="1">
        <f t="shared" si="0"/>
        <v>777</v>
      </c>
      <c r="T15" s="14">
        <f t="shared" si="1"/>
        <v>64.75</v>
      </c>
      <c r="U15" s="20">
        <f t="shared" si="2"/>
        <v>9</v>
      </c>
    </row>
    <row r="16" spans="1:21" ht="18" customHeight="1">
      <c r="A16" s="19">
        <v>10</v>
      </c>
      <c r="B16" s="2" t="s">
        <v>5307</v>
      </c>
      <c r="C16" s="1" t="s">
        <v>5308</v>
      </c>
      <c r="D16" s="3" t="s">
        <v>5309</v>
      </c>
      <c r="E16" s="1" t="s">
        <v>85</v>
      </c>
      <c r="F16" s="10" t="s">
        <v>5152</v>
      </c>
      <c r="G16" s="2" t="s">
        <v>102</v>
      </c>
      <c r="H16" s="4">
        <v>76</v>
      </c>
      <c r="I16" s="4">
        <v>88</v>
      </c>
      <c r="J16" s="4">
        <v>88</v>
      </c>
      <c r="K16" s="4">
        <v>76</v>
      </c>
      <c r="L16" s="4">
        <v>64</v>
      </c>
      <c r="M16" s="4">
        <v>88</v>
      </c>
      <c r="N16" s="4">
        <v>52</v>
      </c>
      <c r="O16" s="4">
        <v>28</v>
      </c>
      <c r="P16" s="4">
        <v>76</v>
      </c>
      <c r="Q16" s="4">
        <v>100</v>
      </c>
      <c r="R16" s="4">
        <v>36</v>
      </c>
      <c r="S16" s="1">
        <f t="shared" si="0"/>
        <v>772</v>
      </c>
      <c r="T16" s="14">
        <f t="shared" si="1"/>
        <v>64.333333333333329</v>
      </c>
      <c r="U16" s="20">
        <f t="shared" si="2"/>
        <v>10</v>
      </c>
    </row>
    <row r="17" spans="1:21" ht="18" customHeight="1">
      <c r="A17" s="19">
        <v>11</v>
      </c>
      <c r="B17" s="2" t="s">
        <v>5156</v>
      </c>
      <c r="C17" s="1" t="s">
        <v>5157</v>
      </c>
      <c r="D17" s="3" t="s">
        <v>5158</v>
      </c>
      <c r="E17" s="1" t="s">
        <v>57</v>
      </c>
      <c r="F17" s="10" t="s">
        <v>5152</v>
      </c>
      <c r="G17" s="2" t="s">
        <v>99</v>
      </c>
      <c r="H17" s="4">
        <v>48</v>
      </c>
      <c r="I17" s="4">
        <v>24</v>
      </c>
      <c r="J17" s="4">
        <v>72</v>
      </c>
      <c r="K17" s="4">
        <v>48</v>
      </c>
      <c r="L17" s="4">
        <v>76</v>
      </c>
      <c r="M17" s="4">
        <v>84</v>
      </c>
      <c r="N17" s="4">
        <v>60</v>
      </c>
      <c r="O17" s="4">
        <v>68</v>
      </c>
      <c r="P17" s="4">
        <v>96</v>
      </c>
      <c r="Q17" s="4">
        <v>100</v>
      </c>
      <c r="R17" s="4">
        <v>76</v>
      </c>
      <c r="S17" s="1">
        <f t="shared" si="0"/>
        <v>752</v>
      </c>
      <c r="T17" s="14">
        <f t="shared" si="1"/>
        <v>62.666666666666664</v>
      </c>
      <c r="U17" s="20">
        <f t="shared" si="2"/>
        <v>11</v>
      </c>
    </row>
    <row r="18" spans="1:21" ht="18" customHeight="1">
      <c r="A18" s="19">
        <v>12</v>
      </c>
      <c r="B18" s="2" t="s">
        <v>5247</v>
      </c>
      <c r="C18" s="1" t="s">
        <v>5248</v>
      </c>
      <c r="D18" s="3" t="s">
        <v>5249</v>
      </c>
      <c r="E18" s="1" t="s">
        <v>73</v>
      </c>
      <c r="F18" s="10" t="s">
        <v>5152</v>
      </c>
      <c r="G18" s="2" t="s">
        <v>101</v>
      </c>
      <c r="H18" s="4">
        <v>60</v>
      </c>
      <c r="I18" s="4">
        <v>84</v>
      </c>
      <c r="J18" s="4">
        <v>84</v>
      </c>
      <c r="K18" s="4">
        <v>40</v>
      </c>
      <c r="L18" s="4">
        <v>84</v>
      </c>
      <c r="M18" s="4">
        <v>52</v>
      </c>
      <c r="N18" s="4">
        <v>76</v>
      </c>
      <c r="O18" s="4">
        <v>68</v>
      </c>
      <c r="P18" s="4">
        <v>92</v>
      </c>
      <c r="Q18" s="4">
        <v>86</v>
      </c>
      <c r="R18" s="4">
        <v>20</v>
      </c>
      <c r="S18" s="1">
        <f t="shared" si="0"/>
        <v>746</v>
      </c>
      <c r="T18" s="14">
        <f t="shared" si="1"/>
        <v>62.166666666666664</v>
      </c>
      <c r="U18" s="20">
        <f t="shared" si="2"/>
        <v>12</v>
      </c>
    </row>
    <row r="19" spans="1:21" ht="18" customHeight="1">
      <c r="A19" s="19">
        <v>13</v>
      </c>
      <c r="B19" s="2" t="s">
        <v>5200</v>
      </c>
      <c r="C19" s="1" t="s">
        <v>5201</v>
      </c>
      <c r="D19" s="3" t="s">
        <v>5202</v>
      </c>
      <c r="E19" s="1" t="s">
        <v>56</v>
      </c>
      <c r="F19" s="10" t="s">
        <v>5152</v>
      </c>
      <c r="G19" s="2" t="s">
        <v>100</v>
      </c>
      <c r="H19" s="4">
        <v>56</v>
      </c>
      <c r="I19" s="4">
        <v>56</v>
      </c>
      <c r="J19" s="4">
        <v>76</v>
      </c>
      <c r="K19" s="4">
        <v>64</v>
      </c>
      <c r="L19" s="4">
        <v>78</v>
      </c>
      <c r="M19" s="4">
        <v>40</v>
      </c>
      <c r="N19" s="4">
        <v>72</v>
      </c>
      <c r="O19" s="4">
        <v>52</v>
      </c>
      <c r="P19" s="4">
        <v>92</v>
      </c>
      <c r="Q19" s="4">
        <v>86</v>
      </c>
      <c r="R19" s="4">
        <v>72</v>
      </c>
      <c r="S19" s="1">
        <f t="shared" si="0"/>
        <v>744</v>
      </c>
      <c r="T19" s="14">
        <f t="shared" si="1"/>
        <v>62</v>
      </c>
      <c r="U19" s="20">
        <f t="shared" si="2"/>
        <v>13</v>
      </c>
    </row>
    <row r="20" spans="1:21" ht="18" customHeight="1">
      <c r="A20" s="19">
        <v>14</v>
      </c>
      <c r="B20" s="2" t="s">
        <v>5153</v>
      </c>
      <c r="C20" s="1" t="s">
        <v>5154</v>
      </c>
      <c r="D20" s="3" t="s">
        <v>5155</v>
      </c>
      <c r="E20" s="1" t="s">
        <v>57</v>
      </c>
      <c r="F20" s="10" t="s">
        <v>5152</v>
      </c>
      <c r="G20" s="2" t="s">
        <v>99</v>
      </c>
      <c r="H20" s="4">
        <v>48</v>
      </c>
      <c r="I20" s="4">
        <v>32</v>
      </c>
      <c r="J20" s="4">
        <v>68</v>
      </c>
      <c r="K20" s="4">
        <v>56</v>
      </c>
      <c r="L20" s="4">
        <v>68</v>
      </c>
      <c r="M20" s="4">
        <v>84</v>
      </c>
      <c r="N20" s="4">
        <v>76</v>
      </c>
      <c r="O20" s="4">
        <v>44</v>
      </c>
      <c r="P20" s="4">
        <v>96</v>
      </c>
      <c r="Q20" s="4">
        <v>100</v>
      </c>
      <c r="R20" s="4">
        <v>68</v>
      </c>
      <c r="S20" s="1">
        <f t="shared" si="0"/>
        <v>740</v>
      </c>
      <c r="T20" s="14">
        <f t="shared" si="1"/>
        <v>61.666666666666664</v>
      </c>
      <c r="U20" s="20">
        <f t="shared" si="2"/>
        <v>14</v>
      </c>
    </row>
    <row r="21" spans="1:21" ht="18" customHeight="1">
      <c r="A21" s="19">
        <v>15</v>
      </c>
      <c r="B21" s="2" t="s">
        <v>5295</v>
      </c>
      <c r="C21" s="1" t="s">
        <v>5296</v>
      </c>
      <c r="D21" s="3" t="s">
        <v>5297</v>
      </c>
      <c r="E21" s="1" t="s">
        <v>66</v>
      </c>
      <c r="F21" s="10" t="s">
        <v>5152</v>
      </c>
      <c r="G21" s="2" t="s">
        <v>102</v>
      </c>
      <c r="H21" s="4">
        <v>60</v>
      </c>
      <c r="I21" s="4">
        <v>92</v>
      </c>
      <c r="J21" s="4">
        <v>68</v>
      </c>
      <c r="K21" s="4">
        <v>52</v>
      </c>
      <c r="L21" s="4">
        <v>64</v>
      </c>
      <c r="M21" s="4">
        <v>60</v>
      </c>
      <c r="N21" s="4">
        <v>40</v>
      </c>
      <c r="O21" s="4">
        <v>68</v>
      </c>
      <c r="P21" s="4">
        <v>88</v>
      </c>
      <c r="Q21" s="4">
        <v>93</v>
      </c>
      <c r="R21" s="4">
        <v>44</v>
      </c>
      <c r="S21" s="1">
        <f t="shared" si="0"/>
        <v>729</v>
      </c>
      <c r="T21" s="14">
        <f t="shared" si="1"/>
        <v>60.75</v>
      </c>
      <c r="U21" s="20">
        <f t="shared" si="2"/>
        <v>15</v>
      </c>
    </row>
    <row r="22" spans="1:21" ht="18" customHeight="1">
      <c r="A22" s="19">
        <v>16</v>
      </c>
      <c r="B22" s="2" t="s">
        <v>5224</v>
      </c>
      <c r="C22" s="1" t="s">
        <v>5225</v>
      </c>
      <c r="D22" s="3" t="s">
        <v>5226</v>
      </c>
      <c r="E22" s="1" t="s">
        <v>58</v>
      </c>
      <c r="F22" s="10" t="s">
        <v>5152</v>
      </c>
      <c r="G22" s="2" t="s">
        <v>101</v>
      </c>
      <c r="H22" s="4">
        <v>60</v>
      </c>
      <c r="I22" s="4">
        <v>76</v>
      </c>
      <c r="J22" s="4">
        <v>76</v>
      </c>
      <c r="K22" s="4">
        <v>48</v>
      </c>
      <c r="L22" s="4">
        <v>60</v>
      </c>
      <c r="M22" s="4">
        <v>56</v>
      </c>
      <c r="N22" s="4">
        <v>56</v>
      </c>
      <c r="O22" s="4">
        <v>84</v>
      </c>
      <c r="P22" s="4">
        <v>88</v>
      </c>
      <c r="Q22" s="4">
        <v>86</v>
      </c>
      <c r="R22" s="4">
        <v>8</v>
      </c>
      <c r="S22" s="1">
        <f t="shared" si="0"/>
        <v>698</v>
      </c>
      <c r="T22" s="14">
        <f t="shared" si="1"/>
        <v>58.166666666666664</v>
      </c>
      <c r="U22" s="20">
        <f t="shared" si="2"/>
        <v>16</v>
      </c>
    </row>
    <row r="23" spans="1:21" ht="18" customHeight="1">
      <c r="A23" s="19">
        <v>17</v>
      </c>
      <c r="B23" s="2" t="s">
        <v>5147</v>
      </c>
      <c r="C23" s="1">
        <v>311261005</v>
      </c>
      <c r="D23" s="3" t="s">
        <v>5148</v>
      </c>
      <c r="E23" s="1" t="s">
        <v>69</v>
      </c>
      <c r="F23" s="10" t="s">
        <v>5152</v>
      </c>
      <c r="G23" s="2" t="s">
        <v>2729</v>
      </c>
      <c r="H23" s="4">
        <v>80</v>
      </c>
      <c r="I23" s="4">
        <v>60</v>
      </c>
      <c r="J23" s="4">
        <v>68</v>
      </c>
      <c r="K23" s="4">
        <v>40</v>
      </c>
      <c r="L23" s="4">
        <v>56</v>
      </c>
      <c r="M23" s="4">
        <v>44</v>
      </c>
      <c r="N23" s="4">
        <v>44</v>
      </c>
      <c r="O23" s="4">
        <v>76</v>
      </c>
      <c r="P23" s="4">
        <v>100</v>
      </c>
      <c r="Q23" s="4">
        <v>89</v>
      </c>
      <c r="R23" s="4">
        <v>32</v>
      </c>
      <c r="S23" s="1">
        <f t="shared" si="0"/>
        <v>689</v>
      </c>
      <c r="T23" s="14">
        <f t="shared" si="1"/>
        <v>57.416666666666664</v>
      </c>
      <c r="U23" s="20">
        <f t="shared" si="2"/>
        <v>17</v>
      </c>
    </row>
    <row r="24" spans="1:21" ht="18" customHeight="1">
      <c r="A24" s="19">
        <v>18</v>
      </c>
      <c r="B24" s="2" t="s">
        <v>5203</v>
      </c>
      <c r="C24" s="1" t="s">
        <v>5204</v>
      </c>
      <c r="D24" s="3" t="s">
        <v>5205</v>
      </c>
      <c r="E24" s="1" t="s">
        <v>56</v>
      </c>
      <c r="F24" s="10" t="s">
        <v>5152</v>
      </c>
      <c r="G24" s="2" t="s">
        <v>100</v>
      </c>
      <c r="H24" s="4">
        <v>24</v>
      </c>
      <c r="I24" s="4">
        <v>36</v>
      </c>
      <c r="J24" s="4">
        <v>88</v>
      </c>
      <c r="K24" s="4">
        <v>48</v>
      </c>
      <c r="L24" s="4">
        <v>56</v>
      </c>
      <c r="M24" s="4">
        <v>32</v>
      </c>
      <c r="N24" s="4">
        <v>60</v>
      </c>
      <c r="O24" s="4">
        <v>68</v>
      </c>
      <c r="P24" s="4">
        <v>96</v>
      </c>
      <c r="Q24" s="4">
        <v>100</v>
      </c>
      <c r="R24" s="4">
        <v>60</v>
      </c>
      <c r="S24" s="1">
        <f t="shared" si="0"/>
        <v>668</v>
      </c>
      <c r="T24" s="14">
        <f t="shared" si="1"/>
        <v>55.666666666666664</v>
      </c>
      <c r="U24" s="20">
        <f t="shared" si="2"/>
        <v>18</v>
      </c>
    </row>
    <row r="25" spans="1:21" ht="18" customHeight="1">
      <c r="A25" s="19">
        <v>19</v>
      </c>
      <c r="B25" s="2" t="s">
        <v>5209</v>
      </c>
      <c r="C25" s="1" t="s">
        <v>5210</v>
      </c>
      <c r="D25" s="3" t="s">
        <v>5211</v>
      </c>
      <c r="E25" s="1" t="s">
        <v>71</v>
      </c>
      <c r="F25" s="10" t="s">
        <v>5152</v>
      </c>
      <c r="G25" s="2" t="s">
        <v>100</v>
      </c>
      <c r="H25" s="4">
        <v>48</v>
      </c>
      <c r="I25" s="4">
        <v>64</v>
      </c>
      <c r="J25" s="4">
        <v>64</v>
      </c>
      <c r="K25" s="4">
        <v>48</v>
      </c>
      <c r="L25" s="4">
        <v>36</v>
      </c>
      <c r="M25" s="4">
        <v>64</v>
      </c>
      <c r="N25" s="4">
        <v>64</v>
      </c>
      <c r="O25" s="4">
        <v>28</v>
      </c>
      <c r="P25" s="4">
        <v>96</v>
      </c>
      <c r="Q25" s="4">
        <v>100</v>
      </c>
      <c r="R25" s="4">
        <v>54</v>
      </c>
      <c r="S25" s="1">
        <f t="shared" si="0"/>
        <v>666</v>
      </c>
      <c r="T25" s="14">
        <f t="shared" si="1"/>
        <v>55.5</v>
      </c>
      <c r="U25" s="20">
        <f t="shared" si="2"/>
        <v>19</v>
      </c>
    </row>
    <row r="26" spans="1:21" ht="18" customHeight="1">
      <c r="A26" s="19">
        <v>20</v>
      </c>
      <c r="B26" s="2" t="s">
        <v>5218</v>
      </c>
      <c r="C26" s="1" t="s">
        <v>5219</v>
      </c>
      <c r="D26" s="3" t="s">
        <v>5220</v>
      </c>
      <c r="E26" s="1" t="s">
        <v>72</v>
      </c>
      <c r="F26" s="10" t="s">
        <v>5152</v>
      </c>
      <c r="G26" s="2" t="s">
        <v>100</v>
      </c>
      <c r="H26" s="4">
        <v>64</v>
      </c>
      <c r="I26" s="4">
        <v>44</v>
      </c>
      <c r="J26" s="4">
        <v>76</v>
      </c>
      <c r="K26" s="4">
        <v>64</v>
      </c>
      <c r="L26" s="4">
        <v>56</v>
      </c>
      <c r="M26" s="4">
        <v>64</v>
      </c>
      <c r="N26" s="4">
        <v>52</v>
      </c>
      <c r="O26" s="4">
        <v>44</v>
      </c>
      <c r="P26" s="4">
        <v>24</v>
      </c>
      <c r="Q26" s="4">
        <v>100</v>
      </c>
      <c r="R26" s="4">
        <v>56</v>
      </c>
      <c r="S26" s="1">
        <f t="shared" si="0"/>
        <v>644</v>
      </c>
      <c r="T26" s="14">
        <f t="shared" si="1"/>
        <v>53.666666666666664</v>
      </c>
      <c r="U26" s="20">
        <f t="shared" si="2"/>
        <v>20</v>
      </c>
    </row>
    <row r="27" spans="1:21" ht="18" customHeight="1">
      <c r="A27" s="19">
        <v>21</v>
      </c>
      <c r="B27" s="2" t="s">
        <v>5268</v>
      </c>
      <c r="C27" s="1" t="s">
        <v>5269</v>
      </c>
      <c r="D27" s="3" t="s">
        <v>5270</v>
      </c>
      <c r="E27" s="1" t="s">
        <v>90</v>
      </c>
      <c r="F27" s="10" t="s">
        <v>5152</v>
      </c>
      <c r="G27" s="2" t="s">
        <v>102</v>
      </c>
      <c r="H27" s="4">
        <v>60</v>
      </c>
      <c r="I27" s="4">
        <v>44</v>
      </c>
      <c r="J27" s="4">
        <v>60</v>
      </c>
      <c r="K27" s="4">
        <v>36</v>
      </c>
      <c r="L27" s="4">
        <v>60</v>
      </c>
      <c r="M27" s="4">
        <v>48</v>
      </c>
      <c r="N27" s="4">
        <v>68</v>
      </c>
      <c r="O27" s="4">
        <v>36</v>
      </c>
      <c r="P27" s="4">
        <v>100</v>
      </c>
      <c r="Q27" s="4">
        <v>100</v>
      </c>
      <c r="R27" s="4">
        <v>32</v>
      </c>
      <c r="S27" s="1">
        <f t="shared" si="0"/>
        <v>644</v>
      </c>
      <c r="T27" s="14">
        <f t="shared" si="1"/>
        <v>53.666666666666664</v>
      </c>
      <c r="U27" s="20">
        <f t="shared" si="2"/>
        <v>20</v>
      </c>
    </row>
    <row r="28" spans="1:21" ht="18" customHeight="1">
      <c r="A28" s="19">
        <v>22</v>
      </c>
      <c r="B28" s="2" t="s">
        <v>5176</v>
      </c>
      <c r="C28" s="1" t="s">
        <v>5177</v>
      </c>
      <c r="D28" s="3" t="s">
        <v>5178</v>
      </c>
      <c r="E28" s="1" t="s">
        <v>79</v>
      </c>
      <c r="F28" s="10" t="s">
        <v>5152</v>
      </c>
      <c r="G28" s="2" t="s">
        <v>99</v>
      </c>
      <c r="H28" s="4">
        <v>32</v>
      </c>
      <c r="I28" s="4">
        <v>16</v>
      </c>
      <c r="J28" s="4">
        <v>68</v>
      </c>
      <c r="K28" s="4">
        <v>36</v>
      </c>
      <c r="L28" s="4">
        <v>68</v>
      </c>
      <c r="M28" s="4">
        <v>76</v>
      </c>
      <c r="N28" s="4">
        <v>84</v>
      </c>
      <c r="O28" s="4">
        <v>24</v>
      </c>
      <c r="P28" s="4">
        <v>64</v>
      </c>
      <c r="Q28" s="4">
        <v>96</v>
      </c>
      <c r="R28" s="4">
        <v>60</v>
      </c>
      <c r="S28" s="1">
        <f t="shared" si="0"/>
        <v>624</v>
      </c>
      <c r="T28" s="14">
        <f t="shared" si="1"/>
        <v>52</v>
      </c>
      <c r="U28" s="20">
        <f t="shared" si="2"/>
        <v>22</v>
      </c>
    </row>
    <row r="29" spans="1:21" ht="18" customHeight="1">
      <c r="A29" s="19">
        <v>23</v>
      </c>
      <c r="B29" s="2" t="s">
        <v>5277</v>
      </c>
      <c r="C29" s="1" t="s">
        <v>5278</v>
      </c>
      <c r="D29" s="3" t="s">
        <v>5279</v>
      </c>
      <c r="E29" s="1" t="s">
        <v>82</v>
      </c>
      <c r="F29" s="10" t="s">
        <v>5152</v>
      </c>
      <c r="G29" s="2" t="s">
        <v>102</v>
      </c>
      <c r="H29" s="4">
        <v>48</v>
      </c>
      <c r="I29" s="4">
        <v>28</v>
      </c>
      <c r="J29" s="4">
        <v>76</v>
      </c>
      <c r="K29" s="4">
        <v>40</v>
      </c>
      <c r="L29" s="4">
        <v>64</v>
      </c>
      <c r="M29" s="4">
        <v>44</v>
      </c>
      <c r="N29" s="4">
        <v>60</v>
      </c>
      <c r="O29" s="4">
        <v>48</v>
      </c>
      <c r="P29" s="4">
        <v>72</v>
      </c>
      <c r="Q29" s="4">
        <v>96</v>
      </c>
      <c r="R29" s="4">
        <v>44</v>
      </c>
      <c r="S29" s="1">
        <f t="shared" si="0"/>
        <v>620</v>
      </c>
      <c r="T29" s="14">
        <f t="shared" si="1"/>
        <v>51.666666666666664</v>
      </c>
      <c r="U29" s="20">
        <f t="shared" si="2"/>
        <v>23</v>
      </c>
    </row>
    <row r="30" spans="1:21" ht="18" customHeight="1">
      <c r="A30" s="19">
        <v>24</v>
      </c>
      <c r="B30" s="2" t="s">
        <v>5233</v>
      </c>
      <c r="C30" s="1" t="s">
        <v>5234</v>
      </c>
      <c r="D30" s="3" t="s">
        <v>2727</v>
      </c>
      <c r="E30" s="1" t="s">
        <v>60</v>
      </c>
      <c r="F30" s="10" t="s">
        <v>5152</v>
      </c>
      <c r="G30" s="2" t="s">
        <v>101</v>
      </c>
      <c r="H30" s="4">
        <v>24</v>
      </c>
      <c r="I30" s="4">
        <v>64</v>
      </c>
      <c r="J30" s="4">
        <v>60</v>
      </c>
      <c r="K30" s="4">
        <v>44</v>
      </c>
      <c r="L30" s="4">
        <v>68</v>
      </c>
      <c r="M30" s="4">
        <v>28</v>
      </c>
      <c r="N30" s="4">
        <v>64</v>
      </c>
      <c r="O30" s="4">
        <v>32</v>
      </c>
      <c r="P30" s="4">
        <v>88</v>
      </c>
      <c r="Q30" s="4">
        <v>93</v>
      </c>
      <c r="R30" s="4">
        <v>48</v>
      </c>
      <c r="S30" s="1">
        <f t="shared" si="0"/>
        <v>613</v>
      </c>
      <c r="T30" s="14">
        <f t="shared" si="1"/>
        <v>51.083333333333336</v>
      </c>
      <c r="U30" s="20">
        <f t="shared" si="2"/>
        <v>24</v>
      </c>
    </row>
    <row r="31" spans="1:21" ht="18" customHeight="1">
      <c r="A31" s="19">
        <v>25</v>
      </c>
      <c r="B31" s="2" t="s">
        <v>5271</v>
      </c>
      <c r="C31" s="1" t="s">
        <v>5272</v>
      </c>
      <c r="D31" s="3" t="s">
        <v>5273</v>
      </c>
      <c r="E31" s="1" t="s">
        <v>88</v>
      </c>
      <c r="F31" s="10" t="s">
        <v>5152</v>
      </c>
      <c r="G31" s="2" t="s">
        <v>102</v>
      </c>
      <c r="H31" s="4">
        <v>68</v>
      </c>
      <c r="I31" s="4">
        <v>28</v>
      </c>
      <c r="J31" s="4">
        <v>92</v>
      </c>
      <c r="K31" s="4">
        <v>16</v>
      </c>
      <c r="L31" s="4">
        <v>36</v>
      </c>
      <c r="M31" s="4">
        <v>64</v>
      </c>
      <c r="N31" s="4">
        <v>52</v>
      </c>
      <c r="O31" s="4">
        <v>20</v>
      </c>
      <c r="P31" s="4">
        <v>96</v>
      </c>
      <c r="Q31" s="4">
        <v>96</v>
      </c>
      <c r="R31" s="4">
        <v>40</v>
      </c>
      <c r="S31" s="1">
        <f t="shared" si="0"/>
        <v>608</v>
      </c>
      <c r="T31" s="14">
        <f t="shared" si="1"/>
        <v>50.666666666666664</v>
      </c>
      <c r="U31" s="20">
        <f t="shared" si="2"/>
        <v>25</v>
      </c>
    </row>
    <row r="32" spans="1:21" ht="18" customHeight="1">
      <c r="A32" s="19">
        <v>26</v>
      </c>
      <c r="B32" s="2" t="s">
        <v>5286</v>
      </c>
      <c r="C32" s="1" t="s">
        <v>5287</v>
      </c>
      <c r="D32" s="3" t="s">
        <v>5288</v>
      </c>
      <c r="E32" s="1" t="s">
        <v>66</v>
      </c>
      <c r="F32" s="10" t="s">
        <v>5152</v>
      </c>
      <c r="G32" s="2" t="s">
        <v>102</v>
      </c>
      <c r="H32" s="4">
        <v>80</v>
      </c>
      <c r="I32" s="4">
        <v>32</v>
      </c>
      <c r="J32" s="4">
        <v>92</v>
      </c>
      <c r="K32" s="4">
        <v>48</v>
      </c>
      <c r="L32" s="4">
        <v>28</v>
      </c>
      <c r="M32" s="4">
        <v>44</v>
      </c>
      <c r="N32" s="4">
        <v>60</v>
      </c>
      <c r="O32" s="4">
        <v>28</v>
      </c>
      <c r="P32" s="4">
        <v>84</v>
      </c>
      <c r="Q32" s="4">
        <v>89</v>
      </c>
      <c r="R32" s="4">
        <v>16</v>
      </c>
      <c r="S32" s="1">
        <f t="shared" si="0"/>
        <v>601</v>
      </c>
      <c r="T32" s="14">
        <f t="shared" si="1"/>
        <v>50.083333333333336</v>
      </c>
      <c r="U32" s="20">
        <f t="shared" si="2"/>
        <v>26</v>
      </c>
    </row>
    <row r="33" spans="1:21" ht="18" customHeight="1">
      <c r="A33" s="19">
        <v>27</v>
      </c>
      <c r="B33" s="2" t="s">
        <v>5298</v>
      </c>
      <c r="C33" s="1" t="s">
        <v>5299</v>
      </c>
      <c r="D33" s="3" t="s">
        <v>5300</v>
      </c>
      <c r="E33" s="1" t="s">
        <v>67</v>
      </c>
      <c r="F33" s="10" t="s">
        <v>5152</v>
      </c>
      <c r="G33" s="2" t="s">
        <v>102</v>
      </c>
      <c r="H33" s="4">
        <v>32</v>
      </c>
      <c r="I33" s="4">
        <v>52</v>
      </c>
      <c r="J33" s="4">
        <v>84</v>
      </c>
      <c r="K33" s="4">
        <v>32</v>
      </c>
      <c r="L33" s="4">
        <v>64</v>
      </c>
      <c r="M33" s="4">
        <v>68</v>
      </c>
      <c r="N33" s="4">
        <v>44</v>
      </c>
      <c r="O33" s="4">
        <v>16</v>
      </c>
      <c r="P33" s="4">
        <v>88</v>
      </c>
      <c r="Q33" s="4">
        <v>96</v>
      </c>
      <c r="R33" s="4">
        <v>20</v>
      </c>
      <c r="S33" s="1">
        <f t="shared" si="0"/>
        <v>596</v>
      </c>
      <c r="T33" s="14">
        <f t="shared" si="1"/>
        <v>49.666666666666664</v>
      </c>
      <c r="U33" s="20">
        <f t="shared" si="2"/>
        <v>27</v>
      </c>
    </row>
    <row r="34" spans="1:21" ht="18" customHeight="1">
      <c r="A34" s="19">
        <v>28</v>
      </c>
      <c r="B34" s="2" t="s">
        <v>5191</v>
      </c>
      <c r="C34" s="1" t="s">
        <v>5192</v>
      </c>
      <c r="D34" s="3" t="s">
        <v>5193</v>
      </c>
      <c r="E34" s="1" t="s">
        <v>70</v>
      </c>
      <c r="F34" s="10" t="s">
        <v>5152</v>
      </c>
      <c r="G34" s="2" t="s">
        <v>100</v>
      </c>
      <c r="H34" s="4">
        <v>48</v>
      </c>
      <c r="I34" s="4">
        <v>20</v>
      </c>
      <c r="J34" s="4">
        <v>68</v>
      </c>
      <c r="K34" s="4">
        <v>36</v>
      </c>
      <c r="L34" s="4">
        <v>48</v>
      </c>
      <c r="M34" s="4">
        <v>68</v>
      </c>
      <c r="N34" s="4">
        <v>56</v>
      </c>
      <c r="O34" s="4">
        <v>32</v>
      </c>
      <c r="P34" s="4">
        <v>92</v>
      </c>
      <c r="Q34" s="4">
        <v>100</v>
      </c>
      <c r="R34" s="4">
        <v>24</v>
      </c>
      <c r="S34" s="1">
        <f t="shared" si="0"/>
        <v>592</v>
      </c>
      <c r="T34" s="14">
        <f t="shared" si="1"/>
        <v>49.333333333333336</v>
      </c>
      <c r="U34" s="20">
        <f t="shared" si="2"/>
        <v>28</v>
      </c>
    </row>
    <row r="35" spans="1:21" ht="18" customHeight="1">
      <c r="A35" s="19">
        <v>29</v>
      </c>
      <c r="B35" s="2" t="s">
        <v>5262</v>
      </c>
      <c r="C35" s="1" t="s">
        <v>5263</v>
      </c>
      <c r="D35" s="3" t="s">
        <v>5264</v>
      </c>
      <c r="E35" s="1" t="s">
        <v>78</v>
      </c>
      <c r="F35" s="10" t="s">
        <v>5152</v>
      </c>
      <c r="G35" s="2" t="s">
        <v>101</v>
      </c>
      <c r="H35" s="4">
        <v>60</v>
      </c>
      <c r="I35" s="4">
        <v>20</v>
      </c>
      <c r="J35" s="4">
        <v>56</v>
      </c>
      <c r="K35" s="4">
        <v>52</v>
      </c>
      <c r="L35" s="4">
        <v>44</v>
      </c>
      <c r="M35" s="4">
        <v>56</v>
      </c>
      <c r="N35" s="4">
        <v>72</v>
      </c>
      <c r="O35" s="4">
        <v>48</v>
      </c>
      <c r="P35" s="4">
        <v>80</v>
      </c>
      <c r="Q35" s="4">
        <v>96</v>
      </c>
      <c r="R35" s="4">
        <v>8</v>
      </c>
      <c r="S35" s="1">
        <f t="shared" si="0"/>
        <v>592</v>
      </c>
      <c r="T35" s="14">
        <f t="shared" si="1"/>
        <v>49.333333333333336</v>
      </c>
      <c r="U35" s="20">
        <f t="shared" si="2"/>
        <v>28</v>
      </c>
    </row>
    <row r="36" spans="1:21" ht="18" customHeight="1">
      <c r="A36" s="19">
        <v>30</v>
      </c>
      <c r="B36" s="2" t="s">
        <v>5244</v>
      </c>
      <c r="C36" s="1" t="s">
        <v>5245</v>
      </c>
      <c r="D36" s="3" t="s">
        <v>5246</v>
      </c>
      <c r="E36" s="1" t="s">
        <v>81</v>
      </c>
      <c r="F36" s="10" t="s">
        <v>5152</v>
      </c>
      <c r="G36" s="2" t="s">
        <v>101</v>
      </c>
      <c r="H36" s="4">
        <v>12</v>
      </c>
      <c r="I36" s="4">
        <v>60</v>
      </c>
      <c r="J36" s="4">
        <v>80</v>
      </c>
      <c r="K36" s="4">
        <v>60</v>
      </c>
      <c r="L36" s="4">
        <v>40</v>
      </c>
      <c r="M36" s="4">
        <v>56</v>
      </c>
      <c r="N36" s="4">
        <v>56</v>
      </c>
      <c r="O36" s="4">
        <v>44</v>
      </c>
      <c r="P36" s="4">
        <v>84</v>
      </c>
      <c r="Q36" s="4">
        <v>86</v>
      </c>
      <c r="R36" s="4">
        <v>12</v>
      </c>
      <c r="S36" s="1">
        <f t="shared" si="0"/>
        <v>590</v>
      </c>
      <c r="T36" s="14">
        <f t="shared" si="1"/>
        <v>49.166666666666664</v>
      </c>
      <c r="U36" s="20">
        <f t="shared" si="2"/>
        <v>30</v>
      </c>
    </row>
    <row r="37" spans="1:21" ht="18" customHeight="1">
      <c r="A37" s="19">
        <v>31</v>
      </c>
      <c r="B37" s="2" t="s">
        <v>5250</v>
      </c>
      <c r="C37" s="1" t="s">
        <v>5251</v>
      </c>
      <c r="D37" s="3" t="s">
        <v>5252</v>
      </c>
      <c r="E37" s="1" t="s">
        <v>77</v>
      </c>
      <c r="F37" s="10" t="s">
        <v>5152</v>
      </c>
      <c r="G37" s="2" t="s">
        <v>101</v>
      </c>
      <c r="H37" s="4">
        <v>32</v>
      </c>
      <c r="I37" s="4">
        <v>32</v>
      </c>
      <c r="J37" s="4">
        <v>68</v>
      </c>
      <c r="K37" s="4">
        <v>44</v>
      </c>
      <c r="L37" s="4">
        <v>20</v>
      </c>
      <c r="M37" s="4">
        <v>72</v>
      </c>
      <c r="N37" s="4">
        <v>56</v>
      </c>
      <c r="O37" s="4">
        <v>40</v>
      </c>
      <c r="P37" s="4">
        <v>92</v>
      </c>
      <c r="Q37" s="4">
        <v>96</v>
      </c>
      <c r="R37" s="4">
        <v>32</v>
      </c>
      <c r="S37" s="1">
        <f t="shared" si="0"/>
        <v>584</v>
      </c>
      <c r="T37" s="14">
        <f t="shared" si="1"/>
        <v>48.666666666666664</v>
      </c>
      <c r="U37" s="20">
        <f t="shared" si="2"/>
        <v>31</v>
      </c>
    </row>
    <row r="38" spans="1:21" ht="18" customHeight="1">
      <c r="A38" s="19">
        <v>32</v>
      </c>
      <c r="B38" s="2" t="s">
        <v>5235</v>
      </c>
      <c r="C38" s="1" t="s">
        <v>5236</v>
      </c>
      <c r="D38" s="3" t="s">
        <v>5237</v>
      </c>
      <c r="E38" s="1" t="s">
        <v>62</v>
      </c>
      <c r="F38" s="10" t="s">
        <v>5152</v>
      </c>
      <c r="G38" s="2" t="s">
        <v>101</v>
      </c>
      <c r="H38" s="4">
        <v>36</v>
      </c>
      <c r="I38" s="4">
        <v>44</v>
      </c>
      <c r="J38" s="4">
        <v>80</v>
      </c>
      <c r="K38" s="4">
        <v>48</v>
      </c>
      <c r="L38" s="4">
        <v>40</v>
      </c>
      <c r="M38" s="4">
        <v>40</v>
      </c>
      <c r="N38" s="4">
        <v>48</v>
      </c>
      <c r="O38" s="4">
        <v>36</v>
      </c>
      <c r="P38" s="4">
        <v>76</v>
      </c>
      <c r="Q38" s="4">
        <v>100</v>
      </c>
      <c r="R38" s="4">
        <v>24</v>
      </c>
      <c r="S38" s="1">
        <f t="shared" si="0"/>
        <v>572</v>
      </c>
      <c r="T38" s="14">
        <f t="shared" si="1"/>
        <v>47.666666666666664</v>
      </c>
      <c r="U38" s="20">
        <f t="shared" si="2"/>
        <v>32</v>
      </c>
    </row>
    <row r="39" spans="1:21" ht="18" customHeight="1">
      <c r="A39" s="19">
        <v>33</v>
      </c>
      <c r="B39" s="2" t="s">
        <v>5274</v>
      </c>
      <c r="C39" s="1" t="s">
        <v>5275</v>
      </c>
      <c r="D39" s="3" t="s">
        <v>5276</v>
      </c>
      <c r="E39" s="1" t="s">
        <v>65</v>
      </c>
      <c r="F39" s="10" t="s">
        <v>5152</v>
      </c>
      <c r="G39" s="2" t="s">
        <v>102</v>
      </c>
      <c r="H39" s="4">
        <v>44</v>
      </c>
      <c r="I39" s="4">
        <v>32</v>
      </c>
      <c r="J39" s="4">
        <v>72</v>
      </c>
      <c r="K39" s="4">
        <v>36</v>
      </c>
      <c r="L39" s="4">
        <v>40</v>
      </c>
      <c r="M39" s="4">
        <v>44</v>
      </c>
      <c r="N39" s="4">
        <v>60</v>
      </c>
      <c r="O39" s="4">
        <v>32</v>
      </c>
      <c r="P39" s="4">
        <v>80</v>
      </c>
      <c r="Q39" s="4">
        <v>86</v>
      </c>
      <c r="R39" s="4">
        <v>40</v>
      </c>
      <c r="S39" s="1">
        <f t="shared" ref="S39:S62" si="3">SUBTOTAL(9,H39:R39)</f>
        <v>566</v>
      </c>
      <c r="T39" s="14">
        <f t="shared" ref="T39:T62" si="4">S39/12</f>
        <v>47.166666666666664</v>
      </c>
      <c r="U39" s="20">
        <f t="shared" ref="U39:U62" si="5">RANK(T39,T$7:T$125,0)</f>
        <v>33</v>
      </c>
    </row>
    <row r="40" spans="1:21" ht="18" customHeight="1">
      <c r="A40" s="19">
        <v>34</v>
      </c>
      <c r="B40" s="2" t="s">
        <v>5253</v>
      </c>
      <c r="C40" s="1" t="s">
        <v>5254</v>
      </c>
      <c r="D40" s="3" t="s">
        <v>5255</v>
      </c>
      <c r="E40" s="1" t="s">
        <v>77</v>
      </c>
      <c r="F40" s="10" t="s">
        <v>5152</v>
      </c>
      <c r="G40" s="2" t="s">
        <v>101</v>
      </c>
      <c r="H40" s="4">
        <v>36</v>
      </c>
      <c r="I40" s="4">
        <v>20</v>
      </c>
      <c r="J40" s="4">
        <v>76</v>
      </c>
      <c r="K40" s="4">
        <v>48</v>
      </c>
      <c r="L40" s="4">
        <v>48</v>
      </c>
      <c r="M40" s="4">
        <v>24</v>
      </c>
      <c r="N40" s="4">
        <v>48</v>
      </c>
      <c r="O40" s="4">
        <v>40</v>
      </c>
      <c r="P40" s="4">
        <v>100</v>
      </c>
      <c r="Q40" s="4">
        <v>93</v>
      </c>
      <c r="R40" s="4">
        <v>24</v>
      </c>
      <c r="S40" s="1">
        <f t="shared" si="3"/>
        <v>557</v>
      </c>
      <c r="T40" s="14">
        <f t="shared" si="4"/>
        <v>46.416666666666664</v>
      </c>
      <c r="U40" s="20">
        <f t="shared" si="5"/>
        <v>34</v>
      </c>
    </row>
    <row r="41" spans="1:21" ht="18" customHeight="1">
      <c r="A41" s="19">
        <v>35</v>
      </c>
      <c r="B41" s="2" t="s">
        <v>5280</v>
      </c>
      <c r="C41" s="1" t="s">
        <v>5281</v>
      </c>
      <c r="D41" s="3" t="s">
        <v>5282</v>
      </c>
      <c r="E41" s="1" t="s">
        <v>82</v>
      </c>
      <c r="F41" s="10" t="s">
        <v>5152</v>
      </c>
      <c r="G41" s="2" t="s">
        <v>102</v>
      </c>
      <c r="H41" s="4">
        <v>28</v>
      </c>
      <c r="I41" s="4">
        <v>44</v>
      </c>
      <c r="J41" s="4">
        <v>60</v>
      </c>
      <c r="K41" s="4">
        <v>44</v>
      </c>
      <c r="L41" s="4">
        <v>60</v>
      </c>
      <c r="M41" s="4">
        <v>40</v>
      </c>
      <c r="N41" s="4">
        <v>44</v>
      </c>
      <c r="O41" s="4">
        <v>44</v>
      </c>
      <c r="P41" s="4">
        <v>72</v>
      </c>
      <c r="Q41" s="4">
        <v>100</v>
      </c>
      <c r="R41" s="4">
        <v>16</v>
      </c>
      <c r="S41" s="1">
        <f t="shared" si="3"/>
        <v>552</v>
      </c>
      <c r="T41" s="14">
        <f t="shared" si="4"/>
        <v>46</v>
      </c>
      <c r="U41" s="20">
        <f t="shared" si="5"/>
        <v>35</v>
      </c>
    </row>
    <row r="42" spans="1:21" ht="18" customHeight="1">
      <c r="A42" s="19">
        <v>36</v>
      </c>
      <c r="B42" s="2" t="s">
        <v>5194</v>
      </c>
      <c r="C42" s="1" t="s">
        <v>5195</v>
      </c>
      <c r="D42" s="3" t="s">
        <v>5196</v>
      </c>
      <c r="E42" s="1" t="s">
        <v>70</v>
      </c>
      <c r="F42" s="10" t="s">
        <v>5152</v>
      </c>
      <c r="G42" s="2" t="s">
        <v>100</v>
      </c>
      <c r="H42" s="4">
        <v>56</v>
      </c>
      <c r="I42" s="4">
        <v>20</v>
      </c>
      <c r="J42" s="4">
        <v>28</v>
      </c>
      <c r="K42" s="4">
        <v>40</v>
      </c>
      <c r="L42" s="4">
        <v>68</v>
      </c>
      <c r="M42" s="4">
        <v>76</v>
      </c>
      <c r="N42" s="4">
        <v>24</v>
      </c>
      <c r="O42" s="4">
        <v>40</v>
      </c>
      <c r="P42" s="4">
        <v>88</v>
      </c>
      <c r="Q42" s="4">
        <v>86</v>
      </c>
      <c r="R42" s="4">
        <v>24</v>
      </c>
      <c r="S42" s="1">
        <f t="shared" si="3"/>
        <v>550</v>
      </c>
      <c r="T42" s="14">
        <f t="shared" si="4"/>
        <v>45.833333333333336</v>
      </c>
      <c r="U42" s="20">
        <f t="shared" si="5"/>
        <v>36</v>
      </c>
    </row>
    <row r="43" spans="1:21" ht="18" customHeight="1">
      <c r="A43" s="19">
        <v>37</v>
      </c>
      <c r="B43" s="2" t="s">
        <v>5182</v>
      </c>
      <c r="C43" s="1" t="s">
        <v>5183</v>
      </c>
      <c r="D43" s="3" t="s">
        <v>5184</v>
      </c>
      <c r="E43" s="1" t="s">
        <v>79</v>
      </c>
      <c r="F43" s="10" t="s">
        <v>5152</v>
      </c>
      <c r="G43" s="2" t="s">
        <v>100</v>
      </c>
      <c r="H43" s="4">
        <v>28</v>
      </c>
      <c r="I43" s="4">
        <v>20</v>
      </c>
      <c r="J43" s="4">
        <v>72</v>
      </c>
      <c r="K43" s="4">
        <v>32</v>
      </c>
      <c r="L43" s="4">
        <v>36</v>
      </c>
      <c r="M43" s="4">
        <v>44</v>
      </c>
      <c r="N43" s="4">
        <v>28</v>
      </c>
      <c r="O43" s="4">
        <v>48</v>
      </c>
      <c r="P43" s="4">
        <v>96</v>
      </c>
      <c r="Q43" s="4">
        <v>100</v>
      </c>
      <c r="R43" s="4">
        <v>36</v>
      </c>
      <c r="S43" s="1">
        <f t="shared" si="3"/>
        <v>540</v>
      </c>
      <c r="T43" s="14">
        <f t="shared" si="4"/>
        <v>45</v>
      </c>
      <c r="U43" s="20">
        <f t="shared" si="5"/>
        <v>37</v>
      </c>
    </row>
    <row r="44" spans="1:21" ht="18" customHeight="1">
      <c r="A44" s="19">
        <v>38</v>
      </c>
      <c r="B44" s="2" t="s">
        <v>5289</v>
      </c>
      <c r="C44" s="1" t="s">
        <v>5290</v>
      </c>
      <c r="D44" s="3" t="s">
        <v>5291</v>
      </c>
      <c r="E44" s="1" t="s">
        <v>66</v>
      </c>
      <c r="F44" s="10" t="s">
        <v>5152</v>
      </c>
      <c r="G44" s="2" t="s">
        <v>102</v>
      </c>
      <c r="H44" s="4">
        <v>60</v>
      </c>
      <c r="I44" s="4">
        <v>48</v>
      </c>
      <c r="J44" s="4">
        <v>40</v>
      </c>
      <c r="K44" s="4">
        <v>48</v>
      </c>
      <c r="L44" s="4">
        <v>32</v>
      </c>
      <c r="M44" s="4">
        <v>48</v>
      </c>
      <c r="N44" s="4">
        <v>16</v>
      </c>
      <c r="O44" s="4">
        <v>28</v>
      </c>
      <c r="P44" s="4">
        <v>100</v>
      </c>
      <c r="Q44" s="4">
        <v>100</v>
      </c>
      <c r="R44" s="4">
        <v>4</v>
      </c>
      <c r="S44" s="1">
        <f t="shared" si="3"/>
        <v>524</v>
      </c>
      <c r="T44" s="14">
        <f t="shared" si="4"/>
        <v>43.666666666666664</v>
      </c>
      <c r="U44" s="20">
        <f t="shared" si="5"/>
        <v>38</v>
      </c>
    </row>
    <row r="45" spans="1:21" ht="18" customHeight="1">
      <c r="A45" s="19">
        <v>39</v>
      </c>
      <c r="B45" s="2" t="s">
        <v>5185</v>
      </c>
      <c r="C45" s="1" t="s">
        <v>5186</v>
      </c>
      <c r="D45" s="3" t="s">
        <v>5187</v>
      </c>
      <c r="E45" s="1" t="s">
        <v>70</v>
      </c>
      <c r="F45" s="10" t="s">
        <v>5152</v>
      </c>
      <c r="G45" s="2" t="s">
        <v>100</v>
      </c>
      <c r="H45" s="4">
        <v>56</v>
      </c>
      <c r="I45" s="4">
        <v>36</v>
      </c>
      <c r="J45" s="4">
        <v>56</v>
      </c>
      <c r="K45" s="4">
        <v>24</v>
      </c>
      <c r="L45" s="4">
        <v>52</v>
      </c>
      <c r="M45" s="4">
        <v>60</v>
      </c>
      <c r="N45" s="4">
        <v>56</v>
      </c>
      <c r="O45" s="4">
        <v>20</v>
      </c>
      <c r="P45" s="4">
        <v>56</v>
      </c>
      <c r="Q45" s="4">
        <v>89</v>
      </c>
      <c r="R45" s="4">
        <v>12</v>
      </c>
      <c r="S45" s="1">
        <f t="shared" si="3"/>
        <v>517</v>
      </c>
      <c r="T45" s="14">
        <f t="shared" si="4"/>
        <v>43.083333333333336</v>
      </c>
      <c r="U45" s="20">
        <f t="shared" si="5"/>
        <v>39</v>
      </c>
    </row>
    <row r="46" spans="1:21" ht="18" customHeight="1">
      <c r="A46" s="19">
        <v>40</v>
      </c>
      <c r="B46" s="2" t="s">
        <v>5238</v>
      </c>
      <c r="C46" s="1" t="s">
        <v>5239</v>
      </c>
      <c r="D46" s="3" t="s">
        <v>5240</v>
      </c>
      <c r="E46" s="1" t="s">
        <v>62</v>
      </c>
      <c r="F46" s="10" t="s">
        <v>5152</v>
      </c>
      <c r="G46" s="2" t="s">
        <v>101</v>
      </c>
      <c r="H46" s="4">
        <v>24</v>
      </c>
      <c r="I46" s="4">
        <v>32</v>
      </c>
      <c r="J46" s="4">
        <v>64</v>
      </c>
      <c r="K46" s="4">
        <v>36</v>
      </c>
      <c r="L46" s="4">
        <v>44</v>
      </c>
      <c r="M46" s="4">
        <v>52</v>
      </c>
      <c r="N46" s="4">
        <v>48</v>
      </c>
      <c r="O46" s="4">
        <v>28</v>
      </c>
      <c r="P46" s="4">
        <v>76</v>
      </c>
      <c r="Q46" s="4">
        <v>100</v>
      </c>
      <c r="R46" s="4">
        <v>12</v>
      </c>
      <c r="S46" s="1">
        <f t="shared" si="3"/>
        <v>516</v>
      </c>
      <c r="T46" s="14">
        <f t="shared" si="4"/>
        <v>43</v>
      </c>
      <c r="U46" s="20">
        <f t="shared" si="5"/>
        <v>40</v>
      </c>
    </row>
    <row r="47" spans="1:21" ht="18" customHeight="1">
      <c r="A47" s="19">
        <v>41</v>
      </c>
      <c r="B47" s="2" t="s">
        <v>5162</v>
      </c>
      <c r="C47" s="1">
        <v>424292</v>
      </c>
      <c r="D47" s="3" t="s">
        <v>5163</v>
      </c>
      <c r="E47" s="1" t="s">
        <v>68</v>
      </c>
      <c r="F47" s="10" t="s">
        <v>5152</v>
      </c>
      <c r="G47" s="2" t="s">
        <v>99</v>
      </c>
      <c r="H47" s="4">
        <v>0</v>
      </c>
      <c r="I47" s="4">
        <v>0</v>
      </c>
      <c r="J47" s="4">
        <v>60</v>
      </c>
      <c r="K47" s="4">
        <v>48</v>
      </c>
      <c r="L47" s="4">
        <v>20</v>
      </c>
      <c r="M47" s="4">
        <v>20</v>
      </c>
      <c r="N47" s="4">
        <v>64</v>
      </c>
      <c r="O47" s="4">
        <v>40</v>
      </c>
      <c r="P47" s="4">
        <v>84</v>
      </c>
      <c r="Q47" s="4">
        <v>100</v>
      </c>
      <c r="R47" s="4">
        <v>68</v>
      </c>
      <c r="S47" s="1">
        <f t="shared" si="3"/>
        <v>504</v>
      </c>
      <c r="T47" s="14">
        <f t="shared" si="4"/>
        <v>42</v>
      </c>
      <c r="U47" s="20">
        <f t="shared" si="5"/>
        <v>41</v>
      </c>
    </row>
    <row r="48" spans="1:21" ht="18" customHeight="1">
      <c r="A48" s="19">
        <v>42</v>
      </c>
      <c r="B48" s="2" t="s">
        <v>5197</v>
      </c>
      <c r="C48" s="1" t="s">
        <v>5198</v>
      </c>
      <c r="D48" s="3" t="s">
        <v>5199</v>
      </c>
      <c r="E48" s="1" t="s">
        <v>56</v>
      </c>
      <c r="F48" s="10" t="s">
        <v>5152</v>
      </c>
      <c r="G48" s="2" t="s">
        <v>100</v>
      </c>
      <c r="H48" s="4">
        <v>36</v>
      </c>
      <c r="I48" s="4">
        <v>20</v>
      </c>
      <c r="J48" s="4">
        <v>76</v>
      </c>
      <c r="K48" s="4">
        <v>36</v>
      </c>
      <c r="L48" s="4">
        <v>52</v>
      </c>
      <c r="M48" s="4">
        <v>24</v>
      </c>
      <c r="N48" s="4">
        <v>20</v>
      </c>
      <c r="O48" s="4">
        <v>52</v>
      </c>
      <c r="P48" s="4">
        <v>68</v>
      </c>
      <c r="Q48" s="4">
        <v>100</v>
      </c>
      <c r="R48" s="4">
        <v>16</v>
      </c>
      <c r="S48" s="1">
        <f t="shared" si="3"/>
        <v>500</v>
      </c>
      <c r="T48" s="14">
        <f t="shared" si="4"/>
        <v>41.666666666666664</v>
      </c>
      <c r="U48" s="20">
        <f t="shared" si="5"/>
        <v>42</v>
      </c>
    </row>
    <row r="49" spans="1:21" ht="18" customHeight="1">
      <c r="A49" s="19">
        <v>43</v>
      </c>
      <c r="B49" s="2" t="s">
        <v>5301</v>
      </c>
      <c r="C49" s="1" t="s">
        <v>5302</v>
      </c>
      <c r="D49" s="3" t="s">
        <v>5303</v>
      </c>
      <c r="E49" s="1" t="s">
        <v>76</v>
      </c>
      <c r="F49" s="10" t="s">
        <v>5152</v>
      </c>
      <c r="G49" s="2" t="s">
        <v>102</v>
      </c>
      <c r="H49" s="4">
        <v>40</v>
      </c>
      <c r="I49" s="4">
        <v>28</v>
      </c>
      <c r="J49" s="4">
        <v>80</v>
      </c>
      <c r="K49" s="4">
        <v>12</v>
      </c>
      <c r="L49" s="4">
        <v>28</v>
      </c>
      <c r="M49" s="4">
        <v>40</v>
      </c>
      <c r="N49" s="4">
        <v>20</v>
      </c>
      <c r="O49" s="4">
        <v>20</v>
      </c>
      <c r="P49" s="4">
        <v>100</v>
      </c>
      <c r="Q49" s="4">
        <v>93</v>
      </c>
      <c r="R49" s="4">
        <v>36</v>
      </c>
      <c r="S49" s="1">
        <f t="shared" si="3"/>
        <v>497</v>
      </c>
      <c r="T49" s="14">
        <f t="shared" si="4"/>
        <v>41.416666666666664</v>
      </c>
      <c r="U49" s="20">
        <f t="shared" si="5"/>
        <v>43</v>
      </c>
    </row>
    <row r="50" spans="1:21" ht="18" customHeight="1">
      <c r="A50" s="19">
        <v>44</v>
      </c>
      <c r="B50" s="2" t="s">
        <v>5173</v>
      </c>
      <c r="C50" s="1" t="s">
        <v>5174</v>
      </c>
      <c r="D50" s="3" t="s">
        <v>5175</v>
      </c>
      <c r="E50" s="1" t="s">
        <v>55</v>
      </c>
      <c r="F50" s="10" t="s">
        <v>5152</v>
      </c>
      <c r="G50" s="2" t="s">
        <v>99</v>
      </c>
      <c r="H50" s="4">
        <v>48</v>
      </c>
      <c r="I50" s="4">
        <v>48</v>
      </c>
      <c r="J50" s="4">
        <v>52</v>
      </c>
      <c r="K50" s="4">
        <v>28</v>
      </c>
      <c r="L50" s="4">
        <v>24</v>
      </c>
      <c r="M50" s="4">
        <v>20</v>
      </c>
      <c r="N50" s="4">
        <v>24</v>
      </c>
      <c r="O50" s="4">
        <v>56</v>
      </c>
      <c r="P50" s="4">
        <v>84</v>
      </c>
      <c r="Q50" s="4">
        <v>89</v>
      </c>
      <c r="R50" s="4">
        <v>12</v>
      </c>
      <c r="S50" s="1">
        <f t="shared" si="3"/>
        <v>485</v>
      </c>
      <c r="T50" s="14">
        <f t="shared" si="4"/>
        <v>40.416666666666664</v>
      </c>
      <c r="U50" s="20">
        <f t="shared" si="5"/>
        <v>44</v>
      </c>
    </row>
    <row r="51" spans="1:21" ht="18" customHeight="1">
      <c r="A51" s="19">
        <v>45</v>
      </c>
      <c r="B51" s="2" t="s">
        <v>5304</v>
      </c>
      <c r="C51" s="1" t="s">
        <v>5305</v>
      </c>
      <c r="D51" s="3" t="s">
        <v>5306</v>
      </c>
      <c r="E51" s="1" t="s">
        <v>85</v>
      </c>
      <c r="F51" s="10" t="s">
        <v>5152</v>
      </c>
      <c r="G51" s="2" t="s">
        <v>102</v>
      </c>
      <c r="H51" s="4">
        <v>32</v>
      </c>
      <c r="I51" s="4">
        <v>24</v>
      </c>
      <c r="J51" s="4">
        <v>64</v>
      </c>
      <c r="K51" s="4">
        <v>48</v>
      </c>
      <c r="L51" s="4">
        <v>48</v>
      </c>
      <c r="M51" s="4">
        <v>44</v>
      </c>
      <c r="N51" s="4">
        <v>8</v>
      </c>
      <c r="O51" s="4">
        <v>36</v>
      </c>
      <c r="P51" s="4">
        <v>72</v>
      </c>
      <c r="Q51" s="4">
        <v>75</v>
      </c>
      <c r="R51" s="4">
        <v>16</v>
      </c>
      <c r="S51" s="1">
        <f t="shared" si="3"/>
        <v>467</v>
      </c>
      <c r="T51" s="14">
        <f t="shared" si="4"/>
        <v>38.916666666666664</v>
      </c>
      <c r="U51" s="20">
        <f t="shared" si="5"/>
        <v>45</v>
      </c>
    </row>
    <row r="52" spans="1:21" ht="18" customHeight="1">
      <c r="A52" s="19">
        <v>46</v>
      </c>
      <c r="B52" s="2" t="s">
        <v>5292</v>
      </c>
      <c r="C52" s="1" t="s">
        <v>5293</v>
      </c>
      <c r="D52" s="3" t="s">
        <v>5294</v>
      </c>
      <c r="E52" s="1" t="s">
        <v>66</v>
      </c>
      <c r="F52" s="10" t="s">
        <v>5152</v>
      </c>
      <c r="G52" s="2" t="s">
        <v>102</v>
      </c>
      <c r="H52" s="4">
        <v>28</v>
      </c>
      <c r="I52" s="4">
        <v>28</v>
      </c>
      <c r="J52" s="4">
        <v>68</v>
      </c>
      <c r="K52" s="4">
        <v>24</v>
      </c>
      <c r="L52" s="4">
        <v>48</v>
      </c>
      <c r="M52" s="4">
        <v>16</v>
      </c>
      <c r="N52" s="4">
        <v>32</v>
      </c>
      <c r="O52" s="4">
        <v>28</v>
      </c>
      <c r="P52" s="4">
        <v>76</v>
      </c>
      <c r="Q52" s="4">
        <v>78</v>
      </c>
      <c r="R52" s="4">
        <v>28</v>
      </c>
      <c r="S52" s="1">
        <f t="shared" si="3"/>
        <v>454</v>
      </c>
      <c r="T52" s="14">
        <f t="shared" si="4"/>
        <v>37.833333333333336</v>
      </c>
      <c r="U52" s="20">
        <f t="shared" si="5"/>
        <v>46</v>
      </c>
    </row>
    <row r="53" spans="1:21" ht="18" customHeight="1">
      <c r="A53" s="19">
        <v>47</v>
      </c>
      <c r="B53" s="2" t="s">
        <v>5227</v>
      </c>
      <c r="C53" s="1" t="s">
        <v>5228</v>
      </c>
      <c r="D53" s="3" t="s">
        <v>5229</v>
      </c>
      <c r="E53" s="1" t="s">
        <v>58</v>
      </c>
      <c r="F53" s="10" t="s">
        <v>5152</v>
      </c>
      <c r="G53" s="2" t="s">
        <v>101</v>
      </c>
      <c r="H53" s="4">
        <v>8</v>
      </c>
      <c r="I53" s="4">
        <v>44</v>
      </c>
      <c r="J53" s="4">
        <v>64</v>
      </c>
      <c r="K53" s="4">
        <v>28</v>
      </c>
      <c r="L53" s="4">
        <v>24</v>
      </c>
      <c r="M53" s="4">
        <v>52</v>
      </c>
      <c r="N53" s="4">
        <v>48</v>
      </c>
      <c r="O53" s="4">
        <v>28</v>
      </c>
      <c r="P53" s="4">
        <v>76</v>
      </c>
      <c r="Q53" s="4">
        <v>71</v>
      </c>
      <c r="R53" s="4">
        <v>8</v>
      </c>
      <c r="S53" s="1">
        <f t="shared" si="3"/>
        <v>451</v>
      </c>
      <c r="T53" s="14">
        <f t="shared" si="4"/>
        <v>37.583333333333336</v>
      </c>
      <c r="U53" s="20">
        <f t="shared" si="5"/>
        <v>47</v>
      </c>
    </row>
    <row r="54" spans="1:21" ht="18" customHeight="1">
      <c r="A54" s="19">
        <v>48</v>
      </c>
      <c r="B54" s="2" t="s">
        <v>5283</v>
      </c>
      <c r="C54" s="1" t="s">
        <v>5284</v>
      </c>
      <c r="D54" s="3" t="s">
        <v>5285</v>
      </c>
      <c r="E54" s="1" t="s">
        <v>66</v>
      </c>
      <c r="F54" s="10" t="s">
        <v>5152</v>
      </c>
      <c r="G54" s="2" t="s">
        <v>102</v>
      </c>
      <c r="H54" s="4">
        <v>24</v>
      </c>
      <c r="I54" s="4">
        <v>20</v>
      </c>
      <c r="J54" s="4">
        <v>60</v>
      </c>
      <c r="K54" s="4">
        <v>48</v>
      </c>
      <c r="L54" s="4">
        <v>36</v>
      </c>
      <c r="M54" s="4">
        <v>48</v>
      </c>
      <c r="N54" s="4">
        <v>32</v>
      </c>
      <c r="O54" s="4">
        <v>8</v>
      </c>
      <c r="P54" s="4">
        <v>68</v>
      </c>
      <c r="Q54" s="4">
        <v>100</v>
      </c>
      <c r="R54" s="4">
        <v>4</v>
      </c>
      <c r="S54" s="1">
        <f t="shared" si="3"/>
        <v>448</v>
      </c>
      <c r="T54" s="14">
        <f t="shared" si="4"/>
        <v>37.333333333333336</v>
      </c>
      <c r="U54" s="20">
        <f t="shared" si="5"/>
        <v>48</v>
      </c>
    </row>
    <row r="55" spans="1:21" ht="18" customHeight="1">
      <c r="A55" s="19">
        <v>49</v>
      </c>
      <c r="B55" s="2" t="s">
        <v>5230</v>
      </c>
      <c r="C55" s="1" t="s">
        <v>5231</v>
      </c>
      <c r="D55" s="3" t="s">
        <v>5232</v>
      </c>
      <c r="E55" s="1" t="s">
        <v>59</v>
      </c>
      <c r="F55" s="10" t="s">
        <v>5152</v>
      </c>
      <c r="G55" s="2" t="s">
        <v>101</v>
      </c>
      <c r="H55" s="4">
        <v>24</v>
      </c>
      <c r="I55" s="4">
        <v>16</v>
      </c>
      <c r="J55" s="4">
        <v>48</v>
      </c>
      <c r="K55" s="4">
        <v>46</v>
      </c>
      <c r="L55" s="4">
        <v>32</v>
      </c>
      <c r="M55" s="4">
        <v>56</v>
      </c>
      <c r="N55" s="4">
        <v>24</v>
      </c>
      <c r="O55" s="4">
        <v>24</v>
      </c>
      <c r="P55" s="4">
        <v>84</v>
      </c>
      <c r="Q55" s="4">
        <v>82</v>
      </c>
      <c r="R55" s="4">
        <v>8</v>
      </c>
      <c r="S55" s="1">
        <f t="shared" si="3"/>
        <v>444</v>
      </c>
      <c r="T55" s="14">
        <f t="shared" si="4"/>
        <v>37</v>
      </c>
      <c r="U55" s="20">
        <f t="shared" si="5"/>
        <v>49</v>
      </c>
    </row>
    <row r="56" spans="1:21" ht="18" customHeight="1">
      <c r="A56" s="19">
        <v>50</v>
      </c>
      <c r="B56" s="2" t="s">
        <v>5256</v>
      </c>
      <c r="C56" s="1" t="s">
        <v>5257</v>
      </c>
      <c r="D56" s="3" t="s">
        <v>5258</v>
      </c>
      <c r="E56" s="1" t="s">
        <v>84</v>
      </c>
      <c r="F56" s="10" t="s">
        <v>5152</v>
      </c>
      <c r="G56" s="2" t="s">
        <v>101</v>
      </c>
      <c r="H56" s="4">
        <v>16</v>
      </c>
      <c r="I56" s="4">
        <v>20</v>
      </c>
      <c r="J56" s="4">
        <v>40</v>
      </c>
      <c r="K56" s="4">
        <v>32</v>
      </c>
      <c r="L56" s="4">
        <v>32</v>
      </c>
      <c r="M56" s="4">
        <v>28</v>
      </c>
      <c r="N56" s="4">
        <v>28</v>
      </c>
      <c r="O56" s="4">
        <v>32</v>
      </c>
      <c r="P56" s="4">
        <v>60</v>
      </c>
      <c r="Q56" s="4">
        <v>100</v>
      </c>
      <c r="R56" s="4">
        <v>28</v>
      </c>
      <c r="S56" s="1">
        <f t="shared" si="3"/>
        <v>416</v>
      </c>
      <c r="T56" s="14">
        <f t="shared" si="4"/>
        <v>34.666666666666664</v>
      </c>
      <c r="U56" s="20">
        <f t="shared" si="5"/>
        <v>50</v>
      </c>
    </row>
    <row r="57" spans="1:21" ht="18" customHeight="1">
      <c r="A57" s="19">
        <v>51</v>
      </c>
      <c r="B57" s="2" t="s">
        <v>5159</v>
      </c>
      <c r="C57" s="1" t="s">
        <v>5160</v>
      </c>
      <c r="D57" s="3" t="s">
        <v>5161</v>
      </c>
      <c r="E57" s="1" t="s">
        <v>353</v>
      </c>
      <c r="F57" s="10" t="s">
        <v>5152</v>
      </c>
      <c r="G57" s="2" t="s">
        <v>99</v>
      </c>
      <c r="H57" s="4">
        <v>20</v>
      </c>
      <c r="I57" s="4">
        <v>12</v>
      </c>
      <c r="J57" s="4">
        <v>20</v>
      </c>
      <c r="K57" s="4">
        <v>28</v>
      </c>
      <c r="L57" s="4">
        <v>36</v>
      </c>
      <c r="M57" s="4">
        <v>16</v>
      </c>
      <c r="N57" s="4">
        <v>8</v>
      </c>
      <c r="O57" s="4">
        <v>24</v>
      </c>
      <c r="P57" s="4">
        <v>76</v>
      </c>
      <c r="Q57" s="4">
        <v>100</v>
      </c>
      <c r="R57" s="4">
        <v>20</v>
      </c>
      <c r="S57" s="1">
        <f t="shared" si="3"/>
        <v>360</v>
      </c>
      <c r="T57" s="14">
        <f t="shared" si="4"/>
        <v>30</v>
      </c>
      <c r="U57" s="20">
        <f t="shared" si="5"/>
        <v>51</v>
      </c>
    </row>
    <row r="58" spans="1:21" ht="18" customHeight="1">
      <c r="A58" s="19">
        <v>52</v>
      </c>
      <c r="B58" s="2" t="s">
        <v>5149</v>
      </c>
      <c r="C58" s="1" t="s">
        <v>5150</v>
      </c>
      <c r="D58" s="3" t="s">
        <v>5151</v>
      </c>
      <c r="E58" s="1" t="s">
        <v>75</v>
      </c>
      <c r="F58" s="10" t="s">
        <v>5152</v>
      </c>
      <c r="G58" s="2" t="s">
        <v>99</v>
      </c>
      <c r="H58" s="4">
        <v>16</v>
      </c>
      <c r="I58" s="4">
        <v>24</v>
      </c>
      <c r="J58" s="4">
        <v>40</v>
      </c>
      <c r="K58" s="4">
        <v>12</v>
      </c>
      <c r="L58" s="4">
        <v>16</v>
      </c>
      <c r="M58" s="4">
        <v>16</v>
      </c>
      <c r="N58" s="4">
        <v>24</v>
      </c>
      <c r="O58" s="4">
        <v>40</v>
      </c>
      <c r="P58" s="4">
        <v>20</v>
      </c>
      <c r="Q58" s="4">
        <v>86</v>
      </c>
      <c r="R58" s="4">
        <v>20</v>
      </c>
      <c r="S58" s="1">
        <f t="shared" si="3"/>
        <v>314</v>
      </c>
      <c r="T58" s="14">
        <f t="shared" si="4"/>
        <v>26.166666666666668</v>
      </c>
      <c r="U58" s="20">
        <f t="shared" si="5"/>
        <v>52</v>
      </c>
    </row>
    <row r="59" spans="1:21" ht="18" customHeight="1">
      <c r="A59" s="19">
        <v>53</v>
      </c>
      <c r="B59" s="2" t="s">
        <v>5188</v>
      </c>
      <c r="C59" s="1" t="s">
        <v>5189</v>
      </c>
      <c r="D59" s="3" t="s">
        <v>5190</v>
      </c>
      <c r="E59" s="1" t="s">
        <v>70</v>
      </c>
      <c r="F59" s="10" t="s">
        <v>5152</v>
      </c>
      <c r="G59" s="2" t="s">
        <v>100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">
        <f t="shared" si="3"/>
        <v>0</v>
      </c>
      <c r="T59" s="14">
        <f t="shared" si="4"/>
        <v>0</v>
      </c>
      <c r="U59" s="20">
        <f t="shared" si="5"/>
        <v>53</v>
      </c>
    </row>
    <row r="60" spans="1:21" ht="18" customHeight="1">
      <c r="A60" s="19">
        <v>54</v>
      </c>
      <c r="B60" s="2" t="s">
        <v>5215</v>
      </c>
      <c r="C60" s="1" t="s">
        <v>5216</v>
      </c>
      <c r="D60" s="3" t="s">
        <v>5217</v>
      </c>
      <c r="E60" s="1" t="s">
        <v>72</v>
      </c>
      <c r="F60" s="10" t="s">
        <v>5152</v>
      </c>
      <c r="G60" s="2" t="s">
        <v>100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1">
        <f t="shared" si="3"/>
        <v>0</v>
      </c>
      <c r="T60" s="14">
        <f t="shared" si="4"/>
        <v>0</v>
      </c>
      <c r="U60" s="20">
        <f t="shared" si="5"/>
        <v>53</v>
      </c>
    </row>
    <row r="61" spans="1:21" ht="18" customHeight="1">
      <c r="A61" s="19">
        <v>55</v>
      </c>
      <c r="B61" s="2" t="s">
        <v>5259</v>
      </c>
      <c r="C61" s="1" t="s">
        <v>5260</v>
      </c>
      <c r="D61" s="3" t="s">
        <v>5261</v>
      </c>
      <c r="E61" s="1" t="s">
        <v>63</v>
      </c>
      <c r="F61" s="10" t="s">
        <v>5152</v>
      </c>
      <c r="G61" s="2" t="s">
        <v>101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1">
        <f t="shared" si="3"/>
        <v>0</v>
      </c>
      <c r="T61" s="14">
        <f t="shared" si="4"/>
        <v>0</v>
      </c>
      <c r="U61" s="20">
        <f t="shared" si="5"/>
        <v>53</v>
      </c>
    </row>
    <row r="62" spans="1:21" ht="18" customHeight="1">
      <c r="A62" s="19">
        <v>56</v>
      </c>
      <c r="B62" s="28" t="s">
        <v>5310</v>
      </c>
      <c r="C62" s="29">
        <v>321260430</v>
      </c>
      <c r="D62" s="30" t="s">
        <v>5311</v>
      </c>
      <c r="E62" s="29" t="s">
        <v>77</v>
      </c>
      <c r="F62" s="31" t="s">
        <v>5152</v>
      </c>
      <c r="G62" s="28" t="s">
        <v>102</v>
      </c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29">
        <f t="shared" si="3"/>
        <v>0</v>
      </c>
      <c r="T62" s="41">
        <f t="shared" si="4"/>
        <v>0</v>
      </c>
      <c r="U62" s="33">
        <f t="shared" si="5"/>
        <v>53</v>
      </c>
    </row>
  </sheetData>
  <mergeCells count="4">
    <mergeCell ref="A1:P1"/>
    <mergeCell ref="A2:P2"/>
    <mergeCell ref="A3:P3"/>
    <mergeCell ref="A5:B5"/>
  </mergeCells>
  <conditionalFormatting sqref="H7:R7">
    <cfRule type="expression" dxfId="612" priority="227">
      <formula>5</formula>
    </cfRule>
    <cfRule type="cellIs" dxfId="611" priority="228" operator="lessThan">
      <formula>5</formula>
    </cfRule>
  </conditionalFormatting>
  <conditionalFormatting sqref="H7:R7">
    <cfRule type="cellIs" dxfId="610" priority="226" operator="lessThan">
      <formula>50</formula>
    </cfRule>
  </conditionalFormatting>
  <conditionalFormatting sqref="T7">
    <cfRule type="cellIs" dxfId="609" priority="225" operator="lessThan">
      <formula>50</formula>
    </cfRule>
  </conditionalFormatting>
  <conditionalFormatting sqref="H8:R8">
    <cfRule type="expression" dxfId="608" priority="223">
      <formula>5</formula>
    </cfRule>
    <cfRule type="cellIs" dxfId="607" priority="224" operator="lessThan">
      <formula>5</formula>
    </cfRule>
  </conditionalFormatting>
  <conditionalFormatting sqref="H8:R8">
    <cfRule type="cellIs" dxfId="606" priority="222" operator="lessThan">
      <formula>50</formula>
    </cfRule>
  </conditionalFormatting>
  <conditionalFormatting sqref="T8">
    <cfRule type="cellIs" dxfId="605" priority="221" operator="lessThan">
      <formula>50</formula>
    </cfRule>
  </conditionalFormatting>
  <conditionalFormatting sqref="H9:R9">
    <cfRule type="expression" dxfId="604" priority="219">
      <formula>5</formula>
    </cfRule>
    <cfRule type="cellIs" dxfId="603" priority="220" operator="lessThan">
      <formula>5</formula>
    </cfRule>
  </conditionalFormatting>
  <conditionalFormatting sqref="H9:R9">
    <cfRule type="cellIs" dxfId="602" priority="218" operator="lessThan">
      <formula>50</formula>
    </cfRule>
  </conditionalFormatting>
  <conditionalFormatting sqref="T9">
    <cfRule type="cellIs" dxfId="601" priority="217" operator="lessThan">
      <formula>50</formula>
    </cfRule>
  </conditionalFormatting>
  <conditionalFormatting sqref="H10:R10">
    <cfRule type="expression" dxfId="600" priority="215">
      <formula>5</formula>
    </cfRule>
    <cfRule type="cellIs" dxfId="599" priority="216" operator="lessThan">
      <formula>5</formula>
    </cfRule>
  </conditionalFormatting>
  <conditionalFormatting sqref="H10:R10">
    <cfRule type="cellIs" dxfId="598" priority="214" operator="lessThan">
      <formula>50</formula>
    </cfRule>
  </conditionalFormatting>
  <conditionalFormatting sqref="T10">
    <cfRule type="cellIs" dxfId="597" priority="213" operator="lessThan">
      <formula>50</formula>
    </cfRule>
  </conditionalFormatting>
  <conditionalFormatting sqref="H11:R11">
    <cfRule type="expression" dxfId="596" priority="211">
      <formula>5</formula>
    </cfRule>
    <cfRule type="cellIs" dxfId="595" priority="212" operator="lessThan">
      <formula>5</formula>
    </cfRule>
  </conditionalFormatting>
  <conditionalFormatting sqref="H11:R11">
    <cfRule type="cellIs" dxfId="594" priority="210" operator="lessThan">
      <formula>50</formula>
    </cfRule>
  </conditionalFormatting>
  <conditionalFormatting sqref="T11">
    <cfRule type="cellIs" dxfId="593" priority="209" operator="lessThan">
      <formula>50</formula>
    </cfRule>
  </conditionalFormatting>
  <conditionalFormatting sqref="H12:R12">
    <cfRule type="expression" dxfId="592" priority="207">
      <formula>5</formula>
    </cfRule>
    <cfRule type="cellIs" dxfId="591" priority="208" operator="lessThan">
      <formula>5</formula>
    </cfRule>
  </conditionalFormatting>
  <conditionalFormatting sqref="H12:R12">
    <cfRule type="cellIs" dxfId="590" priority="206" operator="lessThan">
      <formula>50</formula>
    </cfRule>
  </conditionalFormatting>
  <conditionalFormatting sqref="T12">
    <cfRule type="cellIs" dxfId="589" priority="205" operator="lessThan">
      <formula>50</formula>
    </cfRule>
  </conditionalFormatting>
  <conditionalFormatting sqref="H13:R13">
    <cfRule type="expression" dxfId="588" priority="203">
      <formula>5</formula>
    </cfRule>
    <cfRule type="cellIs" dxfId="587" priority="204" operator="lessThan">
      <formula>5</formula>
    </cfRule>
  </conditionalFormatting>
  <conditionalFormatting sqref="H13:R13">
    <cfRule type="cellIs" dxfId="586" priority="202" operator="lessThan">
      <formula>50</formula>
    </cfRule>
  </conditionalFormatting>
  <conditionalFormatting sqref="T13">
    <cfRule type="cellIs" dxfId="585" priority="201" operator="lessThan">
      <formula>50</formula>
    </cfRule>
  </conditionalFormatting>
  <conditionalFormatting sqref="H14:R14">
    <cfRule type="expression" dxfId="584" priority="199">
      <formula>5</formula>
    </cfRule>
    <cfRule type="cellIs" dxfId="583" priority="200" operator="lessThan">
      <formula>5</formula>
    </cfRule>
  </conditionalFormatting>
  <conditionalFormatting sqref="H14:R14">
    <cfRule type="cellIs" dxfId="582" priority="198" operator="lessThan">
      <formula>50</formula>
    </cfRule>
  </conditionalFormatting>
  <conditionalFormatting sqref="T14">
    <cfRule type="cellIs" dxfId="581" priority="197" operator="lessThan">
      <formula>50</formula>
    </cfRule>
  </conditionalFormatting>
  <conditionalFormatting sqref="H15:R15">
    <cfRule type="expression" dxfId="580" priority="195">
      <formula>5</formula>
    </cfRule>
    <cfRule type="cellIs" dxfId="579" priority="196" operator="lessThan">
      <formula>5</formula>
    </cfRule>
  </conditionalFormatting>
  <conditionalFormatting sqref="H15:R15">
    <cfRule type="cellIs" dxfId="578" priority="194" operator="lessThan">
      <formula>50</formula>
    </cfRule>
  </conditionalFormatting>
  <conditionalFormatting sqref="T15">
    <cfRule type="cellIs" dxfId="577" priority="193" operator="lessThan">
      <formula>50</formula>
    </cfRule>
  </conditionalFormatting>
  <conditionalFormatting sqref="H16:R16">
    <cfRule type="expression" dxfId="576" priority="191">
      <formula>5</formula>
    </cfRule>
    <cfRule type="cellIs" dxfId="575" priority="192" operator="lessThan">
      <formula>5</formula>
    </cfRule>
  </conditionalFormatting>
  <conditionalFormatting sqref="H16:R16">
    <cfRule type="cellIs" dxfId="574" priority="190" operator="lessThan">
      <formula>50</formula>
    </cfRule>
  </conditionalFormatting>
  <conditionalFormatting sqref="T16">
    <cfRule type="cellIs" dxfId="573" priority="189" operator="lessThan">
      <formula>50</formula>
    </cfRule>
  </conditionalFormatting>
  <conditionalFormatting sqref="H17:R17">
    <cfRule type="expression" dxfId="572" priority="187">
      <formula>5</formula>
    </cfRule>
    <cfRule type="cellIs" dxfId="571" priority="188" operator="lessThan">
      <formula>5</formula>
    </cfRule>
  </conditionalFormatting>
  <conditionalFormatting sqref="H17:R17">
    <cfRule type="cellIs" dxfId="570" priority="186" operator="lessThan">
      <formula>50</formula>
    </cfRule>
  </conditionalFormatting>
  <conditionalFormatting sqref="T17">
    <cfRule type="cellIs" dxfId="569" priority="185" operator="lessThan">
      <formula>50</formula>
    </cfRule>
  </conditionalFormatting>
  <conditionalFormatting sqref="H18:R18">
    <cfRule type="expression" dxfId="568" priority="183">
      <formula>5</formula>
    </cfRule>
    <cfRule type="cellIs" dxfId="567" priority="184" operator="lessThan">
      <formula>5</formula>
    </cfRule>
  </conditionalFormatting>
  <conditionalFormatting sqref="H18:R18">
    <cfRule type="cellIs" dxfId="566" priority="182" operator="lessThan">
      <formula>50</formula>
    </cfRule>
  </conditionalFormatting>
  <conditionalFormatting sqref="T18">
    <cfRule type="cellIs" dxfId="565" priority="181" operator="lessThan">
      <formula>50</formula>
    </cfRule>
  </conditionalFormatting>
  <conditionalFormatting sqref="H19:R19">
    <cfRule type="expression" dxfId="564" priority="179">
      <formula>5</formula>
    </cfRule>
    <cfRule type="cellIs" dxfId="563" priority="180" operator="lessThan">
      <formula>5</formula>
    </cfRule>
  </conditionalFormatting>
  <conditionalFormatting sqref="H19:R19">
    <cfRule type="cellIs" dxfId="562" priority="178" operator="lessThan">
      <formula>50</formula>
    </cfRule>
  </conditionalFormatting>
  <conditionalFormatting sqref="T19">
    <cfRule type="cellIs" dxfId="561" priority="177" operator="lessThan">
      <formula>50</formula>
    </cfRule>
  </conditionalFormatting>
  <conditionalFormatting sqref="H20:R20">
    <cfRule type="expression" dxfId="560" priority="175">
      <formula>5</formula>
    </cfRule>
    <cfRule type="cellIs" dxfId="559" priority="176" operator="lessThan">
      <formula>5</formula>
    </cfRule>
  </conditionalFormatting>
  <conditionalFormatting sqref="H20:R20">
    <cfRule type="cellIs" dxfId="558" priority="174" operator="lessThan">
      <formula>50</formula>
    </cfRule>
  </conditionalFormatting>
  <conditionalFormatting sqref="T20">
    <cfRule type="cellIs" dxfId="557" priority="173" operator="lessThan">
      <formula>50</formula>
    </cfRule>
  </conditionalFormatting>
  <conditionalFormatting sqref="H21:R21">
    <cfRule type="expression" dxfId="556" priority="171">
      <formula>5</formula>
    </cfRule>
    <cfRule type="cellIs" dxfId="555" priority="172" operator="lessThan">
      <formula>5</formula>
    </cfRule>
  </conditionalFormatting>
  <conditionalFormatting sqref="H21:R21">
    <cfRule type="cellIs" dxfId="554" priority="170" operator="lessThan">
      <formula>50</formula>
    </cfRule>
  </conditionalFormatting>
  <conditionalFormatting sqref="T21">
    <cfRule type="cellIs" dxfId="553" priority="169" operator="lessThan">
      <formula>50</formula>
    </cfRule>
  </conditionalFormatting>
  <conditionalFormatting sqref="H22:R22">
    <cfRule type="expression" dxfId="552" priority="167">
      <formula>5</formula>
    </cfRule>
    <cfRule type="cellIs" dxfId="551" priority="168" operator="lessThan">
      <formula>5</formula>
    </cfRule>
  </conditionalFormatting>
  <conditionalFormatting sqref="H22:R22">
    <cfRule type="cellIs" dxfId="550" priority="166" operator="lessThan">
      <formula>50</formula>
    </cfRule>
  </conditionalFormatting>
  <conditionalFormatting sqref="T22">
    <cfRule type="cellIs" dxfId="549" priority="165" operator="lessThan">
      <formula>50</formula>
    </cfRule>
  </conditionalFormatting>
  <conditionalFormatting sqref="H23:R23">
    <cfRule type="expression" dxfId="548" priority="163">
      <formula>5</formula>
    </cfRule>
    <cfRule type="cellIs" dxfId="547" priority="164" operator="lessThan">
      <formula>5</formula>
    </cfRule>
  </conditionalFormatting>
  <conditionalFormatting sqref="H23:R23">
    <cfRule type="cellIs" dxfId="546" priority="162" operator="lessThan">
      <formula>50</formula>
    </cfRule>
  </conditionalFormatting>
  <conditionalFormatting sqref="T23">
    <cfRule type="cellIs" dxfId="545" priority="161" operator="lessThan">
      <formula>50</formula>
    </cfRule>
  </conditionalFormatting>
  <conditionalFormatting sqref="H24:R24">
    <cfRule type="expression" dxfId="544" priority="159">
      <formula>5</formula>
    </cfRule>
    <cfRule type="cellIs" dxfId="543" priority="160" operator="lessThan">
      <formula>5</formula>
    </cfRule>
  </conditionalFormatting>
  <conditionalFormatting sqref="H24:R24">
    <cfRule type="cellIs" dxfId="542" priority="158" operator="lessThan">
      <formula>50</formula>
    </cfRule>
  </conditionalFormatting>
  <conditionalFormatting sqref="T24">
    <cfRule type="cellIs" dxfId="541" priority="157" operator="lessThan">
      <formula>50</formula>
    </cfRule>
  </conditionalFormatting>
  <conditionalFormatting sqref="H25:R25">
    <cfRule type="expression" dxfId="540" priority="155">
      <formula>5</formula>
    </cfRule>
    <cfRule type="cellIs" dxfId="539" priority="156" operator="lessThan">
      <formula>5</formula>
    </cfRule>
  </conditionalFormatting>
  <conditionalFormatting sqref="H25:R25">
    <cfRule type="cellIs" dxfId="538" priority="154" operator="lessThan">
      <formula>50</formula>
    </cfRule>
  </conditionalFormatting>
  <conditionalFormatting sqref="T25">
    <cfRule type="cellIs" dxfId="537" priority="153" operator="lessThan">
      <formula>50</formula>
    </cfRule>
  </conditionalFormatting>
  <conditionalFormatting sqref="H26:R26">
    <cfRule type="expression" dxfId="536" priority="151">
      <formula>5</formula>
    </cfRule>
    <cfRule type="cellIs" dxfId="535" priority="152" operator="lessThan">
      <formula>5</formula>
    </cfRule>
  </conditionalFormatting>
  <conditionalFormatting sqref="H26:R26">
    <cfRule type="cellIs" dxfId="534" priority="150" operator="lessThan">
      <formula>50</formula>
    </cfRule>
  </conditionalFormatting>
  <conditionalFormatting sqref="T26">
    <cfRule type="cellIs" dxfId="533" priority="149" operator="lessThan">
      <formula>50</formula>
    </cfRule>
  </conditionalFormatting>
  <conditionalFormatting sqref="H27:R27">
    <cfRule type="expression" dxfId="532" priority="147">
      <formula>5</formula>
    </cfRule>
    <cfRule type="cellIs" dxfId="531" priority="148" operator="lessThan">
      <formula>5</formula>
    </cfRule>
  </conditionalFormatting>
  <conditionalFormatting sqref="H27:R27">
    <cfRule type="cellIs" dxfId="530" priority="146" operator="lessThan">
      <formula>50</formula>
    </cfRule>
  </conditionalFormatting>
  <conditionalFormatting sqref="T27">
    <cfRule type="cellIs" dxfId="529" priority="145" operator="lessThan">
      <formula>50</formula>
    </cfRule>
  </conditionalFormatting>
  <conditionalFormatting sqref="H28:R28">
    <cfRule type="expression" dxfId="528" priority="143">
      <formula>5</formula>
    </cfRule>
    <cfRule type="cellIs" dxfId="527" priority="144" operator="lessThan">
      <formula>5</formula>
    </cfRule>
  </conditionalFormatting>
  <conditionalFormatting sqref="H28:R28">
    <cfRule type="cellIs" dxfId="526" priority="142" operator="lessThan">
      <formula>50</formula>
    </cfRule>
  </conditionalFormatting>
  <conditionalFormatting sqref="T28">
    <cfRule type="cellIs" dxfId="525" priority="141" operator="lessThan">
      <formula>50</formula>
    </cfRule>
  </conditionalFormatting>
  <conditionalFormatting sqref="H29:R29">
    <cfRule type="expression" dxfId="524" priority="139">
      <formula>5</formula>
    </cfRule>
    <cfRule type="cellIs" dxfId="523" priority="140" operator="lessThan">
      <formula>5</formula>
    </cfRule>
  </conditionalFormatting>
  <conditionalFormatting sqref="H29:R29">
    <cfRule type="cellIs" dxfId="522" priority="138" operator="lessThan">
      <formula>50</formula>
    </cfRule>
  </conditionalFormatting>
  <conditionalFormatting sqref="T29">
    <cfRule type="cellIs" dxfId="521" priority="137" operator="lessThan">
      <formula>50</formula>
    </cfRule>
  </conditionalFormatting>
  <conditionalFormatting sqref="H30:R30">
    <cfRule type="expression" dxfId="520" priority="135">
      <formula>5</formula>
    </cfRule>
    <cfRule type="cellIs" dxfId="519" priority="136" operator="lessThan">
      <formula>5</formula>
    </cfRule>
  </conditionalFormatting>
  <conditionalFormatting sqref="H30:R30">
    <cfRule type="cellIs" dxfId="518" priority="134" operator="lessThan">
      <formula>50</formula>
    </cfRule>
  </conditionalFormatting>
  <conditionalFormatting sqref="T30">
    <cfRule type="cellIs" dxfId="517" priority="133" operator="lessThan">
      <formula>50</formula>
    </cfRule>
  </conditionalFormatting>
  <conditionalFormatting sqref="H31:R31">
    <cfRule type="expression" dxfId="516" priority="131">
      <formula>5</formula>
    </cfRule>
    <cfRule type="cellIs" dxfId="515" priority="132" operator="lessThan">
      <formula>5</formula>
    </cfRule>
  </conditionalFormatting>
  <conditionalFormatting sqref="H31:R31">
    <cfRule type="cellIs" dxfId="514" priority="130" operator="lessThan">
      <formula>50</formula>
    </cfRule>
  </conditionalFormatting>
  <conditionalFormatting sqref="T31">
    <cfRule type="cellIs" dxfId="513" priority="129" operator="lessThan">
      <formula>50</formula>
    </cfRule>
  </conditionalFormatting>
  <conditionalFormatting sqref="H32:R32">
    <cfRule type="expression" dxfId="512" priority="127">
      <formula>5</formula>
    </cfRule>
    <cfRule type="cellIs" dxfId="511" priority="128" operator="lessThan">
      <formula>5</formula>
    </cfRule>
  </conditionalFormatting>
  <conditionalFormatting sqref="H32:R32">
    <cfRule type="cellIs" dxfId="510" priority="126" operator="lessThan">
      <formula>50</formula>
    </cfRule>
  </conditionalFormatting>
  <conditionalFormatting sqref="T32">
    <cfRule type="cellIs" dxfId="509" priority="125" operator="lessThan">
      <formula>50</formula>
    </cfRule>
  </conditionalFormatting>
  <conditionalFormatting sqref="H33:R33">
    <cfRule type="expression" dxfId="508" priority="123">
      <formula>5</formula>
    </cfRule>
    <cfRule type="cellIs" dxfId="507" priority="124" operator="lessThan">
      <formula>5</formula>
    </cfRule>
  </conditionalFormatting>
  <conditionalFormatting sqref="H33:R33">
    <cfRule type="cellIs" dxfId="506" priority="122" operator="lessThan">
      <formula>50</formula>
    </cfRule>
  </conditionalFormatting>
  <conditionalFormatting sqref="T33">
    <cfRule type="cellIs" dxfId="505" priority="121" operator="lessThan">
      <formula>50</formula>
    </cfRule>
  </conditionalFormatting>
  <conditionalFormatting sqref="H34:R34">
    <cfRule type="expression" dxfId="504" priority="119">
      <formula>5</formula>
    </cfRule>
    <cfRule type="cellIs" dxfId="503" priority="120" operator="lessThan">
      <formula>5</formula>
    </cfRule>
  </conditionalFormatting>
  <conditionalFormatting sqref="H34:R34">
    <cfRule type="cellIs" dxfId="502" priority="118" operator="lessThan">
      <formula>50</formula>
    </cfRule>
  </conditionalFormatting>
  <conditionalFormatting sqref="T34">
    <cfRule type="cellIs" dxfId="501" priority="117" operator="lessThan">
      <formula>50</formula>
    </cfRule>
  </conditionalFormatting>
  <conditionalFormatting sqref="H35:R35">
    <cfRule type="expression" dxfId="500" priority="115">
      <formula>5</formula>
    </cfRule>
    <cfRule type="cellIs" dxfId="499" priority="116" operator="lessThan">
      <formula>5</formula>
    </cfRule>
  </conditionalFormatting>
  <conditionalFormatting sqref="H35:R35">
    <cfRule type="cellIs" dxfId="498" priority="114" operator="lessThan">
      <formula>50</formula>
    </cfRule>
  </conditionalFormatting>
  <conditionalFormatting sqref="T35">
    <cfRule type="cellIs" dxfId="497" priority="113" operator="lessThan">
      <formula>50</formula>
    </cfRule>
  </conditionalFormatting>
  <conditionalFormatting sqref="H36:R36">
    <cfRule type="expression" dxfId="496" priority="111">
      <formula>5</formula>
    </cfRule>
    <cfRule type="cellIs" dxfId="495" priority="112" operator="lessThan">
      <formula>5</formula>
    </cfRule>
  </conditionalFormatting>
  <conditionalFormatting sqref="H36:R36">
    <cfRule type="cellIs" dxfId="494" priority="110" operator="lessThan">
      <formula>50</formula>
    </cfRule>
  </conditionalFormatting>
  <conditionalFormatting sqref="T36">
    <cfRule type="cellIs" dxfId="493" priority="109" operator="lessThan">
      <formula>50</formula>
    </cfRule>
  </conditionalFormatting>
  <conditionalFormatting sqref="H37:R37">
    <cfRule type="expression" dxfId="492" priority="107">
      <formula>5</formula>
    </cfRule>
    <cfRule type="cellIs" dxfId="491" priority="108" operator="lessThan">
      <formula>5</formula>
    </cfRule>
  </conditionalFormatting>
  <conditionalFormatting sqref="H37:R37">
    <cfRule type="cellIs" dxfId="490" priority="106" operator="lessThan">
      <formula>50</formula>
    </cfRule>
  </conditionalFormatting>
  <conditionalFormatting sqref="T37">
    <cfRule type="cellIs" dxfId="489" priority="105" operator="lessThan">
      <formula>50</formula>
    </cfRule>
  </conditionalFormatting>
  <conditionalFormatting sqref="H38:R38">
    <cfRule type="expression" dxfId="488" priority="103">
      <formula>5</formula>
    </cfRule>
    <cfRule type="cellIs" dxfId="487" priority="104" operator="lessThan">
      <formula>5</formula>
    </cfRule>
  </conditionalFormatting>
  <conditionalFormatting sqref="H38:R38">
    <cfRule type="cellIs" dxfId="486" priority="102" operator="lessThan">
      <formula>50</formula>
    </cfRule>
  </conditionalFormatting>
  <conditionalFormatting sqref="T38">
    <cfRule type="cellIs" dxfId="485" priority="101" operator="lessThan">
      <formula>50</formula>
    </cfRule>
  </conditionalFormatting>
  <conditionalFormatting sqref="H39:R39">
    <cfRule type="expression" dxfId="484" priority="99">
      <formula>5</formula>
    </cfRule>
    <cfRule type="cellIs" dxfId="483" priority="100" operator="lessThan">
      <formula>5</formula>
    </cfRule>
  </conditionalFormatting>
  <conditionalFormatting sqref="H39:R39">
    <cfRule type="cellIs" dxfId="482" priority="98" operator="lessThan">
      <formula>50</formula>
    </cfRule>
  </conditionalFormatting>
  <conditionalFormatting sqref="T39">
    <cfRule type="cellIs" dxfId="481" priority="97" operator="lessThan">
      <formula>50</formula>
    </cfRule>
  </conditionalFormatting>
  <conditionalFormatting sqref="H40:R40">
    <cfRule type="expression" dxfId="480" priority="95">
      <formula>5</formula>
    </cfRule>
    <cfRule type="cellIs" dxfId="479" priority="96" operator="lessThan">
      <formula>5</formula>
    </cfRule>
  </conditionalFormatting>
  <conditionalFormatting sqref="H40:R40">
    <cfRule type="cellIs" dxfId="478" priority="94" operator="lessThan">
      <formula>50</formula>
    </cfRule>
  </conditionalFormatting>
  <conditionalFormatting sqref="T40">
    <cfRule type="cellIs" dxfId="477" priority="93" operator="lessThan">
      <formula>50</formula>
    </cfRule>
  </conditionalFormatting>
  <conditionalFormatting sqref="H41:R41">
    <cfRule type="expression" dxfId="476" priority="91">
      <formula>5</formula>
    </cfRule>
    <cfRule type="cellIs" dxfId="475" priority="92" operator="lessThan">
      <formula>5</formula>
    </cfRule>
  </conditionalFormatting>
  <conditionalFormatting sqref="H41:R41">
    <cfRule type="cellIs" dxfId="474" priority="90" operator="lessThan">
      <formula>50</formula>
    </cfRule>
  </conditionalFormatting>
  <conditionalFormatting sqref="T41">
    <cfRule type="cellIs" dxfId="473" priority="89" operator="lessThan">
      <formula>50</formula>
    </cfRule>
  </conditionalFormatting>
  <conditionalFormatting sqref="H42:R42">
    <cfRule type="expression" dxfId="472" priority="87">
      <formula>5</formula>
    </cfRule>
    <cfRule type="cellIs" dxfId="471" priority="88" operator="lessThan">
      <formula>5</formula>
    </cfRule>
  </conditionalFormatting>
  <conditionalFormatting sqref="H42:R42">
    <cfRule type="cellIs" dxfId="470" priority="86" operator="lessThan">
      <formula>50</formula>
    </cfRule>
  </conditionalFormatting>
  <conditionalFormatting sqref="T42">
    <cfRule type="cellIs" dxfId="469" priority="85" operator="lessThan">
      <formula>50</formula>
    </cfRule>
  </conditionalFormatting>
  <conditionalFormatting sqref="H43:R43">
    <cfRule type="expression" dxfId="468" priority="83">
      <formula>5</formula>
    </cfRule>
    <cfRule type="cellIs" dxfId="467" priority="84" operator="lessThan">
      <formula>5</formula>
    </cfRule>
  </conditionalFormatting>
  <conditionalFormatting sqref="H43:R43">
    <cfRule type="cellIs" dxfId="466" priority="82" operator="lessThan">
      <formula>50</formula>
    </cfRule>
  </conditionalFormatting>
  <conditionalFormatting sqref="T43">
    <cfRule type="cellIs" dxfId="465" priority="81" operator="lessThan">
      <formula>50</formula>
    </cfRule>
  </conditionalFormatting>
  <conditionalFormatting sqref="H44:R44">
    <cfRule type="expression" dxfId="464" priority="79">
      <formula>5</formula>
    </cfRule>
    <cfRule type="cellIs" dxfId="463" priority="80" operator="lessThan">
      <formula>5</formula>
    </cfRule>
  </conditionalFormatting>
  <conditionalFormatting sqref="H44:R44">
    <cfRule type="cellIs" dxfId="462" priority="78" operator="lessThan">
      <formula>50</formula>
    </cfRule>
  </conditionalFormatting>
  <conditionalFormatting sqref="T44">
    <cfRule type="cellIs" dxfId="461" priority="77" operator="lessThan">
      <formula>50</formula>
    </cfRule>
  </conditionalFormatting>
  <conditionalFormatting sqref="H45:R45">
    <cfRule type="expression" dxfId="460" priority="75">
      <formula>5</formula>
    </cfRule>
    <cfRule type="cellIs" dxfId="459" priority="76" operator="lessThan">
      <formula>5</formula>
    </cfRule>
  </conditionalFormatting>
  <conditionalFormatting sqref="H45:R45">
    <cfRule type="cellIs" dxfId="458" priority="74" operator="lessThan">
      <formula>50</formula>
    </cfRule>
  </conditionalFormatting>
  <conditionalFormatting sqref="T45">
    <cfRule type="cellIs" dxfId="457" priority="73" operator="lessThan">
      <formula>50</formula>
    </cfRule>
  </conditionalFormatting>
  <conditionalFormatting sqref="H46:R46">
    <cfRule type="expression" dxfId="456" priority="71">
      <formula>5</formula>
    </cfRule>
    <cfRule type="cellIs" dxfId="455" priority="72" operator="lessThan">
      <formula>5</formula>
    </cfRule>
  </conditionalFormatting>
  <conditionalFormatting sqref="H46:R46">
    <cfRule type="cellIs" dxfId="454" priority="70" operator="lessThan">
      <formula>50</formula>
    </cfRule>
  </conditionalFormatting>
  <conditionalFormatting sqref="T46">
    <cfRule type="cellIs" dxfId="453" priority="69" operator="lessThan">
      <formula>50</formula>
    </cfRule>
  </conditionalFormatting>
  <conditionalFormatting sqref="H47:R47">
    <cfRule type="expression" dxfId="452" priority="67">
      <formula>5</formula>
    </cfRule>
    <cfRule type="cellIs" dxfId="451" priority="68" operator="lessThan">
      <formula>5</formula>
    </cfRule>
  </conditionalFormatting>
  <conditionalFormatting sqref="H47:R47">
    <cfRule type="cellIs" dxfId="450" priority="66" operator="lessThan">
      <formula>50</formula>
    </cfRule>
  </conditionalFormatting>
  <conditionalFormatting sqref="T47">
    <cfRule type="cellIs" dxfId="449" priority="65" operator="lessThan">
      <formula>50</formula>
    </cfRule>
  </conditionalFormatting>
  <conditionalFormatting sqref="H48:R48">
    <cfRule type="expression" dxfId="448" priority="63">
      <formula>5</formula>
    </cfRule>
    <cfRule type="cellIs" dxfId="447" priority="64" operator="lessThan">
      <formula>5</formula>
    </cfRule>
  </conditionalFormatting>
  <conditionalFormatting sqref="H48:R48">
    <cfRule type="cellIs" dxfId="446" priority="62" operator="lessThan">
      <formula>50</formula>
    </cfRule>
  </conditionalFormatting>
  <conditionalFormatting sqref="T48">
    <cfRule type="cellIs" dxfId="445" priority="61" operator="lessThan">
      <formula>50</formula>
    </cfRule>
  </conditionalFormatting>
  <conditionalFormatting sqref="H49:R49">
    <cfRule type="expression" dxfId="444" priority="59">
      <formula>5</formula>
    </cfRule>
    <cfRule type="cellIs" dxfId="443" priority="60" operator="lessThan">
      <formula>5</formula>
    </cfRule>
  </conditionalFormatting>
  <conditionalFormatting sqref="H49:R49">
    <cfRule type="cellIs" dxfId="442" priority="58" operator="lessThan">
      <formula>50</formula>
    </cfRule>
  </conditionalFormatting>
  <conditionalFormatting sqref="T49">
    <cfRule type="cellIs" dxfId="441" priority="57" operator="lessThan">
      <formula>50</formula>
    </cfRule>
  </conditionalFormatting>
  <conditionalFormatting sqref="H50:R50">
    <cfRule type="expression" dxfId="440" priority="55">
      <formula>5</formula>
    </cfRule>
    <cfRule type="cellIs" dxfId="439" priority="56" operator="lessThan">
      <formula>5</formula>
    </cfRule>
  </conditionalFormatting>
  <conditionalFormatting sqref="H50:R50">
    <cfRule type="cellIs" dxfId="438" priority="54" operator="lessThan">
      <formula>50</formula>
    </cfRule>
  </conditionalFormatting>
  <conditionalFormatting sqref="T50">
    <cfRule type="cellIs" dxfId="437" priority="53" operator="lessThan">
      <formula>50</formula>
    </cfRule>
  </conditionalFormatting>
  <conditionalFormatting sqref="H51:R51">
    <cfRule type="expression" dxfId="436" priority="51">
      <formula>5</formula>
    </cfRule>
    <cfRule type="cellIs" dxfId="435" priority="52" operator="lessThan">
      <formula>5</formula>
    </cfRule>
  </conditionalFormatting>
  <conditionalFormatting sqref="H51:R51">
    <cfRule type="cellIs" dxfId="434" priority="50" operator="lessThan">
      <formula>50</formula>
    </cfRule>
  </conditionalFormatting>
  <conditionalFormatting sqref="T51">
    <cfRule type="cellIs" dxfId="433" priority="49" operator="lessThan">
      <formula>50</formula>
    </cfRule>
  </conditionalFormatting>
  <conditionalFormatting sqref="H52:R52">
    <cfRule type="expression" dxfId="432" priority="47">
      <formula>5</formula>
    </cfRule>
    <cfRule type="cellIs" dxfId="431" priority="48" operator="lessThan">
      <formula>5</formula>
    </cfRule>
  </conditionalFormatting>
  <conditionalFormatting sqref="H52:R52">
    <cfRule type="cellIs" dxfId="430" priority="46" operator="lessThan">
      <formula>50</formula>
    </cfRule>
  </conditionalFormatting>
  <conditionalFormatting sqref="T52">
    <cfRule type="cellIs" dxfId="429" priority="45" operator="lessThan">
      <formula>50</formula>
    </cfRule>
  </conditionalFormatting>
  <conditionalFormatting sqref="H53:R53">
    <cfRule type="expression" dxfId="428" priority="43">
      <formula>5</formula>
    </cfRule>
    <cfRule type="cellIs" dxfId="427" priority="44" operator="lessThan">
      <formula>5</formula>
    </cfRule>
  </conditionalFormatting>
  <conditionalFormatting sqref="H53:R53">
    <cfRule type="cellIs" dxfId="426" priority="42" operator="lessThan">
      <formula>50</formula>
    </cfRule>
  </conditionalFormatting>
  <conditionalFormatting sqref="T53">
    <cfRule type="cellIs" dxfId="425" priority="41" operator="lessThan">
      <formula>50</formula>
    </cfRule>
  </conditionalFormatting>
  <conditionalFormatting sqref="H54:R54">
    <cfRule type="expression" dxfId="424" priority="39">
      <formula>5</formula>
    </cfRule>
    <cfRule type="cellIs" dxfId="423" priority="40" operator="lessThan">
      <formula>5</formula>
    </cfRule>
  </conditionalFormatting>
  <conditionalFormatting sqref="H54:R54">
    <cfRule type="cellIs" dxfId="422" priority="38" operator="lessThan">
      <formula>50</formula>
    </cfRule>
  </conditionalFormatting>
  <conditionalFormatting sqref="T54">
    <cfRule type="cellIs" dxfId="421" priority="37" operator="lessThan">
      <formula>50</formula>
    </cfRule>
  </conditionalFormatting>
  <conditionalFormatting sqref="H55:R55">
    <cfRule type="expression" dxfId="420" priority="35">
      <formula>5</formula>
    </cfRule>
    <cfRule type="cellIs" dxfId="419" priority="36" operator="lessThan">
      <formula>5</formula>
    </cfRule>
  </conditionalFormatting>
  <conditionalFormatting sqref="H55:R55">
    <cfRule type="cellIs" dxfId="418" priority="34" operator="lessThan">
      <formula>50</formula>
    </cfRule>
  </conditionalFormatting>
  <conditionalFormatting sqref="T55">
    <cfRule type="cellIs" dxfId="417" priority="33" operator="lessThan">
      <formula>50</formula>
    </cfRule>
  </conditionalFormatting>
  <conditionalFormatting sqref="H56:R56">
    <cfRule type="expression" dxfId="416" priority="31">
      <formula>5</formula>
    </cfRule>
    <cfRule type="cellIs" dxfId="415" priority="32" operator="lessThan">
      <formula>5</formula>
    </cfRule>
  </conditionalFormatting>
  <conditionalFormatting sqref="H56:R56">
    <cfRule type="cellIs" dxfId="414" priority="30" operator="lessThan">
      <formula>50</formula>
    </cfRule>
  </conditionalFormatting>
  <conditionalFormatting sqref="T56">
    <cfRule type="cellIs" dxfId="413" priority="29" operator="lessThan">
      <formula>50</formula>
    </cfRule>
  </conditionalFormatting>
  <conditionalFormatting sqref="H57:R57">
    <cfRule type="expression" dxfId="412" priority="27">
      <formula>5</formula>
    </cfRule>
    <cfRule type="cellIs" dxfId="411" priority="28" operator="lessThan">
      <formula>5</formula>
    </cfRule>
  </conditionalFormatting>
  <conditionalFormatting sqref="H57:R57">
    <cfRule type="cellIs" dxfId="410" priority="26" operator="lessThan">
      <formula>50</formula>
    </cfRule>
  </conditionalFormatting>
  <conditionalFormatting sqref="T57">
    <cfRule type="cellIs" dxfId="409" priority="25" operator="lessThan">
      <formula>50</formula>
    </cfRule>
  </conditionalFormatting>
  <conditionalFormatting sqref="H58:R58">
    <cfRule type="expression" dxfId="408" priority="23">
      <formula>5</formula>
    </cfRule>
    <cfRule type="cellIs" dxfId="407" priority="24" operator="lessThan">
      <formula>5</formula>
    </cfRule>
  </conditionalFormatting>
  <conditionalFormatting sqref="H58:R58">
    <cfRule type="cellIs" dxfId="406" priority="22" operator="lessThan">
      <formula>50</formula>
    </cfRule>
  </conditionalFormatting>
  <conditionalFormatting sqref="T58">
    <cfRule type="cellIs" dxfId="405" priority="21" operator="lessThan">
      <formula>50</formula>
    </cfRule>
  </conditionalFormatting>
  <conditionalFormatting sqref="H59:R59">
    <cfRule type="expression" dxfId="404" priority="19">
      <formula>5</formula>
    </cfRule>
    <cfRule type="cellIs" dxfId="403" priority="20" operator="lessThan">
      <formula>5</formula>
    </cfRule>
  </conditionalFormatting>
  <conditionalFormatting sqref="H59:R59">
    <cfRule type="cellIs" dxfId="402" priority="18" operator="lessThan">
      <formula>50</formula>
    </cfRule>
  </conditionalFormatting>
  <conditionalFormatting sqref="T59">
    <cfRule type="cellIs" dxfId="401" priority="17" operator="lessThan">
      <formula>50</formula>
    </cfRule>
  </conditionalFormatting>
  <conditionalFormatting sqref="K60">
    <cfRule type="expression" dxfId="400" priority="15">
      <formula>5</formula>
    </cfRule>
    <cfRule type="cellIs" dxfId="399" priority="16" operator="lessThan">
      <formula>5</formula>
    </cfRule>
  </conditionalFormatting>
  <conditionalFormatting sqref="H60:R60">
    <cfRule type="expression" dxfId="398" priority="13">
      <formula>5</formula>
    </cfRule>
    <cfRule type="cellIs" dxfId="397" priority="14" operator="lessThan">
      <formula>5</formula>
    </cfRule>
  </conditionalFormatting>
  <conditionalFormatting sqref="H60:R60">
    <cfRule type="cellIs" dxfId="396" priority="12" operator="lessThan">
      <formula>50</formula>
    </cfRule>
  </conditionalFormatting>
  <conditionalFormatting sqref="T60">
    <cfRule type="cellIs" dxfId="395" priority="11" operator="lessThan">
      <formula>50</formula>
    </cfRule>
  </conditionalFormatting>
  <conditionalFormatting sqref="H61:R61">
    <cfRule type="expression" dxfId="394" priority="9">
      <formula>5</formula>
    </cfRule>
    <cfRule type="cellIs" dxfId="393" priority="10" operator="lessThan">
      <formula>5</formula>
    </cfRule>
  </conditionalFormatting>
  <conditionalFormatting sqref="H61:R61">
    <cfRule type="cellIs" dxfId="392" priority="8" operator="lessThan">
      <formula>50</formula>
    </cfRule>
  </conditionalFormatting>
  <conditionalFormatting sqref="T61">
    <cfRule type="cellIs" dxfId="391" priority="7" operator="lessThan">
      <formula>50</formula>
    </cfRule>
  </conditionalFormatting>
  <conditionalFormatting sqref="K62">
    <cfRule type="expression" dxfId="390" priority="5">
      <formula>5</formula>
    </cfRule>
    <cfRule type="cellIs" dxfId="389" priority="6" operator="lessThan">
      <formula>5</formula>
    </cfRule>
  </conditionalFormatting>
  <conditionalFormatting sqref="H62:R62">
    <cfRule type="expression" dxfId="388" priority="3">
      <formula>5</formula>
    </cfRule>
    <cfRule type="cellIs" dxfId="387" priority="4" operator="lessThan">
      <formula>5</formula>
    </cfRule>
  </conditionalFormatting>
  <conditionalFormatting sqref="H62:R62">
    <cfRule type="cellIs" dxfId="386" priority="2" operator="lessThan">
      <formula>50</formula>
    </cfRule>
  </conditionalFormatting>
  <conditionalFormatting sqref="T62">
    <cfRule type="cellIs" dxfId="385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20:E20" xr:uid="{8DD7FA1B-AF19-4998-BA4A-859A3413C493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4C5C-45DC-4DA6-B28A-5C7F16286270}">
  <sheetPr codeName="Sheet118"/>
  <dimension ref="A1:U89"/>
  <sheetViews>
    <sheetView showGridLines="0" workbookViewId="0">
      <selection activeCell="F4" sqref="F4"/>
    </sheetView>
  </sheetViews>
  <sheetFormatPr defaultRowHeight="15"/>
  <cols>
    <col min="1" max="1" width="4.7109375" customWidth="1"/>
    <col min="2" max="2" width="10.7109375" customWidth="1"/>
    <col min="3" max="3" width="0" hidden="1" customWidth="1"/>
    <col min="4" max="4" width="29.7109375" customWidth="1"/>
    <col min="5" max="5" width="7.42578125" customWidth="1"/>
    <col min="6" max="6" width="10.5703125" customWidth="1"/>
    <col min="7" max="7" width="4.7109375" hidden="1" customWidth="1"/>
    <col min="8" max="18" width="4.7109375" customWidth="1"/>
    <col min="19" max="19" width="6.7109375" customWidth="1"/>
    <col min="20" max="21" width="4.7109375" customWidth="1"/>
  </cols>
  <sheetData>
    <row r="1" spans="1:21" ht="16.5" customHeight="1">
      <c r="A1" s="59" t="s">
        <v>5325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9"/>
      <c r="R1" s="11"/>
      <c r="S1" s="11"/>
      <c r="T1" s="11"/>
      <c r="U1" s="11"/>
    </row>
    <row r="2" spans="1:21" ht="16.5" customHeigh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9"/>
      <c r="R2" s="11"/>
      <c r="S2" s="11"/>
      <c r="T2" s="11"/>
      <c r="U2" s="11"/>
    </row>
    <row r="3" spans="1:21" ht="16.5" customHeight="1">
      <c r="A3" s="58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9"/>
      <c r="R3" s="11"/>
      <c r="S3" s="11"/>
      <c r="T3" s="11"/>
      <c r="U3" s="11"/>
    </row>
    <row r="4" spans="1:21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1"/>
      <c r="R4" s="11"/>
      <c r="S4" s="11"/>
      <c r="T4" s="11"/>
      <c r="U4" s="11"/>
    </row>
    <row r="5" spans="1:21" ht="16.5" customHeight="1">
      <c r="A5" s="57" t="s">
        <v>5326</v>
      </c>
      <c r="B5" s="57"/>
      <c r="C5" s="17"/>
      <c r="D5" s="15"/>
      <c r="E5" s="15"/>
      <c r="F5" s="17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2"/>
      <c r="S5" s="12"/>
      <c r="T5" s="12"/>
      <c r="U5" s="12"/>
    </row>
    <row r="6" spans="1:21" ht="70.5" customHeight="1" thickBot="1">
      <c r="A6" s="34" t="s">
        <v>41</v>
      </c>
      <c r="B6" s="35" t="s">
        <v>42</v>
      </c>
      <c r="C6" s="35" t="s">
        <v>43</v>
      </c>
      <c r="D6" s="35" t="s">
        <v>44</v>
      </c>
      <c r="E6" s="35" t="s">
        <v>45</v>
      </c>
      <c r="F6" s="35" t="s">
        <v>46</v>
      </c>
      <c r="G6" s="36" t="s">
        <v>47</v>
      </c>
      <c r="H6" s="39" t="s">
        <v>16</v>
      </c>
      <c r="I6" s="39" t="s">
        <v>28</v>
      </c>
      <c r="J6" s="39" t="s">
        <v>29</v>
      </c>
      <c r="K6" s="39" t="s">
        <v>35</v>
      </c>
      <c r="L6" s="39" t="s">
        <v>51</v>
      </c>
      <c r="M6" s="39" t="s">
        <v>32</v>
      </c>
      <c r="N6" s="39" t="s">
        <v>52</v>
      </c>
      <c r="O6" s="39" t="s">
        <v>39</v>
      </c>
      <c r="P6" s="39" t="s">
        <v>26</v>
      </c>
      <c r="Q6" s="39" t="s">
        <v>3</v>
      </c>
      <c r="R6" s="39" t="s">
        <v>40</v>
      </c>
      <c r="S6" s="39" t="s">
        <v>5320</v>
      </c>
      <c r="T6" s="39" t="s">
        <v>5321</v>
      </c>
      <c r="U6" s="39" t="s">
        <v>5324</v>
      </c>
    </row>
    <row r="7" spans="1:21" ht="18" customHeight="1" thickTop="1">
      <c r="A7" s="19">
        <v>1</v>
      </c>
      <c r="B7" s="2" t="s">
        <v>184</v>
      </c>
      <c r="C7" s="1" t="s">
        <v>185</v>
      </c>
      <c r="D7" s="3" t="s">
        <v>186</v>
      </c>
      <c r="E7" s="1" t="s">
        <v>58</v>
      </c>
      <c r="F7" s="10" t="s">
        <v>107</v>
      </c>
      <c r="G7" s="2" t="s">
        <v>97</v>
      </c>
      <c r="H7" s="4">
        <v>100</v>
      </c>
      <c r="I7" s="4">
        <v>96</v>
      </c>
      <c r="J7" s="4">
        <v>100</v>
      </c>
      <c r="K7" s="4">
        <v>80</v>
      </c>
      <c r="L7" s="4">
        <v>72</v>
      </c>
      <c r="M7" s="4">
        <v>68</v>
      </c>
      <c r="N7" s="4">
        <v>100</v>
      </c>
      <c r="O7" s="4">
        <v>92</v>
      </c>
      <c r="P7" s="4">
        <v>88</v>
      </c>
      <c r="Q7" s="4">
        <v>100</v>
      </c>
      <c r="R7" s="4">
        <v>100</v>
      </c>
      <c r="S7" s="14">
        <f t="shared" ref="S7:S38" si="0">SUBTOTAL(9,H7:R7)</f>
        <v>996</v>
      </c>
      <c r="T7" s="14">
        <f t="shared" ref="T7:T38" si="1">S7/12</f>
        <v>83</v>
      </c>
      <c r="U7" s="20">
        <f t="shared" ref="U7:U38" si="2">RANK(T7,T$7:T$89,0)</f>
        <v>1</v>
      </c>
    </row>
    <row r="8" spans="1:21" ht="18" customHeight="1">
      <c r="A8" s="19">
        <v>2</v>
      </c>
      <c r="B8" s="2" t="s">
        <v>280</v>
      </c>
      <c r="C8" s="1" t="s">
        <v>281</v>
      </c>
      <c r="D8" s="3" t="s">
        <v>282</v>
      </c>
      <c r="E8" s="1" t="s">
        <v>90</v>
      </c>
      <c r="F8" s="10" t="s">
        <v>107</v>
      </c>
      <c r="G8" s="2" t="s">
        <v>101</v>
      </c>
      <c r="H8" s="4">
        <v>84</v>
      </c>
      <c r="I8" s="4">
        <v>84</v>
      </c>
      <c r="J8" s="4">
        <v>100</v>
      </c>
      <c r="K8" s="4">
        <v>92</v>
      </c>
      <c r="L8" s="4">
        <v>84</v>
      </c>
      <c r="M8" s="4">
        <v>80</v>
      </c>
      <c r="N8" s="4">
        <v>92</v>
      </c>
      <c r="O8" s="4">
        <v>100</v>
      </c>
      <c r="P8" s="4">
        <v>92</v>
      </c>
      <c r="Q8" s="4">
        <v>100</v>
      </c>
      <c r="R8" s="4">
        <v>84</v>
      </c>
      <c r="S8" s="14">
        <f t="shared" si="0"/>
        <v>992</v>
      </c>
      <c r="T8" s="14">
        <f t="shared" si="1"/>
        <v>82.666666666666671</v>
      </c>
      <c r="U8" s="20">
        <f t="shared" si="2"/>
        <v>2</v>
      </c>
    </row>
    <row r="9" spans="1:21" ht="18" customHeight="1">
      <c r="A9" s="19">
        <v>3</v>
      </c>
      <c r="B9" s="2" t="s">
        <v>201</v>
      </c>
      <c r="C9" s="1" t="s">
        <v>202</v>
      </c>
      <c r="D9" s="3" t="s">
        <v>203</v>
      </c>
      <c r="E9" s="1" t="s">
        <v>60</v>
      </c>
      <c r="F9" s="10" t="s">
        <v>107</v>
      </c>
      <c r="G9" s="2" t="s">
        <v>98</v>
      </c>
      <c r="H9" s="4">
        <v>80</v>
      </c>
      <c r="I9" s="4">
        <v>80</v>
      </c>
      <c r="J9" s="4">
        <v>92</v>
      </c>
      <c r="K9" s="4">
        <v>84</v>
      </c>
      <c r="L9" s="4">
        <v>80</v>
      </c>
      <c r="M9" s="4">
        <v>84</v>
      </c>
      <c r="N9" s="4">
        <v>100</v>
      </c>
      <c r="O9" s="4">
        <v>92</v>
      </c>
      <c r="P9" s="4">
        <v>96</v>
      </c>
      <c r="Q9" s="4">
        <v>100</v>
      </c>
      <c r="R9" s="4">
        <v>100</v>
      </c>
      <c r="S9" s="14">
        <f t="shared" si="0"/>
        <v>988</v>
      </c>
      <c r="T9" s="14">
        <f t="shared" si="1"/>
        <v>82.333333333333329</v>
      </c>
      <c r="U9" s="20">
        <f t="shared" si="2"/>
        <v>3</v>
      </c>
    </row>
    <row r="10" spans="1:21" ht="18" customHeight="1">
      <c r="A10" s="19">
        <v>4</v>
      </c>
      <c r="B10" s="2" t="s">
        <v>190</v>
      </c>
      <c r="C10" s="1" t="s">
        <v>191</v>
      </c>
      <c r="D10" s="3" t="s">
        <v>192</v>
      </c>
      <c r="E10" s="1" t="s">
        <v>59</v>
      </c>
      <c r="F10" s="10" t="s">
        <v>107</v>
      </c>
      <c r="G10" s="2" t="s">
        <v>98</v>
      </c>
      <c r="H10" s="4">
        <v>100</v>
      </c>
      <c r="I10" s="4">
        <v>84</v>
      </c>
      <c r="J10" s="4">
        <v>100</v>
      </c>
      <c r="K10" s="4">
        <v>72</v>
      </c>
      <c r="L10" s="4">
        <v>68</v>
      </c>
      <c r="M10" s="4">
        <v>80</v>
      </c>
      <c r="N10" s="4">
        <v>92</v>
      </c>
      <c r="O10" s="4">
        <v>72</v>
      </c>
      <c r="P10" s="4">
        <v>96</v>
      </c>
      <c r="Q10" s="4">
        <v>100</v>
      </c>
      <c r="R10" s="4">
        <v>92</v>
      </c>
      <c r="S10" s="14">
        <f t="shared" si="0"/>
        <v>956</v>
      </c>
      <c r="T10" s="14">
        <f t="shared" si="1"/>
        <v>79.666666666666671</v>
      </c>
      <c r="U10" s="20">
        <f t="shared" si="2"/>
        <v>4</v>
      </c>
    </row>
    <row r="11" spans="1:21" ht="18" customHeight="1">
      <c r="A11" s="19">
        <v>5</v>
      </c>
      <c r="B11" s="2" t="s">
        <v>118</v>
      </c>
      <c r="C11" s="1" t="s">
        <v>119</v>
      </c>
      <c r="D11" s="3" t="s">
        <v>120</v>
      </c>
      <c r="E11" s="1" t="s">
        <v>69</v>
      </c>
      <c r="F11" s="10" t="s">
        <v>107</v>
      </c>
      <c r="G11" s="2" t="s">
        <v>95</v>
      </c>
      <c r="H11" s="4">
        <v>76</v>
      </c>
      <c r="I11" s="4">
        <v>84</v>
      </c>
      <c r="J11" s="4">
        <v>100</v>
      </c>
      <c r="K11" s="4">
        <v>92</v>
      </c>
      <c r="L11" s="4">
        <v>68</v>
      </c>
      <c r="M11" s="4">
        <v>76</v>
      </c>
      <c r="N11" s="4">
        <v>96</v>
      </c>
      <c r="O11" s="4">
        <v>92</v>
      </c>
      <c r="P11" s="4">
        <v>84</v>
      </c>
      <c r="Q11" s="4">
        <v>96</v>
      </c>
      <c r="R11" s="4">
        <v>88</v>
      </c>
      <c r="S11" s="14">
        <f t="shared" si="0"/>
        <v>952</v>
      </c>
      <c r="T11" s="14">
        <f t="shared" si="1"/>
        <v>79.333333333333329</v>
      </c>
      <c r="U11" s="20">
        <f t="shared" si="2"/>
        <v>5</v>
      </c>
    </row>
    <row r="12" spans="1:21" ht="18" customHeight="1">
      <c r="A12" s="19">
        <v>6</v>
      </c>
      <c r="B12" s="2" t="s">
        <v>332</v>
      </c>
      <c r="C12" s="1" t="s">
        <v>333</v>
      </c>
      <c r="D12" s="3" t="s">
        <v>334</v>
      </c>
      <c r="E12" s="1" t="s">
        <v>76</v>
      </c>
      <c r="F12" s="10" t="s">
        <v>107</v>
      </c>
      <c r="G12" s="2" t="s">
        <v>102</v>
      </c>
      <c r="H12" s="4">
        <v>84</v>
      </c>
      <c r="I12" s="4">
        <v>60</v>
      </c>
      <c r="J12" s="4">
        <v>84</v>
      </c>
      <c r="K12" s="4">
        <v>64</v>
      </c>
      <c r="L12" s="4">
        <v>80</v>
      </c>
      <c r="M12" s="4">
        <v>92</v>
      </c>
      <c r="N12" s="4">
        <v>80</v>
      </c>
      <c r="O12" s="4">
        <v>92</v>
      </c>
      <c r="P12" s="4">
        <v>96</v>
      </c>
      <c r="Q12" s="4">
        <v>100</v>
      </c>
      <c r="R12" s="4">
        <v>84</v>
      </c>
      <c r="S12" s="14">
        <f t="shared" si="0"/>
        <v>916</v>
      </c>
      <c r="T12" s="14">
        <f t="shared" si="1"/>
        <v>76.333333333333329</v>
      </c>
      <c r="U12" s="20">
        <f t="shared" si="2"/>
        <v>6</v>
      </c>
    </row>
    <row r="13" spans="1:21" ht="18" customHeight="1">
      <c r="A13" s="19">
        <v>7</v>
      </c>
      <c r="B13" s="2" t="s">
        <v>249</v>
      </c>
      <c r="C13" s="1" t="s">
        <v>250</v>
      </c>
      <c r="D13" s="3" t="s">
        <v>251</v>
      </c>
      <c r="E13" s="1" t="s">
        <v>84</v>
      </c>
      <c r="F13" s="10" t="s">
        <v>107</v>
      </c>
      <c r="G13" s="2" t="s">
        <v>100</v>
      </c>
      <c r="H13" s="4">
        <v>76</v>
      </c>
      <c r="I13" s="4">
        <v>80</v>
      </c>
      <c r="J13" s="4">
        <v>92</v>
      </c>
      <c r="K13" s="4">
        <v>72</v>
      </c>
      <c r="L13" s="4">
        <v>48</v>
      </c>
      <c r="M13" s="4">
        <v>80</v>
      </c>
      <c r="N13" s="4">
        <v>93</v>
      </c>
      <c r="O13" s="4">
        <v>92</v>
      </c>
      <c r="P13" s="4">
        <v>100</v>
      </c>
      <c r="Q13" s="4">
        <v>100</v>
      </c>
      <c r="R13" s="4">
        <v>76</v>
      </c>
      <c r="S13" s="14">
        <f t="shared" si="0"/>
        <v>909</v>
      </c>
      <c r="T13" s="14">
        <f t="shared" si="1"/>
        <v>75.75</v>
      </c>
      <c r="U13" s="20">
        <f t="shared" si="2"/>
        <v>7</v>
      </c>
    </row>
    <row r="14" spans="1:21" ht="18" customHeight="1">
      <c r="A14" s="19">
        <v>8</v>
      </c>
      <c r="B14" s="2" t="s">
        <v>210</v>
      </c>
      <c r="C14" s="1" t="s">
        <v>211</v>
      </c>
      <c r="D14" s="3" t="s">
        <v>212</v>
      </c>
      <c r="E14" s="1" t="s">
        <v>61</v>
      </c>
      <c r="F14" s="10" t="s">
        <v>107</v>
      </c>
      <c r="G14" s="2" t="s">
        <v>98</v>
      </c>
      <c r="H14" s="4">
        <v>92</v>
      </c>
      <c r="I14" s="4">
        <v>84</v>
      </c>
      <c r="J14" s="4">
        <v>80</v>
      </c>
      <c r="K14" s="4">
        <v>60</v>
      </c>
      <c r="L14" s="4">
        <v>60</v>
      </c>
      <c r="M14" s="4">
        <v>76</v>
      </c>
      <c r="N14" s="4">
        <v>72</v>
      </c>
      <c r="O14" s="4">
        <v>84</v>
      </c>
      <c r="P14" s="4">
        <v>100</v>
      </c>
      <c r="Q14" s="4">
        <v>100</v>
      </c>
      <c r="R14" s="4">
        <v>92</v>
      </c>
      <c r="S14" s="14">
        <f t="shared" si="0"/>
        <v>900</v>
      </c>
      <c r="T14" s="14">
        <f t="shared" si="1"/>
        <v>75</v>
      </c>
      <c r="U14" s="20">
        <f t="shared" si="2"/>
        <v>8</v>
      </c>
    </row>
    <row r="15" spans="1:21" ht="18" customHeight="1">
      <c r="A15" s="19">
        <v>9</v>
      </c>
      <c r="B15" s="2" t="s">
        <v>113</v>
      </c>
      <c r="C15" s="1">
        <v>4032086</v>
      </c>
      <c r="D15" s="3" t="s">
        <v>114</v>
      </c>
      <c r="E15" s="1" t="s">
        <v>69</v>
      </c>
      <c r="F15" s="10" t="s">
        <v>107</v>
      </c>
      <c r="G15" s="2" t="s">
        <v>95</v>
      </c>
      <c r="H15" s="4">
        <v>60</v>
      </c>
      <c r="I15" s="4">
        <v>36</v>
      </c>
      <c r="J15" s="4">
        <v>40</v>
      </c>
      <c r="K15" s="4">
        <v>48</v>
      </c>
      <c r="L15" s="4">
        <v>24</v>
      </c>
      <c r="M15" s="4">
        <v>32</v>
      </c>
      <c r="N15" s="4">
        <v>28</v>
      </c>
      <c r="O15" s="4">
        <v>36</v>
      </c>
      <c r="P15" s="4">
        <v>76</v>
      </c>
      <c r="Q15" s="4">
        <v>100</v>
      </c>
      <c r="R15" s="4">
        <v>416</v>
      </c>
      <c r="S15" s="14">
        <f t="shared" si="0"/>
        <v>896</v>
      </c>
      <c r="T15" s="14">
        <f t="shared" si="1"/>
        <v>74.666666666666671</v>
      </c>
      <c r="U15" s="20">
        <f t="shared" si="2"/>
        <v>9</v>
      </c>
    </row>
    <row r="16" spans="1:21" ht="18" customHeight="1">
      <c r="A16" s="19">
        <v>10</v>
      </c>
      <c r="B16" s="2" t="s">
        <v>155</v>
      </c>
      <c r="C16" s="1" t="s">
        <v>156</v>
      </c>
      <c r="D16" s="3" t="s">
        <v>157</v>
      </c>
      <c r="E16" s="1" t="s">
        <v>70</v>
      </c>
      <c r="F16" s="10" t="s">
        <v>107</v>
      </c>
      <c r="G16" s="2" t="s">
        <v>96</v>
      </c>
      <c r="H16" s="4">
        <v>92</v>
      </c>
      <c r="I16" s="4">
        <v>44</v>
      </c>
      <c r="J16" s="4">
        <v>80</v>
      </c>
      <c r="K16" s="4">
        <v>76</v>
      </c>
      <c r="L16" s="4">
        <v>68</v>
      </c>
      <c r="M16" s="4">
        <v>80</v>
      </c>
      <c r="N16" s="4">
        <v>80</v>
      </c>
      <c r="O16" s="4">
        <v>88</v>
      </c>
      <c r="P16" s="4">
        <v>88</v>
      </c>
      <c r="Q16" s="4">
        <v>100</v>
      </c>
      <c r="R16" s="4">
        <v>92</v>
      </c>
      <c r="S16" s="14">
        <f t="shared" si="0"/>
        <v>888</v>
      </c>
      <c r="T16" s="14">
        <f t="shared" si="1"/>
        <v>74</v>
      </c>
      <c r="U16" s="20">
        <f t="shared" si="2"/>
        <v>10</v>
      </c>
    </row>
    <row r="17" spans="1:21" ht="18" customHeight="1">
      <c r="A17" s="19">
        <v>11</v>
      </c>
      <c r="B17" s="2" t="s">
        <v>221</v>
      </c>
      <c r="C17" s="1" t="s">
        <v>103</v>
      </c>
      <c r="D17" s="3" t="s">
        <v>87</v>
      </c>
      <c r="E17" s="1" t="s">
        <v>80</v>
      </c>
      <c r="F17" s="10" t="s">
        <v>107</v>
      </c>
      <c r="G17" s="2" t="s">
        <v>99</v>
      </c>
      <c r="H17" s="4">
        <v>92</v>
      </c>
      <c r="I17" s="4">
        <v>76</v>
      </c>
      <c r="J17" s="4">
        <v>76</v>
      </c>
      <c r="K17" s="4">
        <v>52</v>
      </c>
      <c r="L17" s="4">
        <v>60</v>
      </c>
      <c r="M17" s="4">
        <v>80</v>
      </c>
      <c r="N17" s="4">
        <v>80</v>
      </c>
      <c r="O17" s="4">
        <v>84</v>
      </c>
      <c r="P17" s="4">
        <v>100</v>
      </c>
      <c r="Q17" s="4">
        <v>100</v>
      </c>
      <c r="R17" s="4">
        <v>84</v>
      </c>
      <c r="S17" s="14">
        <f t="shared" si="0"/>
        <v>884</v>
      </c>
      <c r="T17" s="14">
        <f t="shared" si="1"/>
        <v>73.666666666666671</v>
      </c>
      <c r="U17" s="20">
        <f t="shared" si="2"/>
        <v>11</v>
      </c>
    </row>
    <row r="18" spans="1:21" ht="18" customHeight="1">
      <c r="A18" s="19">
        <v>12</v>
      </c>
      <c r="B18" s="2" t="s">
        <v>176</v>
      </c>
      <c r="C18" s="1" t="s">
        <v>177</v>
      </c>
      <c r="D18" s="3" t="s">
        <v>178</v>
      </c>
      <c r="E18" s="1" t="s">
        <v>71</v>
      </c>
      <c r="F18" s="10" t="s">
        <v>107</v>
      </c>
      <c r="G18" s="2" t="s">
        <v>97</v>
      </c>
      <c r="H18" s="4">
        <v>76</v>
      </c>
      <c r="I18" s="4">
        <v>88</v>
      </c>
      <c r="J18" s="4">
        <v>100</v>
      </c>
      <c r="K18" s="4">
        <v>76</v>
      </c>
      <c r="L18" s="4">
        <v>76</v>
      </c>
      <c r="M18" s="4">
        <v>72</v>
      </c>
      <c r="N18" s="4">
        <v>100</v>
      </c>
      <c r="O18" s="4">
        <v>72</v>
      </c>
      <c r="P18" s="4">
        <v>60</v>
      </c>
      <c r="Q18" s="4">
        <v>93</v>
      </c>
      <c r="R18" s="4">
        <v>68</v>
      </c>
      <c r="S18" s="14">
        <f t="shared" si="0"/>
        <v>881</v>
      </c>
      <c r="T18" s="14">
        <f t="shared" si="1"/>
        <v>73.416666666666671</v>
      </c>
      <c r="U18" s="20">
        <f t="shared" si="2"/>
        <v>12</v>
      </c>
    </row>
    <row r="19" spans="1:21" ht="18" customHeight="1">
      <c r="A19" s="19">
        <v>13</v>
      </c>
      <c r="B19" s="2" t="s">
        <v>144</v>
      </c>
      <c r="C19" s="1" t="s">
        <v>145</v>
      </c>
      <c r="D19" s="3" t="s">
        <v>146</v>
      </c>
      <c r="E19" s="1" t="s">
        <v>79</v>
      </c>
      <c r="F19" s="10" t="s">
        <v>107</v>
      </c>
      <c r="G19" s="2" t="s">
        <v>96</v>
      </c>
      <c r="H19" s="4">
        <v>100</v>
      </c>
      <c r="I19" s="4">
        <v>56</v>
      </c>
      <c r="J19" s="4">
        <v>84</v>
      </c>
      <c r="K19" s="4">
        <v>52</v>
      </c>
      <c r="L19" s="4">
        <v>92</v>
      </c>
      <c r="M19" s="4">
        <v>88</v>
      </c>
      <c r="N19" s="4">
        <v>72</v>
      </c>
      <c r="O19" s="4">
        <v>76</v>
      </c>
      <c r="P19" s="4">
        <v>100</v>
      </c>
      <c r="Q19" s="4">
        <v>100</v>
      </c>
      <c r="R19" s="4">
        <v>60</v>
      </c>
      <c r="S19" s="14">
        <f t="shared" si="0"/>
        <v>880</v>
      </c>
      <c r="T19" s="14">
        <f t="shared" si="1"/>
        <v>73.333333333333329</v>
      </c>
      <c r="U19" s="20">
        <f t="shared" si="2"/>
        <v>13</v>
      </c>
    </row>
    <row r="20" spans="1:21" ht="18" customHeight="1">
      <c r="A20" s="19">
        <v>14</v>
      </c>
      <c r="B20" s="2" t="s">
        <v>126</v>
      </c>
      <c r="C20" s="1" t="s">
        <v>127</v>
      </c>
      <c r="D20" s="3" t="s">
        <v>128</v>
      </c>
      <c r="E20" s="1" t="s">
        <v>69</v>
      </c>
      <c r="F20" s="10" t="s">
        <v>107</v>
      </c>
      <c r="G20" s="2" t="s">
        <v>95</v>
      </c>
      <c r="H20" s="4">
        <v>84</v>
      </c>
      <c r="I20" s="4">
        <v>88</v>
      </c>
      <c r="J20" s="4">
        <v>96</v>
      </c>
      <c r="K20" s="4">
        <v>76</v>
      </c>
      <c r="L20" s="4">
        <v>84</v>
      </c>
      <c r="M20" s="4">
        <v>68</v>
      </c>
      <c r="N20" s="4">
        <v>48</v>
      </c>
      <c r="O20" s="4">
        <v>84</v>
      </c>
      <c r="P20" s="4">
        <v>96</v>
      </c>
      <c r="Q20" s="4">
        <v>86</v>
      </c>
      <c r="R20" s="4">
        <v>64</v>
      </c>
      <c r="S20" s="14">
        <f t="shared" si="0"/>
        <v>874</v>
      </c>
      <c r="T20" s="14">
        <f t="shared" si="1"/>
        <v>72.833333333333329</v>
      </c>
      <c r="U20" s="20">
        <f t="shared" si="2"/>
        <v>14</v>
      </c>
    </row>
    <row r="21" spans="1:21" ht="18" customHeight="1">
      <c r="A21" s="19">
        <v>15</v>
      </c>
      <c r="B21" s="2" t="s">
        <v>207</v>
      </c>
      <c r="C21" s="1" t="s">
        <v>208</v>
      </c>
      <c r="D21" s="3" t="s">
        <v>209</v>
      </c>
      <c r="E21" s="1" t="s">
        <v>60</v>
      </c>
      <c r="F21" s="10" t="s">
        <v>107</v>
      </c>
      <c r="G21" s="2" t="s">
        <v>98</v>
      </c>
      <c r="H21" s="4">
        <v>80</v>
      </c>
      <c r="I21" s="4">
        <v>92</v>
      </c>
      <c r="J21" s="4">
        <v>72</v>
      </c>
      <c r="K21" s="4">
        <v>52</v>
      </c>
      <c r="L21" s="4">
        <v>68</v>
      </c>
      <c r="M21" s="4">
        <v>68</v>
      </c>
      <c r="N21" s="4">
        <v>52</v>
      </c>
      <c r="O21" s="4">
        <v>76</v>
      </c>
      <c r="P21" s="4">
        <v>88</v>
      </c>
      <c r="Q21" s="4">
        <v>100</v>
      </c>
      <c r="R21" s="4">
        <v>88</v>
      </c>
      <c r="S21" s="14">
        <f t="shared" si="0"/>
        <v>836</v>
      </c>
      <c r="T21" s="14">
        <f t="shared" si="1"/>
        <v>69.666666666666671</v>
      </c>
      <c r="U21" s="20">
        <f t="shared" si="2"/>
        <v>15</v>
      </c>
    </row>
    <row r="22" spans="1:21" ht="18" customHeight="1">
      <c r="A22" s="19">
        <v>16</v>
      </c>
      <c r="B22" s="2" t="s">
        <v>216</v>
      </c>
      <c r="C22" s="1" t="s">
        <v>217</v>
      </c>
      <c r="D22" s="3" t="s">
        <v>94</v>
      </c>
      <c r="E22" s="1" t="s">
        <v>80</v>
      </c>
      <c r="F22" s="10" t="s">
        <v>107</v>
      </c>
      <c r="G22" s="2" t="s">
        <v>98</v>
      </c>
      <c r="H22" s="4">
        <v>100</v>
      </c>
      <c r="I22" s="4">
        <v>44</v>
      </c>
      <c r="J22" s="4">
        <v>72</v>
      </c>
      <c r="K22" s="4">
        <v>72</v>
      </c>
      <c r="L22" s="4">
        <v>48</v>
      </c>
      <c r="M22" s="4">
        <v>88</v>
      </c>
      <c r="N22" s="4">
        <v>52</v>
      </c>
      <c r="O22" s="4">
        <v>88</v>
      </c>
      <c r="P22" s="4">
        <v>92</v>
      </c>
      <c r="Q22" s="4">
        <v>96</v>
      </c>
      <c r="R22" s="4">
        <v>76</v>
      </c>
      <c r="S22" s="14">
        <f t="shared" si="0"/>
        <v>828</v>
      </c>
      <c r="T22" s="14">
        <f t="shared" si="1"/>
        <v>69</v>
      </c>
      <c r="U22" s="20">
        <f t="shared" si="2"/>
        <v>16</v>
      </c>
    </row>
    <row r="23" spans="1:21" ht="18" customHeight="1">
      <c r="A23" s="19">
        <v>17</v>
      </c>
      <c r="B23" s="2" t="s">
        <v>261</v>
      </c>
      <c r="C23" s="1" t="s">
        <v>262</v>
      </c>
      <c r="D23" s="3" t="s">
        <v>263</v>
      </c>
      <c r="E23" s="1" t="s">
        <v>64</v>
      </c>
      <c r="F23" s="10" t="s">
        <v>107</v>
      </c>
      <c r="G23" s="2" t="s">
        <v>100</v>
      </c>
      <c r="H23" s="4">
        <v>92</v>
      </c>
      <c r="I23" s="4">
        <v>68</v>
      </c>
      <c r="J23" s="4">
        <v>80</v>
      </c>
      <c r="K23" s="4">
        <v>68</v>
      </c>
      <c r="L23" s="4">
        <v>60</v>
      </c>
      <c r="M23" s="4">
        <v>80</v>
      </c>
      <c r="N23" s="4">
        <v>52</v>
      </c>
      <c r="O23" s="4">
        <v>84</v>
      </c>
      <c r="P23" s="4">
        <v>84</v>
      </c>
      <c r="Q23" s="4">
        <v>96</v>
      </c>
      <c r="R23" s="4">
        <v>64</v>
      </c>
      <c r="S23" s="14">
        <f t="shared" si="0"/>
        <v>828</v>
      </c>
      <c r="T23" s="14">
        <f t="shared" si="1"/>
        <v>69</v>
      </c>
      <c r="U23" s="20">
        <f t="shared" si="2"/>
        <v>16</v>
      </c>
    </row>
    <row r="24" spans="1:21" ht="18" customHeight="1">
      <c r="A24" s="19">
        <v>18</v>
      </c>
      <c r="B24" s="2" t="s">
        <v>234</v>
      </c>
      <c r="C24" s="1" t="s">
        <v>235</v>
      </c>
      <c r="D24" s="3" t="s">
        <v>236</v>
      </c>
      <c r="E24" s="1" t="s">
        <v>73</v>
      </c>
      <c r="F24" s="10" t="s">
        <v>107</v>
      </c>
      <c r="G24" s="2" t="s">
        <v>99</v>
      </c>
      <c r="H24" s="4">
        <v>88</v>
      </c>
      <c r="I24" s="4">
        <v>72</v>
      </c>
      <c r="J24" s="4">
        <v>88</v>
      </c>
      <c r="K24" s="4">
        <v>56</v>
      </c>
      <c r="L24" s="4">
        <v>76</v>
      </c>
      <c r="M24" s="4">
        <v>68</v>
      </c>
      <c r="N24" s="4">
        <v>60</v>
      </c>
      <c r="O24" s="4">
        <v>80</v>
      </c>
      <c r="P24" s="4">
        <v>72</v>
      </c>
      <c r="Q24" s="4">
        <v>96</v>
      </c>
      <c r="R24" s="4">
        <v>64</v>
      </c>
      <c r="S24" s="14">
        <f t="shared" si="0"/>
        <v>820</v>
      </c>
      <c r="T24" s="14">
        <f t="shared" si="1"/>
        <v>68.333333333333329</v>
      </c>
      <c r="U24" s="20">
        <f t="shared" si="2"/>
        <v>18</v>
      </c>
    </row>
    <row r="25" spans="1:21" ht="18" customHeight="1">
      <c r="A25" s="19">
        <v>19</v>
      </c>
      <c r="B25" s="2" t="s">
        <v>237</v>
      </c>
      <c r="C25" s="1" t="s">
        <v>238</v>
      </c>
      <c r="D25" s="3" t="s">
        <v>239</v>
      </c>
      <c r="E25" s="1" t="s">
        <v>73</v>
      </c>
      <c r="F25" s="10" t="s">
        <v>107</v>
      </c>
      <c r="G25" s="2" t="s">
        <v>99</v>
      </c>
      <c r="H25" s="4">
        <v>80</v>
      </c>
      <c r="I25" s="4">
        <v>60</v>
      </c>
      <c r="J25" s="4">
        <v>48</v>
      </c>
      <c r="K25" s="4">
        <v>60</v>
      </c>
      <c r="L25" s="4">
        <v>48</v>
      </c>
      <c r="M25" s="4">
        <v>84</v>
      </c>
      <c r="N25" s="4">
        <v>92</v>
      </c>
      <c r="O25" s="4">
        <v>92</v>
      </c>
      <c r="P25" s="4">
        <v>80</v>
      </c>
      <c r="Q25" s="4">
        <v>96</v>
      </c>
      <c r="R25" s="4">
        <v>76</v>
      </c>
      <c r="S25" s="14">
        <f t="shared" si="0"/>
        <v>816</v>
      </c>
      <c r="T25" s="14">
        <f t="shared" si="1"/>
        <v>68</v>
      </c>
      <c r="U25" s="20">
        <f t="shared" si="2"/>
        <v>19</v>
      </c>
    </row>
    <row r="26" spans="1:21" ht="18" customHeight="1">
      <c r="A26" s="19">
        <v>20</v>
      </c>
      <c r="B26" s="2" t="s">
        <v>264</v>
      </c>
      <c r="C26" s="1" t="s">
        <v>265</v>
      </c>
      <c r="D26" s="3" t="s">
        <v>266</v>
      </c>
      <c r="E26" s="1" t="s">
        <v>78</v>
      </c>
      <c r="F26" s="10" t="s">
        <v>107</v>
      </c>
      <c r="G26" s="2" t="s">
        <v>100</v>
      </c>
      <c r="H26" s="4">
        <v>96</v>
      </c>
      <c r="I26" s="4">
        <v>60</v>
      </c>
      <c r="J26" s="4">
        <v>80</v>
      </c>
      <c r="K26" s="4">
        <v>56</v>
      </c>
      <c r="L26" s="4">
        <v>60</v>
      </c>
      <c r="M26" s="4">
        <v>72</v>
      </c>
      <c r="N26" s="4">
        <v>64</v>
      </c>
      <c r="O26" s="4">
        <v>76</v>
      </c>
      <c r="P26" s="4">
        <v>84</v>
      </c>
      <c r="Q26" s="4">
        <v>100</v>
      </c>
      <c r="R26" s="4">
        <v>60</v>
      </c>
      <c r="S26" s="14">
        <f t="shared" si="0"/>
        <v>808</v>
      </c>
      <c r="T26" s="14">
        <f t="shared" si="1"/>
        <v>67.333333333333329</v>
      </c>
      <c r="U26" s="20">
        <f t="shared" si="2"/>
        <v>20</v>
      </c>
    </row>
    <row r="27" spans="1:21" ht="18" customHeight="1">
      <c r="A27" s="19">
        <v>21</v>
      </c>
      <c r="B27" s="2" t="s">
        <v>329</v>
      </c>
      <c r="C27" s="1" t="s">
        <v>330</v>
      </c>
      <c r="D27" s="3" t="s">
        <v>331</v>
      </c>
      <c r="E27" s="1" t="s">
        <v>75</v>
      </c>
      <c r="F27" s="10" t="s">
        <v>107</v>
      </c>
      <c r="G27" s="2" t="s">
        <v>102</v>
      </c>
      <c r="H27" s="4">
        <v>96</v>
      </c>
      <c r="I27" s="4">
        <v>56</v>
      </c>
      <c r="J27" s="4">
        <v>88</v>
      </c>
      <c r="K27" s="4">
        <v>56</v>
      </c>
      <c r="L27" s="4">
        <v>76</v>
      </c>
      <c r="M27" s="4">
        <v>80</v>
      </c>
      <c r="N27" s="4">
        <v>48</v>
      </c>
      <c r="O27" s="4">
        <v>60</v>
      </c>
      <c r="P27" s="4">
        <v>88</v>
      </c>
      <c r="Q27" s="4">
        <v>100</v>
      </c>
      <c r="R27" s="4">
        <v>60</v>
      </c>
      <c r="S27" s="14">
        <f t="shared" si="0"/>
        <v>808</v>
      </c>
      <c r="T27" s="14">
        <f t="shared" si="1"/>
        <v>67.333333333333329</v>
      </c>
      <c r="U27" s="20">
        <f t="shared" si="2"/>
        <v>20</v>
      </c>
    </row>
    <row r="28" spans="1:21" ht="18" customHeight="1">
      <c r="A28" s="19">
        <v>22</v>
      </c>
      <c r="B28" s="2" t="s">
        <v>243</v>
      </c>
      <c r="C28" s="1" t="s">
        <v>244</v>
      </c>
      <c r="D28" s="3" t="s">
        <v>245</v>
      </c>
      <c r="E28" s="1" t="s">
        <v>77</v>
      </c>
      <c r="F28" s="10" t="s">
        <v>107</v>
      </c>
      <c r="G28" s="2" t="s">
        <v>100</v>
      </c>
      <c r="H28" s="4">
        <v>88</v>
      </c>
      <c r="I28" s="4">
        <v>56</v>
      </c>
      <c r="J28" s="4">
        <v>92</v>
      </c>
      <c r="K28" s="4">
        <v>64</v>
      </c>
      <c r="L28" s="4">
        <v>44</v>
      </c>
      <c r="M28" s="4">
        <v>68</v>
      </c>
      <c r="N28" s="4">
        <v>76</v>
      </c>
      <c r="O28" s="4">
        <v>72</v>
      </c>
      <c r="P28" s="4">
        <v>80</v>
      </c>
      <c r="Q28" s="4">
        <v>100</v>
      </c>
      <c r="R28" s="4">
        <v>60</v>
      </c>
      <c r="S28" s="14">
        <f t="shared" si="0"/>
        <v>800</v>
      </c>
      <c r="T28" s="14">
        <f t="shared" si="1"/>
        <v>66.666666666666671</v>
      </c>
      <c r="U28" s="20">
        <f t="shared" si="2"/>
        <v>22</v>
      </c>
    </row>
    <row r="29" spans="1:21" ht="18" customHeight="1">
      <c r="A29" s="19">
        <v>23</v>
      </c>
      <c r="B29" s="2" t="s">
        <v>246</v>
      </c>
      <c r="C29" s="1" t="s">
        <v>247</v>
      </c>
      <c r="D29" s="3" t="s">
        <v>248</v>
      </c>
      <c r="E29" s="1" t="s">
        <v>77</v>
      </c>
      <c r="F29" s="10" t="s">
        <v>107</v>
      </c>
      <c r="G29" s="2" t="s">
        <v>100</v>
      </c>
      <c r="H29" s="4">
        <v>84</v>
      </c>
      <c r="I29" s="4">
        <v>56</v>
      </c>
      <c r="J29" s="4">
        <v>76</v>
      </c>
      <c r="K29" s="4">
        <v>68</v>
      </c>
      <c r="L29" s="4">
        <v>60</v>
      </c>
      <c r="M29" s="4">
        <v>76</v>
      </c>
      <c r="N29" s="4">
        <v>76</v>
      </c>
      <c r="O29" s="4">
        <v>68</v>
      </c>
      <c r="P29" s="4">
        <v>64</v>
      </c>
      <c r="Q29" s="4">
        <v>100</v>
      </c>
      <c r="R29" s="4">
        <v>72</v>
      </c>
      <c r="S29" s="14">
        <f t="shared" si="0"/>
        <v>800</v>
      </c>
      <c r="T29" s="14">
        <f t="shared" si="1"/>
        <v>66.666666666666671</v>
      </c>
      <c r="U29" s="20">
        <f t="shared" si="2"/>
        <v>22</v>
      </c>
    </row>
    <row r="30" spans="1:21" ht="18" customHeight="1">
      <c r="A30" s="19">
        <v>24</v>
      </c>
      <c r="B30" s="2" t="s">
        <v>123</v>
      </c>
      <c r="C30" s="1" t="s">
        <v>124</v>
      </c>
      <c r="D30" s="3" t="s">
        <v>125</v>
      </c>
      <c r="E30" s="1" t="s">
        <v>69</v>
      </c>
      <c r="F30" s="10" t="s">
        <v>107</v>
      </c>
      <c r="G30" s="2" t="s">
        <v>95</v>
      </c>
      <c r="H30" s="4">
        <v>84</v>
      </c>
      <c r="I30" s="4">
        <v>64</v>
      </c>
      <c r="J30" s="4">
        <v>92</v>
      </c>
      <c r="K30" s="4">
        <v>28</v>
      </c>
      <c r="L30" s="4">
        <v>64</v>
      </c>
      <c r="M30" s="4">
        <v>56</v>
      </c>
      <c r="N30" s="4">
        <v>28</v>
      </c>
      <c r="O30" s="4">
        <v>92</v>
      </c>
      <c r="P30" s="4">
        <v>88</v>
      </c>
      <c r="Q30" s="4">
        <v>100</v>
      </c>
      <c r="R30" s="4">
        <v>88</v>
      </c>
      <c r="S30" s="14">
        <f t="shared" si="0"/>
        <v>784</v>
      </c>
      <c r="T30" s="14">
        <f t="shared" si="1"/>
        <v>65.333333333333329</v>
      </c>
      <c r="U30" s="20">
        <f t="shared" si="2"/>
        <v>24</v>
      </c>
    </row>
    <row r="31" spans="1:21" ht="18" customHeight="1">
      <c r="A31" s="19">
        <v>25</v>
      </c>
      <c r="B31" s="2" t="s">
        <v>135</v>
      </c>
      <c r="C31" s="1" t="s">
        <v>136</v>
      </c>
      <c r="D31" s="3" t="s">
        <v>137</v>
      </c>
      <c r="E31" s="1" t="s">
        <v>55</v>
      </c>
      <c r="F31" s="10" t="s">
        <v>107</v>
      </c>
      <c r="G31" s="2" t="s">
        <v>96</v>
      </c>
      <c r="H31" s="4">
        <v>84</v>
      </c>
      <c r="I31" s="4">
        <v>64</v>
      </c>
      <c r="J31" s="4">
        <v>84</v>
      </c>
      <c r="K31" s="4">
        <v>40</v>
      </c>
      <c r="L31" s="4">
        <v>72</v>
      </c>
      <c r="M31" s="4">
        <v>64</v>
      </c>
      <c r="N31" s="4">
        <v>52</v>
      </c>
      <c r="O31" s="4">
        <v>52</v>
      </c>
      <c r="P31" s="4">
        <v>80</v>
      </c>
      <c r="Q31" s="4">
        <v>100</v>
      </c>
      <c r="R31" s="4">
        <v>92</v>
      </c>
      <c r="S31" s="14">
        <f t="shared" si="0"/>
        <v>784</v>
      </c>
      <c r="T31" s="14">
        <f t="shared" si="1"/>
        <v>65.333333333333329</v>
      </c>
      <c r="U31" s="20">
        <f t="shared" si="2"/>
        <v>24</v>
      </c>
    </row>
    <row r="32" spans="1:21" ht="18" customHeight="1">
      <c r="A32" s="19">
        <v>26</v>
      </c>
      <c r="B32" s="2" t="s">
        <v>121</v>
      </c>
      <c r="C32" s="1" t="s">
        <v>122</v>
      </c>
      <c r="D32" s="3" t="s">
        <v>86</v>
      </c>
      <c r="E32" s="1" t="s">
        <v>69</v>
      </c>
      <c r="F32" s="10" t="s">
        <v>107</v>
      </c>
      <c r="G32" s="2" t="s">
        <v>95</v>
      </c>
      <c r="H32" s="4">
        <v>76</v>
      </c>
      <c r="I32" s="4">
        <v>60</v>
      </c>
      <c r="J32" s="4">
        <v>84</v>
      </c>
      <c r="K32" s="4">
        <v>48</v>
      </c>
      <c r="L32" s="4">
        <v>76</v>
      </c>
      <c r="M32" s="4">
        <v>72</v>
      </c>
      <c r="N32" s="4">
        <v>60</v>
      </c>
      <c r="O32" s="4">
        <v>72</v>
      </c>
      <c r="P32" s="4">
        <v>64</v>
      </c>
      <c r="Q32" s="4">
        <v>96</v>
      </c>
      <c r="R32" s="4">
        <v>68</v>
      </c>
      <c r="S32" s="14">
        <f t="shared" si="0"/>
        <v>776</v>
      </c>
      <c r="T32" s="14">
        <f t="shared" si="1"/>
        <v>64.666666666666671</v>
      </c>
      <c r="U32" s="20">
        <f t="shared" si="2"/>
        <v>26</v>
      </c>
    </row>
    <row r="33" spans="1:21" ht="18" customHeight="1">
      <c r="A33" s="19">
        <v>27</v>
      </c>
      <c r="B33" s="2" t="s">
        <v>240</v>
      </c>
      <c r="C33" s="1" t="s">
        <v>241</v>
      </c>
      <c r="D33" s="3" t="s">
        <v>242</v>
      </c>
      <c r="E33" s="1" t="s">
        <v>77</v>
      </c>
      <c r="F33" s="10" t="s">
        <v>107</v>
      </c>
      <c r="G33" s="2" t="s">
        <v>99</v>
      </c>
      <c r="H33" s="4">
        <v>84</v>
      </c>
      <c r="I33" s="4">
        <v>64</v>
      </c>
      <c r="J33" s="4">
        <v>72</v>
      </c>
      <c r="K33" s="4">
        <v>48</v>
      </c>
      <c r="L33" s="4">
        <v>80</v>
      </c>
      <c r="M33" s="4">
        <v>60</v>
      </c>
      <c r="N33" s="4">
        <v>68</v>
      </c>
      <c r="O33" s="4">
        <v>72</v>
      </c>
      <c r="P33" s="4">
        <v>76</v>
      </c>
      <c r="Q33" s="4">
        <v>100</v>
      </c>
      <c r="R33" s="4">
        <v>52</v>
      </c>
      <c r="S33" s="14">
        <f t="shared" si="0"/>
        <v>776</v>
      </c>
      <c r="T33" s="14">
        <f t="shared" si="1"/>
        <v>64.666666666666671</v>
      </c>
      <c r="U33" s="20">
        <f t="shared" si="2"/>
        <v>26</v>
      </c>
    </row>
    <row r="34" spans="1:21" ht="18" customHeight="1">
      <c r="A34" s="19">
        <v>28</v>
      </c>
      <c r="B34" s="2" t="s">
        <v>213</v>
      </c>
      <c r="C34" s="1" t="s">
        <v>214</v>
      </c>
      <c r="D34" s="3" t="s">
        <v>215</v>
      </c>
      <c r="E34" s="1" t="s">
        <v>62</v>
      </c>
      <c r="F34" s="10" t="s">
        <v>107</v>
      </c>
      <c r="G34" s="2" t="s">
        <v>98</v>
      </c>
      <c r="H34" s="4">
        <v>64</v>
      </c>
      <c r="I34" s="4">
        <v>68</v>
      </c>
      <c r="J34" s="4">
        <v>88</v>
      </c>
      <c r="K34" s="4">
        <v>64</v>
      </c>
      <c r="L34" s="4">
        <v>36</v>
      </c>
      <c r="M34" s="4">
        <v>60</v>
      </c>
      <c r="N34" s="4">
        <v>44</v>
      </c>
      <c r="O34" s="4">
        <v>88</v>
      </c>
      <c r="P34" s="4">
        <v>68</v>
      </c>
      <c r="Q34" s="4">
        <v>100</v>
      </c>
      <c r="R34" s="4">
        <v>84</v>
      </c>
      <c r="S34" s="14">
        <f t="shared" si="0"/>
        <v>764</v>
      </c>
      <c r="T34" s="14">
        <f t="shared" si="1"/>
        <v>63.666666666666664</v>
      </c>
      <c r="U34" s="20">
        <f t="shared" si="2"/>
        <v>28</v>
      </c>
    </row>
    <row r="35" spans="1:21" ht="18" customHeight="1">
      <c r="A35" s="19">
        <v>29</v>
      </c>
      <c r="B35" s="2" t="s">
        <v>274</v>
      </c>
      <c r="C35" s="1" t="s">
        <v>275</v>
      </c>
      <c r="D35" s="3" t="s">
        <v>276</v>
      </c>
      <c r="E35" s="1" t="s">
        <v>90</v>
      </c>
      <c r="F35" s="10" t="s">
        <v>107</v>
      </c>
      <c r="G35" s="2" t="s">
        <v>100</v>
      </c>
      <c r="H35" s="4">
        <v>72</v>
      </c>
      <c r="I35" s="4">
        <v>68</v>
      </c>
      <c r="J35" s="4">
        <v>72</v>
      </c>
      <c r="K35" s="4">
        <v>60</v>
      </c>
      <c r="L35" s="4">
        <v>56</v>
      </c>
      <c r="M35" s="4">
        <v>64</v>
      </c>
      <c r="N35" s="4">
        <v>72</v>
      </c>
      <c r="O35" s="4">
        <v>88</v>
      </c>
      <c r="P35" s="4">
        <v>68</v>
      </c>
      <c r="Q35" s="4">
        <v>100</v>
      </c>
      <c r="R35" s="4">
        <v>44</v>
      </c>
      <c r="S35" s="14">
        <f t="shared" si="0"/>
        <v>764</v>
      </c>
      <c r="T35" s="14">
        <f t="shared" si="1"/>
        <v>63.666666666666664</v>
      </c>
      <c r="U35" s="20">
        <f t="shared" si="2"/>
        <v>28</v>
      </c>
    </row>
    <row r="36" spans="1:21" ht="18" customHeight="1">
      <c r="A36" s="19">
        <v>30</v>
      </c>
      <c r="B36" s="2" t="s">
        <v>222</v>
      </c>
      <c r="C36" s="1">
        <v>4032175</v>
      </c>
      <c r="D36" s="3" t="s">
        <v>223</v>
      </c>
      <c r="E36" s="1" t="s">
        <v>80</v>
      </c>
      <c r="F36" s="10" t="s">
        <v>107</v>
      </c>
      <c r="G36" s="2" t="s">
        <v>99</v>
      </c>
      <c r="H36" s="4">
        <v>80</v>
      </c>
      <c r="I36" s="4">
        <v>40</v>
      </c>
      <c r="J36" s="4">
        <v>72</v>
      </c>
      <c r="K36" s="4">
        <v>52</v>
      </c>
      <c r="L36" s="4">
        <v>60</v>
      </c>
      <c r="M36" s="4">
        <v>84</v>
      </c>
      <c r="N36" s="4">
        <v>56</v>
      </c>
      <c r="O36" s="4">
        <v>64</v>
      </c>
      <c r="P36" s="4">
        <v>92</v>
      </c>
      <c r="Q36" s="4">
        <v>100</v>
      </c>
      <c r="R36" s="4">
        <v>56</v>
      </c>
      <c r="S36" s="14">
        <f t="shared" si="0"/>
        <v>756</v>
      </c>
      <c r="T36" s="14">
        <f t="shared" si="1"/>
        <v>63</v>
      </c>
      <c r="U36" s="20">
        <f t="shared" si="2"/>
        <v>30</v>
      </c>
    </row>
    <row r="37" spans="1:21" ht="18" customHeight="1">
      <c r="A37" s="19">
        <v>31</v>
      </c>
      <c r="B37" s="2" t="s">
        <v>314</v>
      </c>
      <c r="C37" s="1" t="s">
        <v>315</v>
      </c>
      <c r="D37" s="3" t="s">
        <v>316</v>
      </c>
      <c r="E37" s="1" t="s">
        <v>66</v>
      </c>
      <c r="F37" s="10" t="s">
        <v>107</v>
      </c>
      <c r="G37" s="2" t="s">
        <v>102</v>
      </c>
      <c r="H37" s="4">
        <v>76</v>
      </c>
      <c r="I37" s="4">
        <v>84</v>
      </c>
      <c r="J37" s="4">
        <v>64</v>
      </c>
      <c r="K37" s="4">
        <v>40</v>
      </c>
      <c r="L37" s="4">
        <v>60</v>
      </c>
      <c r="M37" s="4">
        <v>76</v>
      </c>
      <c r="N37" s="4">
        <v>72</v>
      </c>
      <c r="O37" s="4">
        <v>72</v>
      </c>
      <c r="P37" s="4">
        <v>92</v>
      </c>
      <c r="Q37" s="4">
        <v>100</v>
      </c>
      <c r="R37" s="4">
        <v>20</v>
      </c>
      <c r="S37" s="14">
        <f t="shared" si="0"/>
        <v>756</v>
      </c>
      <c r="T37" s="14">
        <f t="shared" si="1"/>
        <v>63</v>
      </c>
      <c r="U37" s="20">
        <f t="shared" si="2"/>
        <v>30</v>
      </c>
    </row>
    <row r="38" spans="1:21" ht="18" customHeight="1">
      <c r="A38" s="19">
        <v>32</v>
      </c>
      <c r="B38" s="2" t="s">
        <v>311</v>
      </c>
      <c r="C38" s="1" t="s">
        <v>312</v>
      </c>
      <c r="D38" s="3" t="s">
        <v>313</v>
      </c>
      <c r="E38" s="1" t="s">
        <v>66</v>
      </c>
      <c r="F38" s="10" t="s">
        <v>107</v>
      </c>
      <c r="G38" s="2" t="s">
        <v>102</v>
      </c>
      <c r="H38" s="4">
        <v>76</v>
      </c>
      <c r="I38" s="4">
        <v>52</v>
      </c>
      <c r="J38" s="4">
        <v>92</v>
      </c>
      <c r="K38" s="4">
        <v>48</v>
      </c>
      <c r="L38" s="4">
        <v>36</v>
      </c>
      <c r="M38" s="4">
        <v>60</v>
      </c>
      <c r="N38" s="4">
        <v>80</v>
      </c>
      <c r="O38" s="4">
        <v>72</v>
      </c>
      <c r="P38" s="4">
        <v>96</v>
      </c>
      <c r="Q38" s="4">
        <v>89</v>
      </c>
      <c r="R38" s="4">
        <v>44</v>
      </c>
      <c r="S38" s="14">
        <f t="shared" si="0"/>
        <v>745</v>
      </c>
      <c r="T38" s="14">
        <f t="shared" si="1"/>
        <v>62.083333333333336</v>
      </c>
      <c r="U38" s="20">
        <f t="shared" si="2"/>
        <v>32</v>
      </c>
    </row>
    <row r="39" spans="1:21" ht="18" customHeight="1">
      <c r="A39" s="19">
        <v>33</v>
      </c>
      <c r="B39" s="2" t="s">
        <v>181</v>
      </c>
      <c r="C39" s="1" t="s">
        <v>182</v>
      </c>
      <c r="D39" s="3" t="s">
        <v>183</v>
      </c>
      <c r="E39" s="1" t="s">
        <v>72</v>
      </c>
      <c r="F39" s="10" t="s">
        <v>107</v>
      </c>
      <c r="G39" s="2" t="s">
        <v>97</v>
      </c>
      <c r="H39" s="4">
        <v>92</v>
      </c>
      <c r="I39" s="4">
        <v>44</v>
      </c>
      <c r="J39" s="4">
        <v>64</v>
      </c>
      <c r="K39" s="4">
        <v>68</v>
      </c>
      <c r="L39" s="4">
        <v>52</v>
      </c>
      <c r="M39" s="4">
        <v>44</v>
      </c>
      <c r="N39" s="4">
        <v>52</v>
      </c>
      <c r="O39" s="4">
        <v>72</v>
      </c>
      <c r="P39" s="4">
        <v>88</v>
      </c>
      <c r="Q39" s="4">
        <v>100</v>
      </c>
      <c r="R39" s="4">
        <v>56</v>
      </c>
      <c r="S39" s="14">
        <f t="shared" ref="S39:S70" si="3">SUBTOTAL(9,H39:R39)</f>
        <v>732</v>
      </c>
      <c r="T39" s="14">
        <f t="shared" ref="T39:T70" si="4">S39/12</f>
        <v>61</v>
      </c>
      <c r="U39" s="20">
        <f t="shared" ref="U39:U70" si="5">RANK(T39,T$7:T$89,0)</f>
        <v>33</v>
      </c>
    </row>
    <row r="40" spans="1:21" ht="18" customHeight="1">
      <c r="A40" s="19">
        <v>34</v>
      </c>
      <c r="B40" s="2" t="s">
        <v>167</v>
      </c>
      <c r="C40" s="1" t="s">
        <v>168</v>
      </c>
      <c r="D40" s="3" t="s">
        <v>169</v>
      </c>
      <c r="E40" s="1" t="s">
        <v>57</v>
      </c>
      <c r="F40" s="10" t="s">
        <v>107</v>
      </c>
      <c r="G40" s="2" t="s">
        <v>97</v>
      </c>
      <c r="H40" s="4">
        <v>80</v>
      </c>
      <c r="I40" s="4">
        <v>52</v>
      </c>
      <c r="J40" s="4">
        <v>72</v>
      </c>
      <c r="K40" s="4">
        <v>40</v>
      </c>
      <c r="L40" s="4">
        <v>44</v>
      </c>
      <c r="M40" s="4">
        <v>64</v>
      </c>
      <c r="N40" s="4">
        <v>88</v>
      </c>
      <c r="O40" s="4">
        <v>84</v>
      </c>
      <c r="P40" s="4">
        <v>64</v>
      </c>
      <c r="Q40" s="4">
        <v>100</v>
      </c>
      <c r="R40" s="4">
        <v>40</v>
      </c>
      <c r="S40" s="14">
        <f t="shared" si="3"/>
        <v>728</v>
      </c>
      <c r="T40" s="14">
        <f t="shared" si="4"/>
        <v>60.666666666666664</v>
      </c>
      <c r="U40" s="20">
        <f t="shared" si="5"/>
        <v>34</v>
      </c>
    </row>
    <row r="41" spans="1:21" ht="18" customHeight="1">
      <c r="A41" s="19">
        <v>35</v>
      </c>
      <c r="B41" s="2" t="s">
        <v>173</v>
      </c>
      <c r="C41" s="1" t="s">
        <v>174</v>
      </c>
      <c r="D41" s="3" t="s">
        <v>175</v>
      </c>
      <c r="E41" s="1" t="s">
        <v>57</v>
      </c>
      <c r="F41" s="10" t="s">
        <v>107</v>
      </c>
      <c r="G41" s="2" t="s">
        <v>97</v>
      </c>
      <c r="H41" s="4">
        <v>68</v>
      </c>
      <c r="I41" s="4">
        <v>68</v>
      </c>
      <c r="J41" s="4">
        <v>80</v>
      </c>
      <c r="K41" s="4">
        <v>56</v>
      </c>
      <c r="L41" s="4">
        <v>68</v>
      </c>
      <c r="M41" s="4">
        <v>76</v>
      </c>
      <c r="N41" s="4">
        <v>20</v>
      </c>
      <c r="O41" s="4">
        <v>72</v>
      </c>
      <c r="P41" s="4">
        <v>64</v>
      </c>
      <c r="Q41" s="4">
        <v>100</v>
      </c>
      <c r="R41" s="4">
        <v>44</v>
      </c>
      <c r="S41" s="14">
        <f t="shared" si="3"/>
        <v>716</v>
      </c>
      <c r="T41" s="14">
        <f t="shared" si="4"/>
        <v>59.666666666666664</v>
      </c>
      <c r="U41" s="20">
        <f t="shared" si="5"/>
        <v>35</v>
      </c>
    </row>
    <row r="42" spans="1:21" ht="18" customHeight="1">
      <c r="A42" s="19">
        <v>36</v>
      </c>
      <c r="B42" s="2" t="s">
        <v>277</v>
      </c>
      <c r="C42" s="1" t="s">
        <v>278</v>
      </c>
      <c r="D42" s="3" t="s">
        <v>279</v>
      </c>
      <c r="E42" s="1" t="s">
        <v>90</v>
      </c>
      <c r="F42" s="10" t="s">
        <v>107</v>
      </c>
      <c r="G42" s="2" t="s">
        <v>101</v>
      </c>
      <c r="H42" s="4">
        <v>80</v>
      </c>
      <c r="I42" s="4">
        <v>60</v>
      </c>
      <c r="J42" s="4">
        <v>84</v>
      </c>
      <c r="K42" s="4">
        <v>40</v>
      </c>
      <c r="L42" s="4">
        <v>60</v>
      </c>
      <c r="M42" s="4">
        <v>56</v>
      </c>
      <c r="N42" s="4">
        <v>56</v>
      </c>
      <c r="O42" s="4">
        <v>76</v>
      </c>
      <c r="P42" s="4">
        <v>64</v>
      </c>
      <c r="Q42" s="4">
        <v>100</v>
      </c>
      <c r="R42" s="4">
        <v>24</v>
      </c>
      <c r="S42" s="14">
        <f t="shared" si="3"/>
        <v>700</v>
      </c>
      <c r="T42" s="14">
        <f t="shared" si="4"/>
        <v>58.333333333333336</v>
      </c>
      <c r="U42" s="20">
        <f t="shared" si="5"/>
        <v>36</v>
      </c>
    </row>
    <row r="43" spans="1:21" ht="18" customHeight="1">
      <c r="A43" s="19">
        <v>37</v>
      </c>
      <c r="B43" s="2" t="s">
        <v>204</v>
      </c>
      <c r="C43" s="1" t="s">
        <v>205</v>
      </c>
      <c r="D43" s="3" t="s">
        <v>206</v>
      </c>
      <c r="E43" s="1" t="s">
        <v>60</v>
      </c>
      <c r="F43" s="10" t="s">
        <v>107</v>
      </c>
      <c r="G43" s="2" t="s">
        <v>98</v>
      </c>
      <c r="H43" s="4">
        <v>80</v>
      </c>
      <c r="I43" s="4">
        <v>44</v>
      </c>
      <c r="J43" s="4">
        <v>76</v>
      </c>
      <c r="K43" s="4">
        <v>44</v>
      </c>
      <c r="L43" s="4">
        <v>32</v>
      </c>
      <c r="M43" s="4">
        <v>76</v>
      </c>
      <c r="N43" s="4">
        <v>48</v>
      </c>
      <c r="O43" s="4">
        <v>68</v>
      </c>
      <c r="P43" s="4">
        <v>96</v>
      </c>
      <c r="Q43" s="4">
        <v>100</v>
      </c>
      <c r="R43" s="4">
        <v>20</v>
      </c>
      <c r="S43" s="14">
        <f t="shared" si="3"/>
        <v>684</v>
      </c>
      <c r="T43" s="14">
        <f t="shared" si="4"/>
        <v>57</v>
      </c>
      <c r="U43" s="20">
        <f t="shared" si="5"/>
        <v>37</v>
      </c>
    </row>
    <row r="44" spans="1:21" ht="18" customHeight="1">
      <c r="A44" s="19">
        <v>38</v>
      </c>
      <c r="B44" s="2" t="s">
        <v>141</v>
      </c>
      <c r="C44" s="1" t="s">
        <v>142</v>
      </c>
      <c r="D44" s="3" t="s">
        <v>143</v>
      </c>
      <c r="E44" s="1" t="s">
        <v>55</v>
      </c>
      <c r="F44" s="10" t="s">
        <v>107</v>
      </c>
      <c r="G44" s="2" t="s">
        <v>96</v>
      </c>
      <c r="H44" s="4">
        <v>60</v>
      </c>
      <c r="I44" s="4">
        <v>56</v>
      </c>
      <c r="J44" s="4">
        <v>84</v>
      </c>
      <c r="K44" s="4">
        <v>52</v>
      </c>
      <c r="L44" s="4">
        <v>48</v>
      </c>
      <c r="M44" s="4">
        <v>60</v>
      </c>
      <c r="N44" s="4">
        <v>56</v>
      </c>
      <c r="O44" s="4">
        <v>48</v>
      </c>
      <c r="P44" s="4">
        <v>76</v>
      </c>
      <c r="Q44" s="4">
        <v>100</v>
      </c>
      <c r="R44" s="4">
        <v>40</v>
      </c>
      <c r="S44" s="14">
        <f t="shared" si="3"/>
        <v>680</v>
      </c>
      <c r="T44" s="14">
        <f t="shared" si="4"/>
        <v>56.666666666666664</v>
      </c>
      <c r="U44" s="20">
        <f t="shared" si="5"/>
        <v>38</v>
      </c>
    </row>
    <row r="45" spans="1:21" ht="18" customHeight="1">
      <c r="A45" s="19">
        <v>39</v>
      </c>
      <c r="B45" s="2" t="s">
        <v>164</v>
      </c>
      <c r="C45" s="1" t="s">
        <v>165</v>
      </c>
      <c r="D45" s="3" t="s">
        <v>166</v>
      </c>
      <c r="E45" s="1" t="s">
        <v>57</v>
      </c>
      <c r="F45" s="10" t="s">
        <v>107</v>
      </c>
      <c r="G45" s="2" t="s">
        <v>97</v>
      </c>
      <c r="H45" s="4">
        <v>44</v>
      </c>
      <c r="I45" s="4">
        <v>44</v>
      </c>
      <c r="J45" s="4">
        <v>92</v>
      </c>
      <c r="K45" s="4">
        <v>28</v>
      </c>
      <c r="L45" s="4">
        <v>72</v>
      </c>
      <c r="M45" s="4">
        <v>64</v>
      </c>
      <c r="N45" s="4">
        <v>60</v>
      </c>
      <c r="O45" s="4">
        <v>80</v>
      </c>
      <c r="P45" s="4">
        <v>64</v>
      </c>
      <c r="Q45" s="4">
        <v>100</v>
      </c>
      <c r="R45" s="4">
        <v>32</v>
      </c>
      <c r="S45" s="14">
        <f t="shared" si="3"/>
        <v>680</v>
      </c>
      <c r="T45" s="14">
        <f t="shared" si="4"/>
        <v>56.666666666666664</v>
      </c>
      <c r="U45" s="20">
        <f t="shared" si="5"/>
        <v>38</v>
      </c>
    </row>
    <row r="46" spans="1:21" ht="18" customHeight="1">
      <c r="A46" s="19">
        <v>40</v>
      </c>
      <c r="B46" s="2" t="s">
        <v>198</v>
      </c>
      <c r="C46" s="1" t="s">
        <v>199</v>
      </c>
      <c r="D46" s="3" t="s">
        <v>200</v>
      </c>
      <c r="E46" s="1" t="s">
        <v>59</v>
      </c>
      <c r="F46" s="10" t="s">
        <v>107</v>
      </c>
      <c r="G46" s="2" t="s">
        <v>98</v>
      </c>
      <c r="H46" s="4">
        <v>60</v>
      </c>
      <c r="I46" s="4">
        <v>48</v>
      </c>
      <c r="J46" s="4">
        <v>64</v>
      </c>
      <c r="K46" s="4">
        <v>44</v>
      </c>
      <c r="L46" s="4">
        <v>48</v>
      </c>
      <c r="M46" s="4">
        <v>52</v>
      </c>
      <c r="N46" s="4">
        <v>64</v>
      </c>
      <c r="O46" s="4">
        <v>64</v>
      </c>
      <c r="P46" s="4">
        <v>84</v>
      </c>
      <c r="Q46" s="4">
        <v>96</v>
      </c>
      <c r="R46" s="4">
        <v>52</v>
      </c>
      <c r="S46" s="14">
        <f t="shared" si="3"/>
        <v>676</v>
      </c>
      <c r="T46" s="14">
        <f t="shared" si="4"/>
        <v>56.333333333333336</v>
      </c>
      <c r="U46" s="20">
        <f t="shared" si="5"/>
        <v>40</v>
      </c>
    </row>
    <row r="47" spans="1:21" ht="18" customHeight="1">
      <c r="A47" s="19">
        <v>41</v>
      </c>
      <c r="B47" s="2" t="s">
        <v>267</v>
      </c>
      <c r="C47" s="1" t="s">
        <v>268</v>
      </c>
      <c r="D47" s="3" t="s">
        <v>269</v>
      </c>
      <c r="E47" s="1" t="s">
        <v>270</v>
      </c>
      <c r="F47" s="10" t="s">
        <v>107</v>
      </c>
      <c r="G47" s="2" t="s">
        <v>100</v>
      </c>
      <c r="H47" s="4">
        <v>100</v>
      </c>
      <c r="I47" s="4">
        <v>36</v>
      </c>
      <c r="J47" s="4">
        <v>56</v>
      </c>
      <c r="K47" s="4">
        <v>32</v>
      </c>
      <c r="L47" s="4">
        <v>36</v>
      </c>
      <c r="M47" s="4">
        <v>52</v>
      </c>
      <c r="N47" s="4">
        <v>72</v>
      </c>
      <c r="O47" s="4">
        <v>80</v>
      </c>
      <c r="P47" s="4">
        <v>76</v>
      </c>
      <c r="Q47" s="4">
        <v>100</v>
      </c>
      <c r="R47" s="4">
        <v>36</v>
      </c>
      <c r="S47" s="14">
        <f t="shared" si="3"/>
        <v>676</v>
      </c>
      <c r="T47" s="14">
        <f t="shared" si="4"/>
        <v>56.333333333333336</v>
      </c>
      <c r="U47" s="20">
        <f t="shared" si="5"/>
        <v>40</v>
      </c>
    </row>
    <row r="48" spans="1:21" ht="18" customHeight="1">
      <c r="A48" s="19">
        <v>42</v>
      </c>
      <c r="B48" s="2" t="s">
        <v>285</v>
      </c>
      <c r="C48" s="1" t="s">
        <v>286</v>
      </c>
      <c r="D48" s="3" t="s">
        <v>287</v>
      </c>
      <c r="E48" s="1" t="s">
        <v>90</v>
      </c>
      <c r="F48" s="10" t="s">
        <v>107</v>
      </c>
      <c r="G48" s="2" t="s">
        <v>101</v>
      </c>
      <c r="H48" s="4">
        <v>64</v>
      </c>
      <c r="I48" s="4">
        <v>52</v>
      </c>
      <c r="J48" s="4">
        <v>72</v>
      </c>
      <c r="K48" s="4">
        <v>24</v>
      </c>
      <c r="L48" s="4">
        <v>64</v>
      </c>
      <c r="M48" s="4">
        <v>60</v>
      </c>
      <c r="N48" s="4">
        <v>36</v>
      </c>
      <c r="O48" s="4">
        <v>100</v>
      </c>
      <c r="P48" s="4">
        <v>68</v>
      </c>
      <c r="Q48" s="4">
        <v>100</v>
      </c>
      <c r="R48" s="4">
        <v>36</v>
      </c>
      <c r="S48" s="14">
        <f t="shared" si="3"/>
        <v>676</v>
      </c>
      <c r="T48" s="14">
        <f t="shared" si="4"/>
        <v>56.333333333333336</v>
      </c>
      <c r="U48" s="20">
        <f t="shared" si="5"/>
        <v>40</v>
      </c>
    </row>
    <row r="49" spans="1:21" ht="18" customHeight="1">
      <c r="A49" s="19">
        <v>43</v>
      </c>
      <c r="B49" s="2" t="s">
        <v>158</v>
      </c>
      <c r="C49" s="1" t="s">
        <v>159</v>
      </c>
      <c r="D49" s="3" t="s">
        <v>160</v>
      </c>
      <c r="E49" s="1" t="s">
        <v>70</v>
      </c>
      <c r="F49" s="10" t="s">
        <v>107</v>
      </c>
      <c r="G49" s="2" t="s">
        <v>96</v>
      </c>
      <c r="H49" s="4">
        <v>76</v>
      </c>
      <c r="I49" s="4">
        <v>48</v>
      </c>
      <c r="J49" s="4">
        <v>76</v>
      </c>
      <c r="K49" s="4">
        <v>36</v>
      </c>
      <c r="L49" s="4">
        <v>36</v>
      </c>
      <c r="M49" s="4">
        <v>84</v>
      </c>
      <c r="N49" s="4">
        <v>60</v>
      </c>
      <c r="O49" s="4">
        <v>52</v>
      </c>
      <c r="P49" s="4">
        <v>68</v>
      </c>
      <c r="Q49" s="4">
        <v>93</v>
      </c>
      <c r="R49" s="4">
        <v>44</v>
      </c>
      <c r="S49" s="14">
        <f t="shared" si="3"/>
        <v>673</v>
      </c>
      <c r="T49" s="14">
        <f t="shared" si="4"/>
        <v>56.083333333333336</v>
      </c>
      <c r="U49" s="20">
        <f t="shared" si="5"/>
        <v>43</v>
      </c>
    </row>
    <row r="50" spans="1:21" ht="18" customHeight="1">
      <c r="A50" s="19">
        <v>44</v>
      </c>
      <c r="B50" s="2" t="s">
        <v>317</v>
      </c>
      <c r="C50" s="1" t="s">
        <v>318</v>
      </c>
      <c r="D50" s="3" t="s">
        <v>319</v>
      </c>
      <c r="E50" s="1" t="s">
        <v>67</v>
      </c>
      <c r="F50" s="10" t="s">
        <v>107</v>
      </c>
      <c r="G50" s="2" t="s">
        <v>102</v>
      </c>
      <c r="H50" s="4">
        <v>64</v>
      </c>
      <c r="I50" s="4">
        <v>48</v>
      </c>
      <c r="J50" s="4">
        <v>72</v>
      </c>
      <c r="K50" s="4">
        <v>32</v>
      </c>
      <c r="L50" s="4">
        <v>56</v>
      </c>
      <c r="M50" s="4">
        <v>52</v>
      </c>
      <c r="N50" s="4">
        <v>76</v>
      </c>
      <c r="O50" s="4">
        <v>56</v>
      </c>
      <c r="P50" s="4">
        <v>92</v>
      </c>
      <c r="Q50" s="4">
        <v>93</v>
      </c>
      <c r="R50" s="4">
        <v>28</v>
      </c>
      <c r="S50" s="14">
        <f t="shared" si="3"/>
        <v>669</v>
      </c>
      <c r="T50" s="14">
        <f t="shared" si="4"/>
        <v>55.75</v>
      </c>
      <c r="U50" s="20">
        <f t="shared" si="5"/>
        <v>44</v>
      </c>
    </row>
    <row r="51" spans="1:21" ht="18" customHeight="1">
      <c r="A51" s="19">
        <v>45</v>
      </c>
      <c r="B51" s="2" t="s">
        <v>187</v>
      </c>
      <c r="C51" s="1" t="s">
        <v>188</v>
      </c>
      <c r="D51" s="3" t="s">
        <v>189</v>
      </c>
      <c r="E51" s="1" t="s">
        <v>58</v>
      </c>
      <c r="F51" s="10" t="s">
        <v>107</v>
      </c>
      <c r="G51" s="2" t="s">
        <v>97</v>
      </c>
      <c r="H51" s="4">
        <v>84</v>
      </c>
      <c r="I51" s="4">
        <v>44</v>
      </c>
      <c r="J51" s="4">
        <v>48</v>
      </c>
      <c r="K51" s="4">
        <v>60</v>
      </c>
      <c r="L51" s="4">
        <v>52</v>
      </c>
      <c r="M51" s="4">
        <v>44</v>
      </c>
      <c r="N51" s="4">
        <v>72</v>
      </c>
      <c r="O51" s="4">
        <v>68</v>
      </c>
      <c r="P51" s="4">
        <v>68</v>
      </c>
      <c r="Q51" s="4">
        <v>100</v>
      </c>
      <c r="R51" s="4">
        <v>28</v>
      </c>
      <c r="S51" s="14">
        <f t="shared" si="3"/>
        <v>668</v>
      </c>
      <c r="T51" s="14">
        <f t="shared" si="4"/>
        <v>55.666666666666664</v>
      </c>
      <c r="U51" s="20">
        <f t="shared" si="5"/>
        <v>45</v>
      </c>
    </row>
    <row r="52" spans="1:21" ht="18" customHeight="1">
      <c r="A52" s="19">
        <v>46</v>
      </c>
      <c r="B52" s="2" t="s">
        <v>170</v>
      </c>
      <c r="C52" s="1" t="s">
        <v>171</v>
      </c>
      <c r="D52" s="3" t="s">
        <v>172</v>
      </c>
      <c r="E52" s="1" t="s">
        <v>57</v>
      </c>
      <c r="F52" s="10" t="s">
        <v>107</v>
      </c>
      <c r="G52" s="2" t="s">
        <v>97</v>
      </c>
      <c r="H52" s="4">
        <v>56</v>
      </c>
      <c r="I52" s="4">
        <v>48</v>
      </c>
      <c r="J52" s="4">
        <v>76</v>
      </c>
      <c r="K52" s="4">
        <v>52</v>
      </c>
      <c r="L52" s="4">
        <v>72</v>
      </c>
      <c r="M52" s="4">
        <v>60</v>
      </c>
      <c r="N52" s="4">
        <v>40</v>
      </c>
      <c r="O52" s="4">
        <v>68</v>
      </c>
      <c r="P52" s="4">
        <v>72</v>
      </c>
      <c r="Q52" s="4">
        <v>93</v>
      </c>
      <c r="R52" s="4">
        <v>28</v>
      </c>
      <c r="S52" s="14">
        <f t="shared" si="3"/>
        <v>665</v>
      </c>
      <c r="T52" s="14">
        <f t="shared" si="4"/>
        <v>55.416666666666664</v>
      </c>
      <c r="U52" s="20">
        <f t="shared" si="5"/>
        <v>46</v>
      </c>
    </row>
    <row r="53" spans="1:21" ht="18" customHeight="1">
      <c r="A53" s="19">
        <v>47</v>
      </c>
      <c r="B53" s="2" t="s">
        <v>196</v>
      </c>
      <c r="C53" s="1" t="s">
        <v>197</v>
      </c>
      <c r="D53" s="3" t="s">
        <v>92</v>
      </c>
      <c r="E53" s="1" t="s">
        <v>59</v>
      </c>
      <c r="F53" s="10" t="s">
        <v>107</v>
      </c>
      <c r="G53" s="2" t="s">
        <v>98</v>
      </c>
      <c r="H53" s="4">
        <v>44</v>
      </c>
      <c r="I53" s="4">
        <v>56</v>
      </c>
      <c r="J53" s="4">
        <v>64</v>
      </c>
      <c r="K53" s="4">
        <v>48</v>
      </c>
      <c r="L53" s="4">
        <v>48</v>
      </c>
      <c r="M53" s="4">
        <v>76</v>
      </c>
      <c r="N53" s="4">
        <v>56</v>
      </c>
      <c r="O53" s="4">
        <v>44</v>
      </c>
      <c r="P53" s="4">
        <v>88</v>
      </c>
      <c r="Q53" s="4">
        <v>89</v>
      </c>
      <c r="R53" s="4">
        <v>52</v>
      </c>
      <c r="S53" s="14">
        <f t="shared" si="3"/>
        <v>665</v>
      </c>
      <c r="T53" s="14">
        <f t="shared" si="4"/>
        <v>55.416666666666664</v>
      </c>
      <c r="U53" s="20">
        <f t="shared" si="5"/>
        <v>46</v>
      </c>
    </row>
    <row r="54" spans="1:21" ht="18" customHeight="1">
      <c r="A54" s="19">
        <v>48</v>
      </c>
      <c r="B54" s="2" t="s">
        <v>309</v>
      </c>
      <c r="C54" s="1" t="s">
        <v>310</v>
      </c>
      <c r="D54" s="3" t="s">
        <v>200</v>
      </c>
      <c r="E54" s="1" t="s">
        <v>66</v>
      </c>
      <c r="F54" s="10" t="s">
        <v>107</v>
      </c>
      <c r="G54" s="2" t="s">
        <v>102</v>
      </c>
      <c r="H54" s="4">
        <v>64</v>
      </c>
      <c r="I54" s="4">
        <v>76</v>
      </c>
      <c r="J54" s="4">
        <v>48</v>
      </c>
      <c r="K54" s="4">
        <v>52</v>
      </c>
      <c r="L54" s="4">
        <v>60</v>
      </c>
      <c r="M54" s="4">
        <v>32</v>
      </c>
      <c r="N54" s="4">
        <v>60</v>
      </c>
      <c r="O54" s="4">
        <v>68</v>
      </c>
      <c r="P54" s="4">
        <v>64</v>
      </c>
      <c r="Q54" s="4">
        <v>100</v>
      </c>
      <c r="R54" s="4">
        <v>32</v>
      </c>
      <c r="S54" s="14">
        <f t="shared" si="3"/>
        <v>656</v>
      </c>
      <c r="T54" s="14">
        <f t="shared" si="4"/>
        <v>54.666666666666664</v>
      </c>
      <c r="U54" s="20">
        <f t="shared" si="5"/>
        <v>48</v>
      </c>
    </row>
    <row r="55" spans="1:21" ht="18" customHeight="1">
      <c r="A55" s="19">
        <v>49</v>
      </c>
      <c r="B55" s="2" t="s">
        <v>227</v>
      </c>
      <c r="C55" s="1" t="s">
        <v>228</v>
      </c>
      <c r="D55" s="3" t="s">
        <v>93</v>
      </c>
      <c r="E55" s="1" t="s">
        <v>81</v>
      </c>
      <c r="F55" s="10" t="s">
        <v>107</v>
      </c>
      <c r="G55" s="2" t="s">
        <v>99</v>
      </c>
      <c r="H55" s="4">
        <v>80</v>
      </c>
      <c r="I55" s="4">
        <v>64</v>
      </c>
      <c r="J55" s="4">
        <v>52</v>
      </c>
      <c r="K55" s="4">
        <v>40</v>
      </c>
      <c r="L55" s="4">
        <v>24</v>
      </c>
      <c r="M55" s="4">
        <v>48</v>
      </c>
      <c r="N55" s="4">
        <v>56</v>
      </c>
      <c r="O55" s="4">
        <v>48</v>
      </c>
      <c r="P55" s="4">
        <v>80</v>
      </c>
      <c r="Q55" s="4">
        <v>96</v>
      </c>
      <c r="R55" s="4">
        <v>60</v>
      </c>
      <c r="S55" s="14">
        <f t="shared" si="3"/>
        <v>648</v>
      </c>
      <c r="T55" s="14">
        <f t="shared" si="4"/>
        <v>54</v>
      </c>
      <c r="U55" s="20">
        <f t="shared" si="5"/>
        <v>49</v>
      </c>
    </row>
    <row r="56" spans="1:21" ht="18" customHeight="1">
      <c r="A56" s="19">
        <v>50</v>
      </c>
      <c r="B56" s="2" t="s">
        <v>252</v>
      </c>
      <c r="C56" s="1" t="s">
        <v>253</v>
      </c>
      <c r="D56" s="3" t="s">
        <v>254</v>
      </c>
      <c r="E56" s="1" t="s">
        <v>84</v>
      </c>
      <c r="F56" s="10" t="s">
        <v>107</v>
      </c>
      <c r="G56" s="2" t="s">
        <v>100</v>
      </c>
      <c r="H56" s="4">
        <v>76</v>
      </c>
      <c r="I56" s="4">
        <v>68</v>
      </c>
      <c r="J56" s="4">
        <v>84</v>
      </c>
      <c r="K56" s="4">
        <v>32</v>
      </c>
      <c r="L56" s="4">
        <v>36</v>
      </c>
      <c r="M56" s="4">
        <v>88</v>
      </c>
      <c r="N56" s="4">
        <v>40</v>
      </c>
      <c r="O56" s="4">
        <v>44</v>
      </c>
      <c r="P56" s="4">
        <v>52</v>
      </c>
      <c r="Q56" s="4">
        <v>100</v>
      </c>
      <c r="R56" s="4">
        <v>20</v>
      </c>
      <c r="S56" s="14">
        <f t="shared" si="3"/>
        <v>640</v>
      </c>
      <c r="T56" s="14">
        <f t="shared" si="4"/>
        <v>53.333333333333336</v>
      </c>
      <c r="U56" s="20">
        <f t="shared" si="5"/>
        <v>50</v>
      </c>
    </row>
    <row r="57" spans="1:21" ht="18" customHeight="1">
      <c r="A57" s="19">
        <v>51</v>
      </c>
      <c r="B57" s="2" t="s">
        <v>179</v>
      </c>
      <c r="C57" s="1" t="s">
        <v>180</v>
      </c>
      <c r="D57" s="3" t="s">
        <v>91</v>
      </c>
      <c r="E57" s="1" t="s">
        <v>71</v>
      </c>
      <c r="F57" s="10" t="s">
        <v>107</v>
      </c>
      <c r="G57" s="2" t="s">
        <v>97</v>
      </c>
      <c r="H57" s="4">
        <v>40</v>
      </c>
      <c r="I57" s="4">
        <v>76</v>
      </c>
      <c r="J57" s="4">
        <v>82</v>
      </c>
      <c r="K57" s="4">
        <v>44</v>
      </c>
      <c r="L57" s="4">
        <v>32</v>
      </c>
      <c r="M57" s="4">
        <v>44</v>
      </c>
      <c r="N57" s="4">
        <v>28</v>
      </c>
      <c r="O57" s="4">
        <v>68</v>
      </c>
      <c r="P57" s="4">
        <v>72</v>
      </c>
      <c r="Q57" s="4">
        <v>100</v>
      </c>
      <c r="R57" s="4">
        <v>52</v>
      </c>
      <c r="S57" s="14">
        <f t="shared" si="3"/>
        <v>638</v>
      </c>
      <c r="T57" s="14">
        <f t="shared" si="4"/>
        <v>53.166666666666664</v>
      </c>
      <c r="U57" s="20">
        <f t="shared" si="5"/>
        <v>51</v>
      </c>
    </row>
    <row r="58" spans="1:21" ht="18" customHeight="1">
      <c r="A58" s="19">
        <v>52</v>
      </c>
      <c r="B58" s="2" t="s">
        <v>231</v>
      </c>
      <c r="C58" s="1" t="s">
        <v>232</v>
      </c>
      <c r="D58" s="3" t="s">
        <v>233</v>
      </c>
      <c r="E58" s="1" t="s">
        <v>81</v>
      </c>
      <c r="F58" s="10" t="s">
        <v>107</v>
      </c>
      <c r="G58" s="2" t="s">
        <v>99</v>
      </c>
      <c r="H58" s="4">
        <v>68</v>
      </c>
      <c r="I58" s="4">
        <v>60</v>
      </c>
      <c r="J58" s="4">
        <v>44</v>
      </c>
      <c r="K58" s="4">
        <v>48</v>
      </c>
      <c r="L58" s="4">
        <v>36</v>
      </c>
      <c r="M58" s="4">
        <v>48</v>
      </c>
      <c r="N58" s="4">
        <v>72</v>
      </c>
      <c r="O58" s="4">
        <v>68</v>
      </c>
      <c r="P58" s="4">
        <v>48</v>
      </c>
      <c r="Q58" s="4">
        <v>100</v>
      </c>
      <c r="R58" s="4">
        <v>40</v>
      </c>
      <c r="S58" s="14">
        <f t="shared" si="3"/>
        <v>632</v>
      </c>
      <c r="T58" s="14">
        <f t="shared" si="4"/>
        <v>52.666666666666664</v>
      </c>
      <c r="U58" s="20">
        <f t="shared" si="5"/>
        <v>52</v>
      </c>
    </row>
    <row r="59" spans="1:21" ht="18" customHeight="1">
      <c r="A59" s="19">
        <v>53</v>
      </c>
      <c r="B59" s="2" t="s">
        <v>323</v>
      </c>
      <c r="C59" s="1" t="s">
        <v>324</v>
      </c>
      <c r="D59" s="3" t="s">
        <v>325</v>
      </c>
      <c r="E59" s="1" t="s">
        <v>67</v>
      </c>
      <c r="F59" s="10" t="s">
        <v>107</v>
      </c>
      <c r="G59" s="2" t="s">
        <v>102</v>
      </c>
      <c r="H59" s="4">
        <v>64</v>
      </c>
      <c r="I59" s="4">
        <v>40</v>
      </c>
      <c r="J59" s="4">
        <v>88</v>
      </c>
      <c r="K59" s="4">
        <v>20</v>
      </c>
      <c r="L59" s="4">
        <v>44</v>
      </c>
      <c r="M59" s="4">
        <v>40</v>
      </c>
      <c r="N59" s="4">
        <v>56</v>
      </c>
      <c r="O59" s="4">
        <v>80</v>
      </c>
      <c r="P59" s="4">
        <v>76</v>
      </c>
      <c r="Q59" s="4">
        <v>100</v>
      </c>
      <c r="R59" s="4">
        <v>24</v>
      </c>
      <c r="S59" s="14">
        <f t="shared" si="3"/>
        <v>632</v>
      </c>
      <c r="T59" s="14">
        <f t="shared" si="4"/>
        <v>52.666666666666664</v>
      </c>
      <c r="U59" s="20">
        <f t="shared" si="5"/>
        <v>52</v>
      </c>
    </row>
    <row r="60" spans="1:21" ht="18" customHeight="1">
      <c r="A60" s="19">
        <v>54</v>
      </c>
      <c r="B60" s="2" t="s">
        <v>303</v>
      </c>
      <c r="C60" s="1" t="s">
        <v>304</v>
      </c>
      <c r="D60" s="3" t="s">
        <v>305</v>
      </c>
      <c r="E60" s="1" t="s">
        <v>82</v>
      </c>
      <c r="F60" s="10" t="s">
        <v>107</v>
      </c>
      <c r="G60" s="2" t="s">
        <v>101</v>
      </c>
      <c r="H60" s="4">
        <v>64</v>
      </c>
      <c r="I60" s="4">
        <v>44</v>
      </c>
      <c r="J60" s="4">
        <v>42</v>
      </c>
      <c r="K60" s="4">
        <v>48</v>
      </c>
      <c r="L60" s="4">
        <v>56</v>
      </c>
      <c r="M60" s="4">
        <v>44</v>
      </c>
      <c r="N60" s="4">
        <v>48</v>
      </c>
      <c r="O60" s="4">
        <v>72</v>
      </c>
      <c r="P60" s="4">
        <v>68</v>
      </c>
      <c r="Q60" s="4">
        <v>100</v>
      </c>
      <c r="R60" s="4">
        <v>44</v>
      </c>
      <c r="S60" s="14">
        <f t="shared" si="3"/>
        <v>630</v>
      </c>
      <c r="T60" s="14">
        <f t="shared" si="4"/>
        <v>52.5</v>
      </c>
      <c r="U60" s="20">
        <f t="shared" si="5"/>
        <v>54</v>
      </c>
    </row>
    <row r="61" spans="1:21" ht="18" customHeight="1">
      <c r="A61" s="19">
        <v>55</v>
      </c>
      <c r="B61" s="2" t="s">
        <v>291</v>
      </c>
      <c r="C61" s="1" t="s">
        <v>292</v>
      </c>
      <c r="D61" s="3" t="s">
        <v>293</v>
      </c>
      <c r="E61" s="1" t="s">
        <v>65</v>
      </c>
      <c r="F61" s="10" t="s">
        <v>107</v>
      </c>
      <c r="G61" s="2" t="s">
        <v>101</v>
      </c>
      <c r="H61" s="4">
        <v>76</v>
      </c>
      <c r="I61" s="4">
        <v>64</v>
      </c>
      <c r="J61" s="4">
        <v>76</v>
      </c>
      <c r="K61" s="4">
        <v>32</v>
      </c>
      <c r="L61" s="4">
        <v>40</v>
      </c>
      <c r="M61" s="4">
        <v>48</v>
      </c>
      <c r="N61" s="4">
        <v>56</v>
      </c>
      <c r="O61" s="4">
        <v>72</v>
      </c>
      <c r="P61" s="4">
        <v>48</v>
      </c>
      <c r="Q61" s="4">
        <v>75</v>
      </c>
      <c r="R61" s="4">
        <v>40</v>
      </c>
      <c r="S61" s="14">
        <f t="shared" si="3"/>
        <v>627</v>
      </c>
      <c r="T61" s="14">
        <f t="shared" si="4"/>
        <v>52.25</v>
      </c>
      <c r="U61" s="20">
        <f t="shared" si="5"/>
        <v>55</v>
      </c>
    </row>
    <row r="62" spans="1:21" ht="18" customHeight="1">
      <c r="A62" s="19">
        <v>56</v>
      </c>
      <c r="B62" s="2" t="s">
        <v>229</v>
      </c>
      <c r="C62" s="1">
        <v>4032100</v>
      </c>
      <c r="D62" s="3" t="s">
        <v>230</v>
      </c>
      <c r="E62" s="1" t="s">
        <v>81</v>
      </c>
      <c r="F62" s="10" t="s">
        <v>107</v>
      </c>
      <c r="G62" s="2" t="s">
        <v>99</v>
      </c>
      <c r="H62" s="4">
        <v>100</v>
      </c>
      <c r="I62" s="4">
        <v>60</v>
      </c>
      <c r="J62" s="4">
        <v>40</v>
      </c>
      <c r="K62" s="4">
        <v>36</v>
      </c>
      <c r="L62" s="4">
        <v>28</v>
      </c>
      <c r="M62" s="4">
        <v>64</v>
      </c>
      <c r="N62" s="4">
        <v>40</v>
      </c>
      <c r="O62" s="4">
        <v>40</v>
      </c>
      <c r="P62" s="4">
        <v>68</v>
      </c>
      <c r="Q62" s="4">
        <v>96</v>
      </c>
      <c r="R62" s="4">
        <v>44</v>
      </c>
      <c r="S62" s="14">
        <f t="shared" si="3"/>
        <v>616</v>
      </c>
      <c r="T62" s="14">
        <f t="shared" si="4"/>
        <v>51.333333333333336</v>
      </c>
      <c r="U62" s="20">
        <f t="shared" si="5"/>
        <v>56</v>
      </c>
    </row>
    <row r="63" spans="1:21" ht="18" customHeight="1">
      <c r="A63" s="19">
        <v>57</v>
      </c>
      <c r="B63" s="2" t="s">
        <v>288</v>
      </c>
      <c r="C63" s="1" t="s">
        <v>289</v>
      </c>
      <c r="D63" s="3" t="s">
        <v>290</v>
      </c>
      <c r="E63" s="1" t="s">
        <v>88</v>
      </c>
      <c r="F63" s="10" t="s">
        <v>107</v>
      </c>
      <c r="G63" s="2" t="s">
        <v>101</v>
      </c>
      <c r="H63" s="4">
        <v>68</v>
      </c>
      <c r="I63" s="4">
        <v>40</v>
      </c>
      <c r="J63" s="4">
        <v>52</v>
      </c>
      <c r="K63" s="4">
        <v>32</v>
      </c>
      <c r="L63" s="4">
        <v>32</v>
      </c>
      <c r="M63" s="4">
        <v>44</v>
      </c>
      <c r="N63" s="4">
        <v>56</v>
      </c>
      <c r="O63" s="4">
        <v>80</v>
      </c>
      <c r="P63" s="4">
        <v>68</v>
      </c>
      <c r="Q63" s="4">
        <v>100</v>
      </c>
      <c r="R63" s="4">
        <v>44</v>
      </c>
      <c r="S63" s="14">
        <f t="shared" si="3"/>
        <v>616</v>
      </c>
      <c r="T63" s="14">
        <f t="shared" si="4"/>
        <v>51.333333333333336</v>
      </c>
      <c r="U63" s="20">
        <f t="shared" si="5"/>
        <v>56</v>
      </c>
    </row>
    <row r="64" spans="1:21" ht="18" customHeight="1">
      <c r="A64" s="19">
        <v>58</v>
      </c>
      <c r="B64" s="2" t="s">
        <v>297</v>
      </c>
      <c r="C64" s="1" t="s">
        <v>298</v>
      </c>
      <c r="D64" s="3" t="s">
        <v>299</v>
      </c>
      <c r="E64" s="1" t="s">
        <v>65</v>
      </c>
      <c r="F64" s="10" t="s">
        <v>107</v>
      </c>
      <c r="G64" s="2" t="s">
        <v>101</v>
      </c>
      <c r="H64" s="4">
        <v>60</v>
      </c>
      <c r="I64" s="4">
        <v>20</v>
      </c>
      <c r="J64" s="4">
        <v>56</v>
      </c>
      <c r="K64" s="4">
        <v>32</v>
      </c>
      <c r="L64" s="4">
        <v>72</v>
      </c>
      <c r="M64" s="4">
        <v>48</v>
      </c>
      <c r="N64" s="4">
        <v>36</v>
      </c>
      <c r="O64" s="4">
        <v>72</v>
      </c>
      <c r="P64" s="4">
        <v>72</v>
      </c>
      <c r="Q64" s="4">
        <v>100</v>
      </c>
      <c r="R64" s="4">
        <v>48</v>
      </c>
      <c r="S64" s="14">
        <f t="shared" si="3"/>
        <v>616</v>
      </c>
      <c r="T64" s="14">
        <f t="shared" si="4"/>
        <v>51.333333333333336</v>
      </c>
      <c r="U64" s="20">
        <f t="shared" si="5"/>
        <v>56</v>
      </c>
    </row>
    <row r="65" spans="1:21" ht="18" customHeight="1">
      <c r="A65" s="19">
        <v>59</v>
      </c>
      <c r="B65" s="2" t="s">
        <v>161</v>
      </c>
      <c r="C65" s="1" t="s">
        <v>162</v>
      </c>
      <c r="D65" s="3" t="s">
        <v>163</v>
      </c>
      <c r="E65" s="1" t="s">
        <v>57</v>
      </c>
      <c r="F65" s="10" t="s">
        <v>107</v>
      </c>
      <c r="G65" s="2" t="s">
        <v>97</v>
      </c>
      <c r="H65" s="4">
        <v>60</v>
      </c>
      <c r="I65" s="4">
        <v>28</v>
      </c>
      <c r="J65" s="4">
        <v>68</v>
      </c>
      <c r="K65" s="4">
        <v>28</v>
      </c>
      <c r="L65" s="4">
        <v>40</v>
      </c>
      <c r="M65" s="4">
        <v>56</v>
      </c>
      <c r="N65" s="4">
        <v>36</v>
      </c>
      <c r="O65" s="4">
        <v>84</v>
      </c>
      <c r="P65" s="4">
        <v>72</v>
      </c>
      <c r="Q65" s="4">
        <v>96</v>
      </c>
      <c r="R65" s="4">
        <v>44</v>
      </c>
      <c r="S65" s="14">
        <f t="shared" si="3"/>
        <v>612</v>
      </c>
      <c r="T65" s="14">
        <f t="shared" si="4"/>
        <v>51</v>
      </c>
      <c r="U65" s="20">
        <f t="shared" si="5"/>
        <v>59</v>
      </c>
    </row>
    <row r="66" spans="1:21" ht="18" customHeight="1">
      <c r="A66" s="19">
        <v>60</v>
      </c>
      <c r="B66" s="2" t="s">
        <v>138</v>
      </c>
      <c r="C66" s="1" t="s">
        <v>139</v>
      </c>
      <c r="D66" s="3" t="s">
        <v>140</v>
      </c>
      <c r="E66" s="1" t="s">
        <v>55</v>
      </c>
      <c r="F66" s="10" t="s">
        <v>107</v>
      </c>
      <c r="G66" s="2" t="s">
        <v>96</v>
      </c>
      <c r="H66" s="4">
        <v>72</v>
      </c>
      <c r="I66" s="4">
        <v>48</v>
      </c>
      <c r="J66" s="4">
        <v>56</v>
      </c>
      <c r="K66" s="4">
        <v>32</v>
      </c>
      <c r="L66" s="4">
        <v>48</v>
      </c>
      <c r="M66" s="4">
        <v>52</v>
      </c>
      <c r="N66" s="4">
        <v>60</v>
      </c>
      <c r="O66" s="4">
        <v>56</v>
      </c>
      <c r="P66" s="4">
        <v>60</v>
      </c>
      <c r="Q66" s="4">
        <v>93</v>
      </c>
      <c r="R66" s="4">
        <v>28</v>
      </c>
      <c r="S66" s="14">
        <f t="shared" si="3"/>
        <v>605</v>
      </c>
      <c r="T66" s="14">
        <f t="shared" si="4"/>
        <v>50.416666666666664</v>
      </c>
      <c r="U66" s="20">
        <f t="shared" si="5"/>
        <v>60</v>
      </c>
    </row>
    <row r="67" spans="1:21" ht="18" customHeight="1">
      <c r="A67" s="19">
        <v>61</v>
      </c>
      <c r="B67" s="2" t="s">
        <v>255</v>
      </c>
      <c r="C67" s="1" t="s">
        <v>256</v>
      </c>
      <c r="D67" s="3" t="s">
        <v>257</v>
      </c>
      <c r="E67" s="1" t="s">
        <v>63</v>
      </c>
      <c r="F67" s="10" t="s">
        <v>107</v>
      </c>
      <c r="G67" s="2" t="s">
        <v>100</v>
      </c>
      <c r="H67" s="4">
        <v>68</v>
      </c>
      <c r="I67" s="4">
        <v>52</v>
      </c>
      <c r="J67" s="4">
        <v>52</v>
      </c>
      <c r="K67" s="4">
        <v>24</v>
      </c>
      <c r="L67" s="4">
        <v>52</v>
      </c>
      <c r="M67" s="4">
        <v>44</v>
      </c>
      <c r="N67" s="4">
        <v>36</v>
      </c>
      <c r="O67" s="4">
        <v>56</v>
      </c>
      <c r="P67" s="4">
        <v>80</v>
      </c>
      <c r="Q67" s="4">
        <v>100</v>
      </c>
      <c r="R67" s="4">
        <v>40</v>
      </c>
      <c r="S67" s="14">
        <f t="shared" si="3"/>
        <v>604</v>
      </c>
      <c r="T67" s="14">
        <f t="shared" si="4"/>
        <v>50.333333333333336</v>
      </c>
      <c r="U67" s="20">
        <f t="shared" si="5"/>
        <v>61</v>
      </c>
    </row>
    <row r="68" spans="1:21" ht="18" customHeight="1">
      <c r="A68" s="19">
        <v>62</v>
      </c>
      <c r="B68" s="2" t="s">
        <v>306</v>
      </c>
      <c r="C68" s="1" t="s">
        <v>307</v>
      </c>
      <c r="D68" s="3" t="s">
        <v>308</v>
      </c>
      <c r="E68" s="1" t="s">
        <v>82</v>
      </c>
      <c r="F68" s="10" t="s">
        <v>107</v>
      </c>
      <c r="G68" s="2" t="s">
        <v>101</v>
      </c>
      <c r="H68" s="4">
        <v>80</v>
      </c>
      <c r="I68" s="4">
        <v>36</v>
      </c>
      <c r="J68" s="4">
        <v>48</v>
      </c>
      <c r="K68" s="4">
        <v>32</v>
      </c>
      <c r="L68" s="4">
        <v>40</v>
      </c>
      <c r="M68" s="4">
        <v>32</v>
      </c>
      <c r="N68" s="4">
        <v>56</v>
      </c>
      <c r="O68" s="4">
        <v>44</v>
      </c>
      <c r="P68" s="4">
        <v>76</v>
      </c>
      <c r="Q68" s="4">
        <v>100</v>
      </c>
      <c r="R68" s="4">
        <v>56</v>
      </c>
      <c r="S68" s="14">
        <f t="shared" si="3"/>
        <v>600</v>
      </c>
      <c r="T68" s="14">
        <f t="shared" si="4"/>
        <v>50</v>
      </c>
      <c r="U68" s="20">
        <f t="shared" si="5"/>
        <v>62</v>
      </c>
    </row>
    <row r="69" spans="1:21" ht="18" customHeight="1">
      <c r="A69" s="19">
        <v>63</v>
      </c>
      <c r="B69" s="2" t="s">
        <v>320</v>
      </c>
      <c r="C69" s="1" t="s">
        <v>321</v>
      </c>
      <c r="D69" s="3" t="s">
        <v>322</v>
      </c>
      <c r="E69" s="1" t="s">
        <v>67</v>
      </c>
      <c r="F69" s="10" t="s">
        <v>107</v>
      </c>
      <c r="G69" s="2" t="s">
        <v>102</v>
      </c>
      <c r="H69" s="4">
        <v>80</v>
      </c>
      <c r="I69" s="4">
        <v>72</v>
      </c>
      <c r="J69" s="4">
        <v>76</v>
      </c>
      <c r="K69" s="4">
        <v>16</v>
      </c>
      <c r="L69" s="4">
        <v>36</v>
      </c>
      <c r="M69" s="4">
        <v>60</v>
      </c>
      <c r="N69" s="4">
        <v>40</v>
      </c>
      <c r="O69" s="4">
        <v>44</v>
      </c>
      <c r="P69" s="4">
        <v>48</v>
      </c>
      <c r="Q69" s="4">
        <v>96</v>
      </c>
      <c r="R69" s="4">
        <v>24</v>
      </c>
      <c r="S69" s="14">
        <f t="shared" si="3"/>
        <v>592</v>
      </c>
      <c r="T69" s="14">
        <f t="shared" si="4"/>
        <v>49.333333333333336</v>
      </c>
      <c r="U69" s="20">
        <f t="shared" si="5"/>
        <v>63</v>
      </c>
    </row>
    <row r="70" spans="1:21" ht="18" customHeight="1">
      <c r="A70" s="19">
        <v>64</v>
      </c>
      <c r="B70" s="2" t="s">
        <v>224</v>
      </c>
      <c r="C70" s="1" t="s">
        <v>225</v>
      </c>
      <c r="D70" s="3" t="s">
        <v>226</v>
      </c>
      <c r="E70" s="1" t="s">
        <v>81</v>
      </c>
      <c r="F70" s="10" t="s">
        <v>107</v>
      </c>
      <c r="G70" s="2" t="s">
        <v>99</v>
      </c>
      <c r="H70" s="4">
        <v>76</v>
      </c>
      <c r="I70" s="4">
        <v>60</v>
      </c>
      <c r="J70" s="4">
        <v>60</v>
      </c>
      <c r="K70" s="4">
        <v>32</v>
      </c>
      <c r="L70" s="4">
        <v>40</v>
      </c>
      <c r="M70" s="4">
        <v>40</v>
      </c>
      <c r="N70" s="4">
        <v>24</v>
      </c>
      <c r="O70" s="4">
        <v>76</v>
      </c>
      <c r="P70" s="4">
        <v>56</v>
      </c>
      <c r="Q70" s="4">
        <v>96</v>
      </c>
      <c r="R70" s="4">
        <v>28</v>
      </c>
      <c r="S70" s="14">
        <f t="shared" si="3"/>
        <v>588</v>
      </c>
      <c r="T70" s="14">
        <f t="shared" si="4"/>
        <v>49</v>
      </c>
      <c r="U70" s="20">
        <f t="shared" si="5"/>
        <v>64</v>
      </c>
    </row>
    <row r="71" spans="1:21" ht="18" customHeight="1">
      <c r="A71" s="19">
        <v>65</v>
      </c>
      <c r="B71" s="2" t="s">
        <v>294</v>
      </c>
      <c r="C71" s="1" t="s">
        <v>295</v>
      </c>
      <c r="D71" s="3" t="s">
        <v>296</v>
      </c>
      <c r="E71" s="1" t="s">
        <v>65</v>
      </c>
      <c r="F71" s="10" t="s">
        <v>107</v>
      </c>
      <c r="G71" s="2" t="s">
        <v>101</v>
      </c>
      <c r="H71" s="4">
        <v>40</v>
      </c>
      <c r="I71" s="4">
        <v>64</v>
      </c>
      <c r="J71" s="4">
        <v>84</v>
      </c>
      <c r="K71" s="4">
        <v>32</v>
      </c>
      <c r="L71" s="4">
        <v>32</v>
      </c>
      <c r="M71" s="4">
        <v>80</v>
      </c>
      <c r="N71" s="4">
        <v>32</v>
      </c>
      <c r="O71" s="4">
        <v>56</v>
      </c>
      <c r="P71" s="4">
        <v>52</v>
      </c>
      <c r="Q71" s="4">
        <v>100</v>
      </c>
      <c r="R71" s="4">
        <v>16</v>
      </c>
      <c r="S71" s="14">
        <f t="shared" ref="S71:S89" si="6">SUBTOTAL(9,H71:R71)</f>
        <v>588</v>
      </c>
      <c r="T71" s="14">
        <f t="shared" ref="T71:T89" si="7">S71/12</f>
        <v>49</v>
      </c>
      <c r="U71" s="20">
        <f t="shared" ref="U71:U89" si="8">RANK(T71,T$7:T$89,0)</f>
        <v>64</v>
      </c>
    </row>
    <row r="72" spans="1:21" ht="18" customHeight="1">
      <c r="A72" s="19">
        <v>66</v>
      </c>
      <c r="B72" s="2" t="s">
        <v>283</v>
      </c>
      <c r="C72" s="1" t="s">
        <v>284</v>
      </c>
      <c r="D72" s="3" t="s">
        <v>83</v>
      </c>
      <c r="E72" s="1" t="s">
        <v>90</v>
      </c>
      <c r="F72" s="10" t="s">
        <v>107</v>
      </c>
      <c r="G72" s="2" t="s">
        <v>101</v>
      </c>
      <c r="H72" s="4">
        <v>72</v>
      </c>
      <c r="I72" s="4">
        <v>24</v>
      </c>
      <c r="J72" s="4">
        <v>72</v>
      </c>
      <c r="K72" s="4">
        <v>36</v>
      </c>
      <c r="L72" s="4">
        <v>36</v>
      </c>
      <c r="M72" s="4">
        <v>80</v>
      </c>
      <c r="N72" s="4">
        <v>56</v>
      </c>
      <c r="O72" s="4">
        <v>36</v>
      </c>
      <c r="P72" s="4">
        <v>44</v>
      </c>
      <c r="Q72" s="4">
        <v>75</v>
      </c>
      <c r="R72" s="4">
        <v>56</v>
      </c>
      <c r="S72" s="14">
        <f t="shared" si="6"/>
        <v>587</v>
      </c>
      <c r="T72" s="14">
        <f t="shared" si="7"/>
        <v>48.916666666666664</v>
      </c>
      <c r="U72" s="20">
        <f t="shared" si="8"/>
        <v>66</v>
      </c>
    </row>
    <row r="73" spans="1:21" ht="18" customHeight="1">
      <c r="A73" s="19">
        <v>67</v>
      </c>
      <c r="B73" s="2" t="s">
        <v>147</v>
      </c>
      <c r="C73" s="1" t="s">
        <v>148</v>
      </c>
      <c r="D73" s="3" t="s">
        <v>149</v>
      </c>
      <c r="E73" s="1" t="s">
        <v>79</v>
      </c>
      <c r="F73" s="10" t="s">
        <v>107</v>
      </c>
      <c r="G73" s="2" t="s">
        <v>96</v>
      </c>
      <c r="H73" s="4">
        <v>52</v>
      </c>
      <c r="I73" s="4">
        <v>32</v>
      </c>
      <c r="J73" s="4">
        <v>68</v>
      </c>
      <c r="K73" s="4">
        <v>20</v>
      </c>
      <c r="L73" s="4">
        <v>44</v>
      </c>
      <c r="M73" s="4">
        <v>36</v>
      </c>
      <c r="N73" s="4">
        <v>68</v>
      </c>
      <c r="O73" s="4">
        <v>60</v>
      </c>
      <c r="P73" s="4">
        <v>68</v>
      </c>
      <c r="Q73" s="4">
        <v>100</v>
      </c>
      <c r="R73" s="4">
        <v>32</v>
      </c>
      <c r="S73" s="14">
        <f t="shared" si="6"/>
        <v>580</v>
      </c>
      <c r="T73" s="14">
        <f t="shared" si="7"/>
        <v>48.333333333333336</v>
      </c>
      <c r="U73" s="20">
        <f t="shared" si="8"/>
        <v>67</v>
      </c>
    </row>
    <row r="74" spans="1:21" ht="18" customHeight="1">
      <c r="A74" s="19">
        <v>68</v>
      </c>
      <c r="B74" s="2" t="s">
        <v>193</v>
      </c>
      <c r="C74" s="1" t="s">
        <v>194</v>
      </c>
      <c r="D74" s="3" t="s">
        <v>195</v>
      </c>
      <c r="E74" s="1" t="s">
        <v>59</v>
      </c>
      <c r="F74" s="10" t="s">
        <v>107</v>
      </c>
      <c r="G74" s="2" t="s">
        <v>98</v>
      </c>
      <c r="H74" s="4">
        <v>64</v>
      </c>
      <c r="I74" s="4">
        <v>60</v>
      </c>
      <c r="J74" s="4">
        <v>44</v>
      </c>
      <c r="K74" s="4">
        <v>36</v>
      </c>
      <c r="L74" s="4">
        <v>32</v>
      </c>
      <c r="M74" s="4">
        <v>84</v>
      </c>
      <c r="N74" s="4">
        <v>44</v>
      </c>
      <c r="O74" s="4">
        <v>36</v>
      </c>
      <c r="P74" s="4">
        <v>68</v>
      </c>
      <c r="Q74" s="4">
        <v>75</v>
      </c>
      <c r="R74" s="4">
        <v>32</v>
      </c>
      <c r="S74" s="14">
        <f t="shared" si="6"/>
        <v>575</v>
      </c>
      <c r="T74" s="14">
        <f t="shared" si="7"/>
        <v>47.916666666666664</v>
      </c>
      <c r="U74" s="20">
        <f t="shared" si="8"/>
        <v>68</v>
      </c>
    </row>
    <row r="75" spans="1:21" ht="18" customHeight="1">
      <c r="A75" s="19">
        <v>69</v>
      </c>
      <c r="B75" s="2" t="s">
        <v>132</v>
      </c>
      <c r="C75" s="1" t="s">
        <v>133</v>
      </c>
      <c r="D75" s="3" t="s">
        <v>134</v>
      </c>
      <c r="E75" s="1" t="s">
        <v>69</v>
      </c>
      <c r="F75" s="10" t="s">
        <v>107</v>
      </c>
      <c r="G75" s="2" t="s">
        <v>96</v>
      </c>
      <c r="H75" s="4">
        <v>52</v>
      </c>
      <c r="I75" s="4">
        <v>52</v>
      </c>
      <c r="J75" s="4">
        <v>60</v>
      </c>
      <c r="K75" s="4">
        <v>40</v>
      </c>
      <c r="L75" s="4">
        <v>44</v>
      </c>
      <c r="M75" s="4">
        <v>28</v>
      </c>
      <c r="N75" s="4">
        <v>44</v>
      </c>
      <c r="O75" s="4">
        <v>68</v>
      </c>
      <c r="P75" s="4">
        <v>52.199999999999996</v>
      </c>
      <c r="Q75" s="4">
        <v>96</v>
      </c>
      <c r="R75" s="4">
        <v>36</v>
      </c>
      <c r="S75" s="14">
        <f t="shared" si="6"/>
        <v>572.20000000000005</v>
      </c>
      <c r="T75" s="14">
        <f t="shared" si="7"/>
        <v>47.683333333333337</v>
      </c>
      <c r="U75" s="20">
        <f t="shared" si="8"/>
        <v>69</v>
      </c>
    </row>
    <row r="76" spans="1:21" ht="18" customHeight="1">
      <c r="A76" s="19">
        <v>70</v>
      </c>
      <c r="B76" s="2" t="s">
        <v>337</v>
      </c>
      <c r="C76" s="1" t="s">
        <v>338</v>
      </c>
      <c r="D76" s="3" t="s">
        <v>339</v>
      </c>
      <c r="E76" s="1" t="s">
        <v>85</v>
      </c>
      <c r="F76" s="10" t="s">
        <v>107</v>
      </c>
      <c r="G76" s="2" t="s">
        <v>102</v>
      </c>
      <c r="H76" s="4">
        <v>52</v>
      </c>
      <c r="I76" s="4">
        <v>52</v>
      </c>
      <c r="J76" s="4">
        <v>68</v>
      </c>
      <c r="K76" s="4">
        <v>36</v>
      </c>
      <c r="L76" s="4">
        <v>32</v>
      </c>
      <c r="M76" s="4">
        <v>44</v>
      </c>
      <c r="N76" s="4">
        <v>28</v>
      </c>
      <c r="O76" s="4">
        <v>48</v>
      </c>
      <c r="P76" s="4">
        <v>72</v>
      </c>
      <c r="Q76" s="4">
        <v>100</v>
      </c>
      <c r="R76" s="4">
        <v>24</v>
      </c>
      <c r="S76" s="14">
        <f t="shared" si="6"/>
        <v>556</v>
      </c>
      <c r="T76" s="14">
        <f t="shared" si="7"/>
        <v>46.333333333333336</v>
      </c>
      <c r="U76" s="20">
        <f t="shared" si="8"/>
        <v>70</v>
      </c>
    </row>
    <row r="77" spans="1:21" ht="18" customHeight="1">
      <c r="A77" s="19">
        <v>71</v>
      </c>
      <c r="B77" s="2" t="s">
        <v>326</v>
      </c>
      <c r="C77" s="1" t="s">
        <v>327</v>
      </c>
      <c r="D77" s="3" t="s">
        <v>328</v>
      </c>
      <c r="E77" s="1" t="s">
        <v>67</v>
      </c>
      <c r="F77" s="10" t="s">
        <v>107</v>
      </c>
      <c r="G77" s="2" t="s">
        <v>102</v>
      </c>
      <c r="H77" s="4">
        <v>60</v>
      </c>
      <c r="I77" s="4">
        <v>44</v>
      </c>
      <c r="J77" s="4">
        <v>56</v>
      </c>
      <c r="K77" s="4">
        <v>24</v>
      </c>
      <c r="L77" s="4">
        <v>44</v>
      </c>
      <c r="M77" s="4">
        <v>32</v>
      </c>
      <c r="N77" s="4">
        <v>52</v>
      </c>
      <c r="O77" s="4">
        <v>72</v>
      </c>
      <c r="P77" s="4">
        <v>56</v>
      </c>
      <c r="Q77" s="4">
        <v>86</v>
      </c>
      <c r="R77" s="4">
        <v>16</v>
      </c>
      <c r="S77" s="14">
        <f t="shared" si="6"/>
        <v>542</v>
      </c>
      <c r="T77" s="14">
        <f t="shared" si="7"/>
        <v>45.166666666666664</v>
      </c>
      <c r="U77" s="20">
        <f t="shared" si="8"/>
        <v>71</v>
      </c>
    </row>
    <row r="78" spans="1:21" ht="18" customHeight="1">
      <c r="A78" s="19">
        <v>72</v>
      </c>
      <c r="B78" s="2" t="s">
        <v>115</v>
      </c>
      <c r="C78" s="1" t="s">
        <v>116</v>
      </c>
      <c r="D78" s="3" t="s">
        <v>117</v>
      </c>
      <c r="E78" s="1" t="s">
        <v>69</v>
      </c>
      <c r="F78" s="10" t="s">
        <v>107</v>
      </c>
      <c r="G78" s="2" t="s">
        <v>95</v>
      </c>
      <c r="H78" s="4">
        <v>36</v>
      </c>
      <c r="I78" s="4">
        <v>40</v>
      </c>
      <c r="J78" s="4">
        <v>48</v>
      </c>
      <c r="K78" s="4">
        <v>48</v>
      </c>
      <c r="L78" s="4">
        <v>12</v>
      </c>
      <c r="M78" s="4">
        <v>48</v>
      </c>
      <c r="N78" s="4">
        <v>36</v>
      </c>
      <c r="O78" s="4">
        <v>48</v>
      </c>
      <c r="P78" s="4">
        <v>68</v>
      </c>
      <c r="Q78" s="4">
        <v>96</v>
      </c>
      <c r="R78" s="4">
        <v>32</v>
      </c>
      <c r="S78" s="14">
        <f t="shared" si="6"/>
        <v>512</v>
      </c>
      <c r="T78" s="14">
        <f t="shared" si="7"/>
        <v>42.666666666666664</v>
      </c>
      <c r="U78" s="20">
        <f t="shared" si="8"/>
        <v>72</v>
      </c>
    </row>
    <row r="79" spans="1:21" ht="18" customHeight="1">
      <c r="A79" s="19">
        <v>73</v>
      </c>
      <c r="B79" s="2" t="s">
        <v>335</v>
      </c>
      <c r="C79" s="1">
        <v>3931744</v>
      </c>
      <c r="D79" s="3" t="s">
        <v>336</v>
      </c>
      <c r="E79" s="1" t="s">
        <v>68</v>
      </c>
      <c r="F79" s="10" t="s">
        <v>107</v>
      </c>
      <c r="G79" s="2" t="s">
        <v>102</v>
      </c>
      <c r="H79" s="4">
        <v>24</v>
      </c>
      <c r="I79" s="4">
        <v>56</v>
      </c>
      <c r="J79" s="4">
        <v>60</v>
      </c>
      <c r="K79" s="4">
        <v>36</v>
      </c>
      <c r="L79" s="4">
        <v>20</v>
      </c>
      <c r="M79" s="4">
        <v>28</v>
      </c>
      <c r="N79" s="4">
        <v>32</v>
      </c>
      <c r="O79" s="4">
        <v>52</v>
      </c>
      <c r="P79" s="4">
        <v>64</v>
      </c>
      <c r="Q79" s="4">
        <v>96</v>
      </c>
      <c r="R79" s="4">
        <v>40</v>
      </c>
      <c r="S79" s="14">
        <f t="shared" si="6"/>
        <v>508</v>
      </c>
      <c r="T79" s="14">
        <f t="shared" si="7"/>
        <v>42.333333333333336</v>
      </c>
      <c r="U79" s="20">
        <f t="shared" si="8"/>
        <v>73</v>
      </c>
    </row>
    <row r="80" spans="1:21" ht="18" customHeight="1">
      <c r="A80" s="19">
        <v>74</v>
      </c>
      <c r="B80" s="2" t="s">
        <v>104</v>
      </c>
      <c r="C80" s="1" t="s">
        <v>105</v>
      </c>
      <c r="D80" s="3" t="s">
        <v>106</v>
      </c>
      <c r="E80" s="1" t="s">
        <v>56</v>
      </c>
      <c r="F80" s="10" t="s">
        <v>107</v>
      </c>
      <c r="G80" s="2" t="s">
        <v>95</v>
      </c>
      <c r="H80" s="4">
        <v>92</v>
      </c>
      <c r="I80" s="4">
        <v>24</v>
      </c>
      <c r="J80" s="4">
        <v>40</v>
      </c>
      <c r="K80" s="4">
        <v>48</v>
      </c>
      <c r="L80" s="4">
        <v>28</v>
      </c>
      <c r="M80" s="4">
        <v>24</v>
      </c>
      <c r="N80" s="4">
        <v>16</v>
      </c>
      <c r="O80" s="4">
        <v>16</v>
      </c>
      <c r="P80" s="4">
        <v>80</v>
      </c>
      <c r="Q80" s="4">
        <v>100</v>
      </c>
      <c r="R80" s="4">
        <v>24</v>
      </c>
      <c r="S80" s="14">
        <f t="shared" si="6"/>
        <v>492</v>
      </c>
      <c r="T80" s="14">
        <f t="shared" si="7"/>
        <v>41</v>
      </c>
      <c r="U80" s="20">
        <f t="shared" si="8"/>
        <v>74</v>
      </c>
    </row>
    <row r="81" spans="1:21" ht="18" customHeight="1">
      <c r="A81" s="19">
        <v>75</v>
      </c>
      <c r="B81" s="2" t="s">
        <v>258</v>
      </c>
      <c r="C81" s="1" t="s">
        <v>259</v>
      </c>
      <c r="D81" s="3" t="s">
        <v>260</v>
      </c>
      <c r="E81" s="1" t="s">
        <v>74</v>
      </c>
      <c r="F81" s="10" t="s">
        <v>107</v>
      </c>
      <c r="G81" s="2" t="s">
        <v>100</v>
      </c>
      <c r="H81" s="4">
        <v>60</v>
      </c>
      <c r="I81" s="4">
        <v>12</v>
      </c>
      <c r="J81" s="4">
        <v>48</v>
      </c>
      <c r="K81" s="4">
        <v>52</v>
      </c>
      <c r="L81" s="4">
        <v>56</v>
      </c>
      <c r="M81" s="4">
        <v>0</v>
      </c>
      <c r="N81" s="4">
        <v>36</v>
      </c>
      <c r="O81" s="4">
        <v>52</v>
      </c>
      <c r="P81" s="4">
        <v>64</v>
      </c>
      <c r="Q81" s="4">
        <v>100</v>
      </c>
      <c r="R81" s="4">
        <v>8</v>
      </c>
      <c r="S81" s="14">
        <f t="shared" si="6"/>
        <v>488</v>
      </c>
      <c r="T81" s="14">
        <f t="shared" si="7"/>
        <v>40.666666666666664</v>
      </c>
      <c r="U81" s="20">
        <f t="shared" si="8"/>
        <v>75</v>
      </c>
    </row>
    <row r="82" spans="1:21" ht="18" customHeight="1">
      <c r="A82" s="19">
        <v>76</v>
      </c>
      <c r="B82" s="2" t="s">
        <v>110</v>
      </c>
      <c r="C82" s="1" t="s">
        <v>111</v>
      </c>
      <c r="D82" s="3" t="s">
        <v>112</v>
      </c>
      <c r="E82" s="1" t="s">
        <v>81</v>
      </c>
      <c r="F82" s="10" t="s">
        <v>107</v>
      </c>
      <c r="G82" s="2" t="s">
        <v>95</v>
      </c>
      <c r="H82" s="4">
        <v>32</v>
      </c>
      <c r="I82" s="4">
        <v>32</v>
      </c>
      <c r="J82" s="4">
        <v>68</v>
      </c>
      <c r="K82" s="4">
        <v>28</v>
      </c>
      <c r="L82" s="4">
        <v>36</v>
      </c>
      <c r="M82" s="4">
        <v>72</v>
      </c>
      <c r="N82" s="4">
        <v>16</v>
      </c>
      <c r="O82" s="4">
        <v>24</v>
      </c>
      <c r="P82" s="4">
        <v>76</v>
      </c>
      <c r="Q82" s="4">
        <v>86</v>
      </c>
      <c r="R82" s="4">
        <v>0</v>
      </c>
      <c r="S82" s="14">
        <f t="shared" si="6"/>
        <v>470</v>
      </c>
      <c r="T82" s="14">
        <f t="shared" si="7"/>
        <v>39.166666666666664</v>
      </c>
      <c r="U82" s="20">
        <f t="shared" si="8"/>
        <v>76</v>
      </c>
    </row>
    <row r="83" spans="1:21" ht="18" customHeight="1">
      <c r="A83" s="19">
        <v>77</v>
      </c>
      <c r="B83" s="2" t="s">
        <v>108</v>
      </c>
      <c r="C83" s="1">
        <v>3932110</v>
      </c>
      <c r="D83" s="3" t="s">
        <v>109</v>
      </c>
      <c r="E83" s="1" t="s">
        <v>80</v>
      </c>
      <c r="F83" s="10" t="s">
        <v>107</v>
      </c>
      <c r="G83" s="2" t="s">
        <v>95</v>
      </c>
      <c r="H83" s="4">
        <v>28</v>
      </c>
      <c r="I83" s="4">
        <v>16</v>
      </c>
      <c r="J83" s="4">
        <v>56</v>
      </c>
      <c r="K83" s="4">
        <v>20</v>
      </c>
      <c r="L83" s="4">
        <v>36</v>
      </c>
      <c r="M83" s="4">
        <v>44</v>
      </c>
      <c r="N83" s="4">
        <v>68</v>
      </c>
      <c r="O83" s="4">
        <v>32</v>
      </c>
      <c r="P83" s="4">
        <v>68</v>
      </c>
      <c r="Q83" s="4">
        <v>93</v>
      </c>
      <c r="R83" s="4">
        <v>8</v>
      </c>
      <c r="S83" s="14">
        <f t="shared" si="6"/>
        <v>469</v>
      </c>
      <c r="T83" s="14">
        <f t="shared" si="7"/>
        <v>39.083333333333336</v>
      </c>
      <c r="U83" s="20">
        <f t="shared" si="8"/>
        <v>77</v>
      </c>
    </row>
    <row r="84" spans="1:21" ht="18" customHeight="1">
      <c r="A84" s="19">
        <v>78</v>
      </c>
      <c r="B84" s="2" t="s">
        <v>129</v>
      </c>
      <c r="C84" s="1" t="s">
        <v>130</v>
      </c>
      <c r="D84" s="3" t="s">
        <v>131</v>
      </c>
      <c r="E84" s="1" t="s">
        <v>69</v>
      </c>
      <c r="F84" s="10" t="s">
        <v>107</v>
      </c>
      <c r="G84" s="2" t="s">
        <v>95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14">
        <f t="shared" si="6"/>
        <v>0</v>
      </c>
      <c r="T84" s="14">
        <f t="shared" si="7"/>
        <v>0</v>
      </c>
      <c r="U84" s="20">
        <f t="shared" si="8"/>
        <v>78</v>
      </c>
    </row>
    <row r="85" spans="1:21" ht="18" customHeight="1">
      <c r="A85" s="19">
        <v>79</v>
      </c>
      <c r="B85" s="2" t="s">
        <v>150</v>
      </c>
      <c r="C85" s="1" t="s">
        <v>151</v>
      </c>
      <c r="D85" s="3" t="s">
        <v>89</v>
      </c>
      <c r="E85" s="1" t="s">
        <v>70</v>
      </c>
      <c r="F85" s="10" t="s">
        <v>107</v>
      </c>
      <c r="G85" s="2" t="s">
        <v>96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14">
        <f t="shared" si="6"/>
        <v>0</v>
      </c>
      <c r="T85" s="14">
        <f t="shared" si="7"/>
        <v>0</v>
      </c>
      <c r="U85" s="20">
        <f t="shared" si="8"/>
        <v>78</v>
      </c>
    </row>
    <row r="86" spans="1:21" ht="18" customHeight="1">
      <c r="A86" s="19">
        <v>80</v>
      </c>
      <c r="B86" s="2" t="s">
        <v>152</v>
      </c>
      <c r="C86" s="1" t="s">
        <v>153</v>
      </c>
      <c r="D86" s="3" t="s">
        <v>154</v>
      </c>
      <c r="E86" s="1" t="s">
        <v>70</v>
      </c>
      <c r="F86" s="10" t="s">
        <v>107</v>
      </c>
      <c r="G86" s="2" t="s">
        <v>96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14">
        <f t="shared" si="6"/>
        <v>0</v>
      </c>
      <c r="T86" s="14">
        <f t="shared" si="7"/>
        <v>0</v>
      </c>
      <c r="U86" s="20">
        <f t="shared" si="8"/>
        <v>78</v>
      </c>
    </row>
    <row r="87" spans="1:21" ht="18" customHeight="1">
      <c r="A87" s="19">
        <v>81</v>
      </c>
      <c r="B87" s="2" t="s">
        <v>218</v>
      </c>
      <c r="C87" s="1" t="s">
        <v>219</v>
      </c>
      <c r="D87" s="3" t="s">
        <v>220</v>
      </c>
      <c r="E87" s="1" t="s">
        <v>80</v>
      </c>
      <c r="F87" s="10" t="s">
        <v>107</v>
      </c>
      <c r="G87" s="2" t="s">
        <v>99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14">
        <f t="shared" si="6"/>
        <v>0</v>
      </c>
      <c r="T87" s="14">
        <f t="shared" si="7"/>
        <v>0</v>
      </c>
      <c r="U87" s="20">
        <f t="shared" si="8"/>
        <v>78</v>
      </c>
    </row>
    <row r="88" spans="1:21" ht="18" customHeight="1">
      <c r="A88" s="19">
        <v>82</v>
      </c>
      <c r="B88" s="2" t="s">
        <v>271</v>
      </c>
      <c r="C88" s="1" t="s">
        <v>272</v>
      </c>
      <c r="D88" s="3" t="s">
        <v>273</v>
      </c>
      <c r="E88" s="1" t="s">
        <v>90</v>
      </c>
      <c r="F88" s="10" t="s">
        <v>107</v>
      </c>
      <c r="G88" s="2" t="s">
        <v>100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14">
        <f t="shared" si="6"/>
        <v>0</v>
      </c>
      <c r="T88" s="14">
        <f t="shared" si="7"/>
        <v>0</v>
      </c>
      <c r="U88" s="20">
        <f t="shared" si="8"/>
        <v>78</v>
      </c>
    </row>
    <row r="89" spans="1:21" ht="18" customHeight="1">
      <c r="A89" s="19">
        <v>83</v>
      </c>
      <c r="B89" s="28" t="s">
        <v>300</v>
      </c>
      <c r="C89" s="29" t="s">
        <v>301</v>
      </c>
      <c r="D89" s="30" t="s">
        <v>302</v>
      </c>
      <c r="E89" s="29" t="s">
        <v>82</v>
      </c>
      <c r="F89" s="31" t="s">
        <v>107</v>
      </c>
      <c r="G89" s="28" t="s">
        <v>101</v>
      </c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41">
        <f t="shared" si="6"/>
        <v>0</v>
      </c>
      <c r="T89" s="41">
        <f t="shared" si="7"/>
        <v>0</v>
      </c>
      <c r="U89" s="33">
        <f t="shared" si="8"/>
        <v>78</v>
      </c>
    </row>
  </sheetData>
  <mergeCells count="4">
    <mergeCell ref="A1:P1"/>
    <mergeCell ref="A2:P2"/>
    <mergeCell ref="A3:P3"/>
    <mergeCell ref="A5:B5"/>
  </mergeCells>
  <conditionalFormatting sqref="H7:R7">
    <cfRule type="cellIs" dxfId="360" priority="335" operator="lessThan">
      <formula>50</formula>
    </cfRule>
    <cfRule type="expression" dxfId="359" priority="336">
      <formula>5</formula>
    </cfRule>
    <cfRule type="cellIs" dxfId="358" priority="337" operator="lessThan">
      <formula>5</formula>
    </cfRule>
  </conditionalFormatting>
  <conditionalFormatting sqref="T7">
    <cfRule type="cellIs" dxfId="357" priority="334" operator="lessThan">
      <formula>50</formula>
    </cfRule>
  </conditionalFormatting>
  <conditionalFormatting sqref="H8:R8">
    <cfRule type="cellIs" dxfId="356" priority="331" operator="lessThan">
      <formula>50</formula>
    </cfRule>
    <cfRule type="expression" dxfId="355" priority="332">
      <formula>5</formula>
    </cfRule>
    <cfRule type="cellIs" dxfId="354" priority="333" operator="lessThan">
      <formula>5</formula>
    </cfRule>
  </conditionalFormatting>
  <conditionalFormatting sqref="T8">
    <cfRule type="cellIs" dxfId="353" priority="330" operator="lessThan">
      <formula>50</formula>
    </cfRule>
  </conditionalFormatting>
  <conditionalFormatting sqref="H9:R9">
    <cfRule type="cellIs" dxfId="352" priority="327" operator="lessThan">
      <formula>50</formula>
    </cfRule>
    <cfRule type="expression" dxfId="351" priority="328">
      <formula>5</formula>
    </cfRule>
    <cfRule type="cellIs" dxfId="350" priority="329" operator="lessThan">
      <formula>5</formula>
    </cfRule>
  </conditionalFormatting>
  <conditionalFormatting sqref="T9">
    <cfRule type="cellIs" dxfId="349" priority="326" operator="lessThan">
      <formula>50</formula>
    </cfRule>
  </conditionalFormatting>
  <conditionalFormatting sqref="H10:R10">
    <cfRule type="cellIs" dxfId="348" priority="323" operator="lessThan">
      <formula>50</formula>
    </cfRule>
    <cfRule type="expression" dxfId="347" priority="324">
      <formula>5</formula>
    </cfRule>
    <cfRule type="cellIs" dxfId="346" priority="325" operator="lessThan">
      <formula>5</formula>
    </cfRule>
  </conditionalFormatting>
  <conditionalFormatting sqref="T10">
    <cfRule type="cellIs" dxfId="345" priority="322" operator="lessThan">
      <formula>50</formula>
    </cfRule>
  </conditionalFormatting>
  <conditionalFormatting sqref="H11:R11">
    <cfRule type="cellIs" dxfId="344" priority="319" operator="lessThan">
      <formula>50</formula>
    </cfRule>
    <cfRule type="expression" dxfId="343" priority="320">
      <formula>5</formula>
    </cfRule>
    <cfRule type="cellIs" dxfId="342" priority="321" operator="lessThan">
      <formula>5</formula>
    </cfRule>
  </conditionalFormatting>
  <conditionalFormatting sqref="T11">
    <cfRule type="cellIs" dxfId="341" priority="318" operator="lessThan">
      <formula>50</formula>
    </cfRule>
  </conditionalFormatting>
  <conditionalFormatting sqref="H12:R12">
    <cfRule type="cellIs" dxfId="340" priority="315" operator="lessThan">
      <formula>50</formula>
    </cfRule>
    <cfRule type="expression" dxfId="339" priority="316">
      <formula>5</formula>
    </cfRule>
    <cfRule type="cellIs" dxfId="338" priority="317" operator="lessThan">
      <formula>5</formula>
    </cfRule>
  </conditionalFormatting>
  <conditionalFormatting sqref="T12">
    <cfRule type="cellIs" dxfId="337" priority="314" operator="lessThan">
      <formula>50</formula>
    </cfRule>
  </conditionalFormatting>
  <conditionalFormatting sqref="H13:R13">
    <cfRule type="cellIs" dxfId="336" priority="311" operator="lessThan">
      <formula>50</formula>
    </cfRule>
    <cfRule type="expression" dxfId="335" priority="312">
      <formula>5</formula>
    </cfRule>
    <cfRule type="cellIs" dxfId="334" priority="313" operator="lessThan">
      <formula>5</formula>
    </cfRule>
  </conditionalFormatting>
  <conditionalFormatting sqref="T13">
    <cfRule type="cellIs" dxfId="333" priority="310" operator="lessThan">
      <formula>50</formula>
    </cfRule>
  </conditionalFormatting>
  <conditionalFormatting sqref="H14:R14">
    <cfRule type="cellIs" dxfId="332" priority="307" operator="lessThan">
      <formula>50</formula>
    </cfRule>
    <cfRule type="expression" dxfId="331" priority="308">
      <formula>5</formula>
    </cfRule>
    <cfRule type="cellIs" dxfId="330" priority="309" operator="lessThan">
      <formula>5</formula>
    </cfRule>
  </conditionalFormatting>
  <conditionalFormatting sqref="T14">
    <cfRule type="cellIs" dxfId="329" priority="306" operator="lessThan">
      <formula>50</formula>
    </cfRule>
  </conditionalFormatting>
  <conditionalFormatting sqref="H15:R15">
    <cfRule type="cellIs" dxfId="328" priority="303" operator="lessThan">
      <formula>50</formula>
    </cfRule>
    <cfRule type="expression" dxfId="327" priority="304">
      <formula>5</formula>
    </cfRule>
    <cfRule type="cellIs" dxfId="326" priority="305" operator="lessThan">
      <formula>5</formula>
    </cfRule>
  </conditionalFormatting>
  <conditionalFormatting sqref="T15">
    <cfRule type="cellIs" dxfId="325" priority="302" operator="lessThan">
      <formula>50</formula>
    </cfRule>
  </conditionalFormatting>
  <conditionalFormatting sqref="H16:R16">
    <cfRule type="cellIs" dxfId="324" priority="299" operator="lessThan">
      <formula>50</formula>
    </cfRule>
    <cfRule type="expression" dxfId="323" priority="300">
      <formula>5</formula>
    </cfRule>
    <cfRule type="cellIs" dxfId="322" priority="301" operator="lessThan">
      <formula>5</formula>
    </cfRule>
  </conditionalFormatting>
  <conditionalFormatting sqref="T16">
    <cfRule type="cellIs" dxfId="321" priority="298" operator="lessThan">
      <formula>50</formula>
    </cfRule>
  </conditionalFormatting>
  <conditionalFormatting sqref="H17:R17">
    <cfRule type="cellIs" dxfId="320" priority="295" operator="lessThan">
      <formula>50</formula>
    </cfRule>
    <cfRule type="expression" dxfId="319" priority="296">
      <formula>5</formula>
    </cfRule>
    <cfRule type="cellIs" dxfId="318" priority="297" operator="lessThan">
      <formula>5</formula>
    </cfRule>
  </conditionalFormatting>
  <conditionalFormatting sqref="T17">
    <cfRule type="cellIs" dxfId="317" priority="294" operator="lessThan">
      <formula>50</formula>
    </cfRule>
  </conditionalFormatting>
  <conditionalFormatting sqref="H18:R18">
    <cfRule type="cellIs" dxfId="316" priority="291" operator="lessThan">
      <formula>50</formula>
    </cfRule>
    <cfRule type="expression" dxfId="315" priority="292">
      <formula>5</formula>
    </cfRule>
    <cfRule type="cellIs" dxfId="314" priority="293" operator="lessThan">
      <formula>5</formula>
    </cfRule>
  </conditionalFormatting>
  <conditionalFormatting sqref="T18">
    <cfRule type="cellIs" dxfId="313" priority="290" operator="lessThan">
      <formula>50</formula>
    </cfRule>
  </conditionalFormatting>
  <conditionalFormatting sqref="H19:R19">
    <cfRule type="cellIs" dxfId="312" priority="287" operator="lessThan">
      <formula>50</formula>
    </cfRule>
    <cfRule type="expression" dxfId="311" priority="288">
      <formula>5</formula>
    </cfRule>
    <cfRule type="cellIs" dxfId="310" priority="289" operator="lessThan">
      <formula>5</formula>
    </cfRule>
  </conditionalFormatting>
  <conditionalFormatting sqref="T19">
    <cfRule type="cellIs" dxfId="309" priority="286" operator="lessThan">
      <formula>50</formula>
    </cfRule>
  </conditionalFormatting>
  <conditionalFormatting sqref="H20:R20">
    <cfRule type="cellIs" dxfId="308" priority="283" operator="lessThan">
      <formula>50</formula>
    </cfRule>
    <cfRule type="expression" dxfId="307" priority="284">
      <formula>5</formula>
    </cfRule>
    <cfRule type="cellIs" dxfId="306" priority="285" operator="lessThan">
      <formula>5</formula>
    </cfRule>
  </conditionalFormatting>
  <conditionalFormatting sqref="T20">
    <cfRule type="cellIs" dxfId="305" priority="282" operator="lessThan">
      <formula>50</formula>
    </cfRule>
  </conditionalFormatting>
  <conditionalFormatting sqref="H21:R21">
    <cfRule type="cellIs" dxfId="304" priority="279" operator="lessThan">
      <formula>50</formula>
    </cfRule>
    <cfRule type="expression" dxfId="303" priority="280">
      <formula>5</formula>
    </cfRule>
    <cfRule type="cellIs" dxfId="302" priority="281" operator="lessThan">
      <formula>5</formula>
    </cfRule>
  </conditionalFormatting>
  <conditionalFormatting sqref="T21">
    <cfRule type="cellIs" dxfId="301" priority="278" operator="lessThan">
      <formula>50</formula>
    </cfRule>
  </conditionalFormatting>
  <conditionalFormatting sqref="H22:R22">
    <cfRule type="cellIs" dxfId="300" priority="275" operator="lessThan">
      <formula>50</formula>
    </cfRule>
    <cfRule type="expression" dxfId="299" priority="276">
      <formula>5</formula>
    </cfRule>
    <cfRule type="cellIs" dxfId="298" priority="277" operator="lessThan">
      <formula>5</formula>
    </cfRule>
  </conditionalFormatting>
  <conditionalFormatting sqref="T22">
    <cfRule type="cellIs" dxfId="297" priority="274" operator="lessThan">
      <formula>50</formula>
    </cfRule>
  </conditionalFormatting>
  <conditionalFormatting sqref="H23:R23">
    <cfRule type="cellIs" dxfId="296" priority="271" operator="lessThan">
      <formula>50</formula>
    </cfRule>
    <cfRule type="expression" dxfId="295" priority="272">
      <formula>5</formula>
    </cfRule>
    <cfRule type="cellIs" dxfId="294" priority="273" operator="lessThan">
      <formula>5</formula>
    </cfRule>
  </conditionalFormatting>
  <conditionalFormatting sqref="T23">
    <cfRule type="cellIs" dxfId="293" priority="270" operator="lessThan">
      <formula>50</formula>
    </cfRule>
  </conditionalFormatting>
  <conditionalFormatting sqref="H24:R24">
    <cfRule type="cellIs" dxfId="292" priority="267" operator="lessThan">
      <formula>50</formula>
    </cfRule>
    <cfRule type="expression" dxfId="291" priority="268">
      <formula>5</formula>
    </cfRule>
    <cfRule type="cellIs" dxfId="290" priority="269" operator="lessThan">
      <formula>5</formula>
    </cfRule>
  </conditionalFormatting>
  <conditionalFormatting sqref="T24">
    <cfRule type="cellIs" dxfId="289" priority="266" operator="lessThan">
      <formula>50</formula>
    </cfRule>
  </conditionalFormatting>
  <conditionalFormatting sqref="H25:R25">
    <cfRule type="cellIs" dxfId="288" priority="263" operator="lessThan">
      <formula>50</formula>
    </cfRule>
    <cfRule type="expression" dxfId="287" priority="264">
      <formula>5</formula>
    </cfRule>
    <cfRule type="cellIs" dxfId="286" priority="265" operator="lessThan">
      <formula>5</formula>
    </cfRule>
  </conditionalFormatting>
  <conditionalFormatting sqref="T25">
    <cfRule type="cellIs" dxfId="285" priority="262" operator="lessThan">
      <formula>50</formula>
    </cfRule>
  </conditionalFormatting>
  <conditionalFormatting sqref="H26:R26">
    <cfRule type="cellIs" dxfId="284" priority="259" operator="lessThan">
      <formula>50</formula>
    </cfRule>
    <cfRule type="expression" dxfId="283" priority="260">
      <formula>5</formula>
    </cfRule>
    <cfRule type="cellIs" dxfId="282" priority="261" operator="lessThan">
      <formula>5</formula>
    </cfRule>
  </conditionalFormatting>
  <conditionalFormatting sqref="T26">
    <cfRule type="cellIs" dxfId="281" priority="258" operator="lessThan">
      <formula>50</formula>
    </cfRule>
  </conditionalFormatting>
  <conditionalFormatting sqref="H27:R27">
    <cfRule type="cellIs" dxfId="280" priority="255" operator="lessThan">
      <formula>50</formula>
    </cfRule>
    <cfRule type="expression" dxfId="279" priority="256">
      <formula>5</formula>
    </cfRule>
    <cfRule type="cellIs" dxfId="278" priority="257" operator="lessThan">
      <formula>5</formula>
    </cfRule>
  </conditionalFormatting>
  <conditionalFormatting sqref="T27">
    <cfRule type="cellIs" dxfId="277" priority="254" operator="lessThan">
      <formula>50</formula>
    </cfRule>
  </conditionalFormatting>
  <conditionalFormatting sqref="H28:R28">
    <cfRule type="cellIs" dxfId="276" priority="251" operator="lessThan">
      <formula>50</formula>
    </cfRule>
    <cfRule type="expression" dxfId="275" priority="252">
      <formula>5</formula>
    </cfRule>
    <cfRule type="cellIs" dxfId="274" priority="253" operator="lessThan">
      <formula>5</formula>
    </cfRule>
  </conditionalFormatting>
  <conditionalFormatting sqref="T28">
    <cfRule type="cellIs" dxfId="273" priority="250" operator="lessThan">
      <formula>50</formula>
    </cfRule>
  </conditionalFormatting>
  <conditionalFormatting sqref="H29:R29">
    <cfRule type="cellIs" dxfId="272" priority="247" operator="lessThan">
      <formula>50</formula>
    </cfRule>
    <cfRule type="expression" dxfId="271" priority="248">
      <formula>5</formula>
    </cfRule>
    <cfRule type="cellIs" dxfId="270" priority="249" operator="lessThan">
      <formula>5</formula>
    </cfRule>
  </conditionalFormatting>
  <conditionalFormatting sqref="T29">
    <cfRule type="cellIs" dxfId="269" priority="246" operator="lessThan">
      <formula>50</formula>
    </cfRule>
  </conditionalFormatting>
  <conditionalFormatting sqref="H30:R30">
    <cfRule type="cellIs" dxfId="268" priority="243" operator="lessThan">
      <formula>50</formula>
    </cfRule>
    <cfRule type="expression" dxfId="267" priority="244">
      <formula>5</formula>
    </cfRule>
    <cfRule type="cellIs" dxfId="266" priority="245" operator="lessThan">
      <formula>5</formula>
    </cfRule>
  </conditionalFormatting>
  <conditionalFormatting sqref="T30">
    <cfRule type="cellIs" dxfId="265" priority="242" operator="lessThan">
      <formula>50</formula>
    </cfRule>
  </conditionalFormatting>
  <conditionalFormatting sqref="H31:R31">
    <cfRule type="cellIs" dxfId="264" priority="239" operator="lessThan">
      <formula>50</formula>
    </cfRule>
    <cfRule type="expression" dxfId="263" priority="240">
      <formula>5</formula>
    </cfRule>
    <cfRule type="cellIs" dxfId="262" priority="241" operator="lessThan">
      <formula>5</formula>
    </cfRule>
  </conditionalFormatting>
  <conditionalFormatting sqref="T31">
    <cfRule type="cellIs" dxfId="261" priority="238" operator="lessThan">
      <formula>50</formula>
    </cfRule>
  </conditionalFormatting>
  <conditionalFormatting sqref="H32:R32">
    <cfRule type="cellIs" dxfId="260" priority="235" operator="lessThan">
      <formula>50</formula>
    </cfRule>
    <cfRule type="expression" dxfId="259" priority="236">
      <formula>5</formula>
    </cfRule>
    <cfRule type="cellIs" dxfId="258" priority="237" operator="lessThan">
      <formula>5</formula>
    </cfRule>
  </conditionalFormatting>
  <conditionalFormatting sqref="T32">
    <cfRule type="cellIs" dxfId="257" priority="234" operator="lessThan">
      <formula>50</formula>
    </cfRule>
  </conditionalFormatting>
  <conditionalFormatting sqref="H33:R33">
    <cfRule type="cellIs" dxfId="256" priority="231" operator="lessThan">
      <formula>50</formula>
    </cfRule>
    <cfRule type="expression" dxfId="255" priority="232">
      <formula>5</formula>
    </cfRule>
    <cfRule type="cellIs" dxfId="254" priority="233" operator="lessThan">
      <formula>5</formula>
    </cfRule>
  </conditionalFormatting>
  <conditionalFormatting sqref="T33">
    <cfRule type="cellIs" dxfId="253" priority="230" operator="lessThan">
      <formula>50</formula>
    </cfRule>
  </conditionalFormatting>
  <conditionalFormatting sqref="H34:R34">
    <cfRule type="cellIs" dxfId="252" priority="227" operator="lessThan">
      <formula>50</formula>
    </cfRule>
    <cfRule type="expression" dxfId="251" priority="228">
      <formula>5</formula>
    </cfRule>
    <cfRule type="cellIs" dxfId="250" priority="229" operator="lessThan">
      <formula>5</formula>
    </cfRule>
  </conditionalFormatting>
  <conditionalFormatting sqref="T34">
    <cfRule type="cellIs" dxfId="249" priority="226" operator="lessThan">
      <formula>50</formula>
    </cfRule>
  </conditionalFormatting>
  <conditionalFormatting sqref="H35:R35">
    <cfRule type="cellIs" dxfId="248" priority="223" operator="lessThan">
      <formula>50</formula>
    </cfRule>
    <cfRule type="expression" dxfId="247" priority="224">
      <formula>5</formula>
    </cfRule>
    <cfRule type="cellIs" dxfId="246" priority="225" operator="lessThan">
      <formula>5</formula>
    </cfRule>
  </conditionalFormatting>
  <conditionalFormatting sqref="T35">
    <cfRule type="cellIs" dxfId="245" priority="222" operator="lessThan">
      <formula>50</formula>
    </cfRule>
  </conditionalFormatting>
  <conditionalFormatting sqref="H36:R36">
    <cfRule type="cellIs" dxfId="244" priority="219" operator="lessThan">
      <formula>50</formula>
    </cfRule>
    <cfRule type="expression" dxfId="243" priority="220">
      <formula>5</formula>
    </cfRule>
    <cfRule type="cellIs" dxfId="242" priority="221" operator="lessThan">
      <formula>5</formula>
    </cfRule>
  </conditionalFormatting>
  <conditionalFormatting sqref="T36">
    <cfRule type="cellIs" dxfId="241" priority="218" operator="lessThan">
      <formula>50</formula>
    </cfRule>
  </conditionalFormatting>
  <conditionalFormatting sqref="H37:R37">
    <cfRule type="cellIs" dxfId="240" priority="215" operator="lessThan">
      <formula>50</formula>
    </cfRule>
    <cfRule type="expression" dxfId="239" priority="216">
      <formula>5</formula>
    </cfRule>
    <cfRule type="cellIs" dxfId="238" priority="217" operator="lessThan">
      <formula>5</formula>
    </cfRule>
  </conditionalFormatting>
  <conditionalFormatting sqref="T37">
    <cfRule type="cellIs" dxfId="237" priority="214" operator="lessThan">
      <formula>50</formula>
    </cfRule>
  </conditionalFormatting>
  <conditionalFormatting sqref="H38:R38">
    <cfRule type="cellIs" dxfId="236" priority="211" operator="lessThan">
      <formula>50</formula>
    </cfRule>
    <cfRule type="expression" dxfId="235" priority="212">
      <formula>5</formula>
    </cfRule>
    <cfRule type="cellIs" dxfId="234" priority="213" operator="lessThan">
      <formula>5</formula>
    </cfRule>
  </conditionalFormatting>
  <conditionalFormatting sqref="T38">
    <cfRule type="cellIs" dxfId="233" priority="210" operator="lessThan">
      <formula>50</formula>
    </cfRule>
  </conditionalFormatting>
  <conditionalFormatting sqref="H39:R39">
    <cfRule type="cellIs" dxfId="232" priority="207" operator="lessThan">
      <formula>50</formula>
    </cfRule>
    <cfRule type="expression" dxfId="231" priority="208">
      <formula>5</formula>
    </cfRule>
    <cfRule type="cellIs" dxfId="230" priority="209" operator="lessThan">
      <formula>5</formula>
    </cfRule>
  </conditionalFormatting>
  <conditionalFormatting sqref="T39">
    <cfRule type="cellIs" dxfId="229" priority="206" operator="lessThan">
      <formula>50</formula>
    </cfRule>
  </conditionalFormatting>
  <conditionalFormatting sqref="H40:R40">
    <cfRule type="cellIs" dxfId="228" priority="203" operator="lessThan">
      <formula>50</formula>
    </cfRule>
    <cfRule type="expression" dxfId="227" priority="204">
      <formula>5</formula>
    </cfRule>
    <cfRule type="cellIs" dxfId="226" priority="205" operator="lessThan">
      <formula>5</formula>
    </cfRule>
  </conditionalFormatting>
  <conditionalFormatting sqref="T40">
    <cfRule type="cellIs" dxfId="225" priority="202" operator="lessThan">
      <formula>50</formula>
    </cfRule>
  </conditionalFormatting>
  <conditionalFormatting sqref="H41:R41">
    <cfRule type="cellIs" dxfId="224" priority="199" operator="lessThan">
      <formula>50</formula>
    </cfRule>
    <cfRule type="expression" dxfId="223" priority="200">
      <formula>5</formula>
    </cfRule>
    <cfRule type="cellIs" dxfId="222" priority="201" operator="lessThan">
      <formula>5</formula>
    </cfRule>
  </conditionalFormatting>
  <conditionalFormatting sqref="T41">
    <cfRule type="cellIs" dxfId="221" priority="198" operator="lessThan">
      <formula>50</formula>
    </cfRule>
  </conditionalFormatting>
  <conditionalFormatting sqref="H42:R42">
    <cfRule type="cellIs" dxfId="220" priority="195" operator="lessThan">
      <formula>50</formula>
    </cfRule>
    <cfRule type="expression" dxfId="219" priority="196">
      <formula>5</formula>
    </cfRule>
    <cfRule type="cellIs" dxfId="218" priority="197" operator="lessThan">
      <formula>5</formula>
    </cfRule>
  </conditionalFormatting>
  <conditionalFormatting sqref="T42">
    <cfRule type="cellIs" dxfId="217" priority="194" operator="lessThan">
      <formula>50</formula>
    </cfRule>
  </conditionalFormatting>
  <conditionalFormatting sqref="H43:R43">
    <cfRule type="cellIs" dxfId="216" priority="191" operator="lessThan">
      <formula>50</formula>
    </cfRule>
    <cfRule type="expression" dxfId="215" priority="192">
      <formula>5</formula>
    </cfRule>
    <cfRule type="cellIs" dxfId="214" priority="193" operator="lessThan">
      <formula>5</formula>
    </cfRule>
  </conditionalFormatting>
  <conditionalFormatting sqref="T43">
    <cfRule type="cellIs" dxfId="213" priority="190" operator="lessThan">
      <formula>50</formula>
    </cfRule>
  </conditionalFormatting>
  <conditionalFormatting sqref="H44:R44">
    <cfRule type="cellIs" dxfId="212" priority="187" operator="lessThan">
      <formula>50</formula>
    </cfRule>
    <cfRule type="expression" dxfId="211" priority="188">
      <formula>5</formula>
    </cfRule>
    <cfRule type="cellIs" dxfId="210" priority="189" operator="lessThan">
      <formula>5</formula>
    </cfRule>
  </conditionalFormatting>
  <conditionalFormatting sqref="T44">
    <cfRule type="cellIs" dxfId="209" priority="186" operator="lessThan">
      <formula>50</formula>
    </cfRule>
  </conditionalFormatting>
  <conditionalFormatting sqref="H45:R45">
    <cfRule type="cellIs" dxfId="208" priority="183" operator="lessThan">
      <formula>50</formula>
    </cfRule>
    <cfRule type="expression" dxfId="207" priority="184">
      <formula>5</formula>
    </cfRule>
    <cfRule type="cellIs" dxfId="206" priority="185" operator="lessThan">
      <formula>5</formula>
    </cfRule>
  </conditionalFormatting>
  <conditionalFormatting sqref="T45">
    <cfRule type="cellIs" dxfId="205" priority="182" operator="lessThan">
      <formula>50</formula>
    </cfRule>
  </conditionalFormatting>
  <conditionalFormatting sqref="H46:R46">
    <cfRule type="cellIs" dxfId="204" priority="179" operator="lessThan">
      <formula>50</formula>
    </cfRule>
    <cfRule type="expression" dxfId="203" priority="180">
      <formula>5</formula>
    </cfRule>
    <cfRule type="cellIs" dxfId="202" priority="181" operator="lessThan">
      <formula>5</formula>
    </cfRule>
  </conditionalFormatting>
  <conditionalFormatting sqref="T46">
    <cfRule type="cellIs" dxfId="201" priority="178" operator="lessThan">
      <formula>50</formula>
    </cfRule>
  </conditionalFormatting>
  <conditionalFormatting sqref="H47:R47">
    <cfRule type="cellIs" dxfId="200" priority="175" operator="lessThan">
      <formula>50</formula>
    </cfRule>
    <cfRule type="expression" dxfId="199" priority="176">
      <formula>5</formula>
    </cfRule>
    <cfRule type="cellIs" dxfId="198" priority="177" operator="lessThan">
      <formula>5</formula>
    </cfRule>
  </conditionalFormatting>
  <conditionalFormatting sqref="T47">
    <cfRule type="cellIs" dxfId="197" priority="174" operator="lessThan">
      <formula>50</formula>
    </cfRule>
  </conditionalFormatting>
  <conditionalFormatting sqref="H48:R48">
    <cfRule type="cellIs" dxfId="196" priority="171" operator="lessThan">
      <formula>50</formula>
    </cfRule>
    <cfRule type="expression" dxfId="195" priority="172">
      <formula>5</formula>
    </cfRule>
    <cfRule type="cellIs" dxfId="194" priority="173" operator="lessThan">
      <formula>5</formula>
    </cfRule>
  </conditionalFormatting>
  <conditionalFormatting sqref="T48">
    <cfRule type="cellIs" dxfId="193" priority="170" operator="lessThan">
      <formula>50</formula>
    </cfRule>
  </conditionalFormatting>
  <conditionalFormatting sqref="H49:R49">
    <cfRule type="cellIs" dxfId="192" priority="167" operator="lessThan">
      <formula>50</formula>
    </cfRule>
    <cfRule type="expression" dxfId="191" priority="168">
      <formula>5</formula>
    </cfRule>
    <cfRule type="cellIs" dxfId="190" priority="169" operator="lessThan">
      <formula>5</formula>
    </cfRule>
  </conditionalFormatting>
  <conditionalFormatting sqref="T49">
    <cfRule type="cellIs" dxfId="189" priority="166" operator="lessThan">
      <formula>50</formula>
    </cfRule>
  </conditionalFormatting>
  <conditionalFormatting sqref="H50:R50">
    <cfRule type="cellIs" dxfId="188" priority="163" operator="lessThan">
      <formula>50</formula>
    </cfRule>
    <cfRule type="expression" dxfId="187" priority="164">
      <formula>5</formula>
    </cfRule>
    <cfRule type="cellIs" dxfId="186" priority="165" operator="lessThan">
      <formula>5</formula>
    </cfRule>
  </conditionalFormatting>
  <conditionalFormatting sqref="T50">
    <cfRule type="cellIs" dxfId="185" priority="162" operator="lessThan">
      <formula>50</formula>
    </cfRule>
  </conditionalFormatting>
  <conditionalFormatting sqref="H51:R51">
    <cfRule type="cellIs" dxfId="184" priority="159" operator="lessThan">
      <formula>50</formula>
    </cfRule>
    <cfRule type="expression" dxfId="183" priority="160">
      <formula>5</formula>
    </cfRule>
    <cfRule type="cellIs" dxfId="182" priority="161" operator="lessThan">
      <formula>5</formula>
    </cfRule>
  </conditionalFormatting>
  <conditionalFormatting sqref="T51">
    <cfRule type="cellIs" dxfId="181" priority="158" operator="lessThan">
      <formula>50</formula>
    </cfRule>
  </conditionalFormatting>
  <conditionalFormatting sqref="H52:R52">
    <cfRule type="cellIs" dxfId="180" priority="155" operator="lessThan">
      <formula>50</formula>
    </cfRule>
    <cfRule type="expression" dxfId="179" priority="156">
      <formula>5</formula>
    </cfRule>
    <cfRule type="cellIs" dxfId="178" priority="157" operator="lessThan">
      <formula>5</formula>
    </cfRule>
  </conditionalFormatting>
  <conditionalFormatting sqref="T52">
    <cfRule type="cellIs" dxfId="177" priority="154" operator="lessThan">
      <formula>50</formula>
    </cfRule>
  </conditionalFormatting>
  <conditionalFormatting sqref="H53:R53">
    <cfRule type="cellIs" dxfId="176" priority="151" operator="lessThan">
      <formula>50</formula>
    </cfRule>
    <cfRule type="expression" dxfId="175" priority="152">
      <formula>5</formula>
    </cfRule>
    <cfRule type="cellIs" dxfId="174" priority="153" operator="lessThan">
      <formula>5</formula>
    </cfRule>
  </conditionalFormatting>
  <conditionalFormatting sqref="T53">
    <cfRule type="cellIs" dxfId="173" priority="150" operator="lessThan">
      <formula>50</formula>
    </cfRule>
  </conditionalFormatting>
  <conditionalFormatting sqref="H54:R54">
    <cfRule type="cellIs" dxfId="172" priority="147" operator="lessThan">
      <formula>50</formula>
    </cfRule>
    <cfRule type="expression" dxfId="171" priority="148">
      <formula>5</formula>
    </cfRule>
    <cfRule type="cellIs" dxfId="170" priority="149" operator="lessThan">
      <formula>5</formula>
    </cfRule>
  </conditionalFormatting>
  <conditionalFormatting sqref="T54">
    <cfRule type="cellIs" dxfId="169" priority="146" operator="lessThan">
      <formula>50</formula>
    </cfRule>
  </conditionalFormatting>
  <conditionalFormatting sqref="H55:R55">
    <cfRule type="cellIs" dxfId="168" priority="143" operator="lessThan">
      <formula>50</formula>
    </cfRule>
    <cfRule type="expression" dxfId="167" priority="144">
      <formula>5</formula>
    </cfRule>
    <cfRule type="cellIs" dxfId="166" priority="145" operator="lessThan">
      <formula>5</formula>
    </cfRule>
  </conditionalFormatting>
  <conditionalFormatting sqref="T55">
    <cfRule type="cellIs" dxfId="165" priority="142" operator="lessThan">
      <formula>50</formula>
    </cfRule>
  </conditionalFormatting>
  <conditionalFormatting sqref="H56:R56">
    <cfRule type="cellIs" dxfId="164" priority="139" operator="lessThan">
      <formula>50</formula>
    </cfRule>
    <cfRule type="expression" dxfId="163" priority="140">
      <formula>5</formula>
    </cfRule>
    <cfRule type="cellIs" dxfId="162" priority="141" operator="lessThan">
      <formula>5</formula>
    </cfRule>
  </conditionalFormatting>
  <conditionalFormatting sqref="T56">
    <cfRule type="cellIs" dxfId="161" priority="138" operator="lessThan">
      <formula>50</formula>
    </cfRule>
  </conditionalFormatting>
  <conditionalFormatting sqref="H57:R57">
    <cfRule type="cellIs" dxfId="160" priority="135" operator="lessThan">
      <formula>50</formula>
    </cfRule>
    <cfRule type="expression" dxfId="159" priority="136">
      <formula>5</formula>
    </cfRule>
    <cfRule type="cellIs" dxfId="158" priority="137" operator="lessThan">
      <formula>5</formula>
    </cfRule>
  </conditionalFormatting>
  <conditionalFormatting sqref="T57">
    <cfRule type="cellIs" dxfId="157" priority="134" operator="lessThan">
      <formula>50</formula>
    </cfRule>
  </conditionalFormatting>
  <conditionalFormatting sqref="H58:R58">
    <cfRule type="cellIs" dxfId="156" priority="131" operator="lessThan">
      <formula>50</formula>
    </cfRule>
    <cfRule type="expression" dxfId="155" priority="132">
      <formula>5</formula>
    </cfRule>
    <cfRule type="cellIs" dxfId="154" priority="133" operator="lessThan">
      <formula>5</formula>
    </cfRule>
  </conditionalFormatting>
  <conditionalFormatting sqref="T58">
    <cfRule type="cellIs" dxfId="153" priority="130" operator="lessThan">
      <formula>50</formula>
    </cfRule>
  </conditionalFormatting>
  <conditionalFormatting sqref="H59:R59">
    <cfRule type="cellIs" dxfId="152" priority="127" operator="lessThan">
      <formula>50</formula>
    </cfRule>
    <cfRule type="expression" dxfId="151" priority="128">
      <formula>5</formula>
    </cfRule>
    <cfRule type="cellIs" dxfId="150" priority="129" operator="lessThan">
      <formula>5</formula>
    </cfRule>
  </conditionalFormatting>
  <conditionalFormatting sqref="T59">
    <cfRule type="cellIs" dxfId="149" priority="126" operator="lessThan">
      <formula>50</formula>
    </cfRule>
  </conditionalFormatting>
  <conditionalFormatting sqref="H60:R60">
    <cfRule type="cellIs" dxfId="148" priority="123" operator="lessThan">
      <formula>50</formula>
    </cfRule>
    <cfRule type="expression" dxfId="147" priority="124">
      <formula>5</formula>
    </cfRule>
    <cfRule type="cellIs" dxfId="146" priority="125" operator="lessThan">
      <formula>5</formula>
    </cfRule>
  </conditionalFormatting>
  <conditionalFormatting sqref="T60">
    <cfRule type="cellIs" dxfId="145" priority="122" operator="lessThan">
      <formula>50</formula>
    </cfRule>
  </conditionalFormatting>
  <conditionalFormatting sqref="H61:R61">
    <cfRule type="cellIs" dxfId="144" priority="119" operator="lessThan">
      <formula>50</formula>
    </cfRule>
    <cfRule type="expression" dxfId="143" priority="120">
      <formula>5</formula>
    </cfRule>
    <cfRule type="cellIs" dxfId="142" priority="121" operator="lessThan">
      <formula>5</formula>
    </cfRule>
  </conditionalFormatting>
  <conditionalFormatting sqref="T61">
    <cfRule type="cellIs" dxfId="141" priority="118" operator="lessThan">
      <formula>50</formula>
    </cfRule>
  </conditionalFormatting>
  <conditionalFormatting sqref="H62:R62">
    <cfRule type="cellIs" dxfId="140" priority="115" operator="lessThan">
      <formula>50</formula>
    </cfRule>
    <cfRule type="expression" dxfId="139" priority="116">
      <formula>5</formula>
    </cfRule>
    <cfRule type="cellIs" dxfId="138" priority="117" operator="lessThan">
      <formula>5</formula>
    </cfRule>
  </conditionalFormatting>
  <conditionalFormatting sqref="T62">
    <cfRule type="cellIs" dxfId="137" priority="114" operator="lessThan">
      <formula>50</formula>
    </cfRule>
  </conditionalFormatting>
  <conditionalFormatting sqref="H63:R63">
    <cfRule type="cellIs" dxfId="136" priority="111" operator="lessThan">
      <formula>50</formula>
    </cfRule>
    <cfRule type="expression" dxfId="135" priority="112">
      <formula>5</formula>
    </cfRule>
    <cfRule type="cellIs" dxfId="134" priority="113" operator="lessThan">
      <formula>5</formula>
    </cfRule>
  </conditionalFormatting>
  <conditionalFormatting sqref="T63">
    <cfRule type="cellIs" dxfId="133" priority="110" operator="lessThan">
      <formula>50</formula>
    </cfRule>
  </conditionalFormatting>
  <conditionalFormatting sqref="H64:R64">
    <cfRule type="cellIs" dxfId="132" priority="107" operator="lessThan">
      <formula>50</formula>
    </cfRule>
    <cfRule type="expression" dxfId="131" priority="108">
      <formula>5</formula>
    </cfRule>
    <cfRule type="cellIs" dxfId="130" priority="109" operator="lessThan">
      <formula>5</formula>
    </cfRule>
  </conditionalFormatting>
  <conditionalFormatting sqref="T64">
    <cfRule type="cellIs" dxfId="129" priority="106" operator="lessThan">
      <formula>50</formula>
    </cfRule>
  </conditionalFormatting>
  <conditionalFormatting sqref="H65:R65">
    <cfRule type="cellIs" dxfId="128" priority="103" operator="lessThan">
      <formula>50</formula>
    </cfRule>
    <cfRule type="expression" dxfId="127" priority="104">
      <formula>5</formula>
    </cfRule>
    <cfRule type="cellIs" dxfId="126" priority="105" operator="lessThan">
      <formula>5</formula>
    </cfRule>
  </conditionalFormatting>
  <conditionalFormatting sqref="T65">
    <cfRule type="cellIs" dxfId="125" priority="102" operator="lessThan">
      <formula>50</formula>
    </cfRule>
  </conditionalFormatting>
  <conditionalFormatting sqref="H66:R66">
    <cfRule type="cellIs" dxfId="124" priority="99" operator="lessThan">
      <formula>50</formula>
    </cfRule>
    <cfRule type="expression" dxfId="123" priority="100">
      <formula>5</formula>
    </cfRule>
    <cfRule type="cellIs" dxfId="122" priority="101" operator="lessThan">
      <formula>5</formula>
    </cfRule>
  </conditionalFormatting>
  <conditionalFormatting sqref="T66">
    <cfRule type="cellIs" dxfId="121" priority="98" operator="lessThan">
      <formula>50</formula>
    </cfRule>
  </conditionalFormatting>
  <conditionalFormatting sqref="H67:R67">
    <cfRule type="cellIs" dxfId="120" priority="95" operator="lessThan">
      <formula>50</formula>
    </cfRule>
    <cfRule type="expression" dxfId="119" priority="96">
      <formula>5</formula>
    </cfRule>
    <cfRule type="cellIs" dxfId="118" priority="97" operator="lessThan">
      <formula>5</formula>
    </cfRule>
  </conditionalFormatting>
  <conditionalFormatting sqref="T67">
    <cfRule type="cellIs" dxfId="117" priority="94" operator="lessThan">
      <formula>50</formula>
    </cfRule>
  </conditionalFormatting>
  <conditionalFormatting sqref="H68:R68">
    <cfRule type="cellIs" dxfId="116" priority="91" operator="lessThan">
      <formula>50</formula>
    </cfRule>
    <cfRule type="expression" dxfId="115" priority="92">
      <formula>5</formula>
    </cfRule>
    <cfRule type="cellIs" dxfId="114" priority="93" operator="lessThan">
      <formula>5</formula>
    </cfRule>
  </conditionalFormatting>
  <conditionalFormatting sqref="T68">
    <cfRule type="cellIs" dxfId="113" priority="90" operator="lessThan">
      <formula>50</formula>
    </cfRule>
  </conditionalFormatting>
  <conditionalFormatting sqref="H69:R69">
    <cfRule type="cellIs" dxfId="112" priority="87" operator="lessThan">
      <formula>50</formula>
    </cfRule>
    <cfRule type="expression" dxfId="111" priority="88">
      <formula>5</formula>
    </cfRule>
    <cfRule type="cellIs" dxfId="110" priority="89" operator="lessThan">
      <formula>5</formula>
    </cfRule>
  </conditionalFormatting>
  <conditionalFormatting sqref="T69">
    <cfRule type="cellIs" dxfId="109" priority="86" operator="lessThan">
      <formula>50</formula>
    </cfRule>
  </conditionalFormatting>
  <conditionalFormatting sqref="H70:R70">
    <cfRule type="cellIs" dxfId="108" priority="83" operator="lessThan">
      <formula>50</formula>
    </cfRule>
    <cfRule type="expression" dxfId="107" priority="84">
      <formula>5</formula>
    </cfRule>
    <cfRule type="cellIs" dxfId="106" priority="85" operator="lessThan">
      <formula>5</formula>
    </cfRule>
  </conditionalFormatting>
  <conditionalFormatting sqref="T70">
    <cfRule type="cellIs" dxfId="105" priority="82" operator="lessThan">
      <formula>50</formula>
    </cfRule>
  </conditionalFormatting>
  <conditionalFormatting sqref="H71:R71">
    <cfRule type="cellIs" dxfId="104" priority="79" operator="lessThan">
      <formula>50</formula>
    </cfRule>
    <cfRule type="expression" dxfId="103" priority="80">
      <formula>5</formula>
    </cfRule>
    <cfRule type="cellIs" dxfId="102" priority="81" operator="lessThan">
      <formula>5</formula>
    </cfRule>
  </conditionalFormatting>
  <conditionalFormatting sqref="T71">
    <cfRule type="cellIs" dxfId="101" priority="78" operator="lessThan">
      <formula>50</formula>
    </cfRule>
  </conditionalFormatting>
  <conditionalFormatting sqref="H72:R72">
    <cfRule type="cellIs" dxfId="100" priority="75" operator="lessThan">
      <formula>50</formula>
    </cfRule>
    <cfRule type="expression" dxfId="99" priority="76">
      <formula>5</formula>
    </cfRule>
    <cfRule type="cellIs" dxfId="98" priority="77" operator="lessThan">
      <formula>5</formula>
    </cfRule>
  </conditionalFormatting>
  <conditionalFormatting sqref="T72">
    <cfRule type="cellIs" dxfId="97" priority="74" operator="lessThan">
      <formula>50</formula>
    </cfRule>
  </conditionalFormatting>
  <conditionalFormatting sqref="H73:R73">
    <cfRule type="cellIs" dxfId="96" priority="71" operator="lessThan">
      <formula>50</formula>
    </cfRule>
    <cfRule type="expression" dxfId="95" priority="72">
      <formula>5</formula>
    </cfRule>
    <cfRule type="cellIs" dxfId="94" priority="73" operator="lessThan">
      <formula>5</formula>
    </cfRule>
  </conditionalFormatting>
  <conditionalFormatting sqref="T73">
    <cfRule type="cellIs" dxfId="93" priority="70" operator="lessThan">
      <formula>50</formula>
    </cfRule>
  </conditionalFormatting>
  <conditionalFormatting sqref="H74:R74">
    <cfRule type="cellIs" dxfId="92" priority="67" operator="lessThan">
      <formula>50</formula>
    </cfRule>
    <cfRule type="expression" dxfId="91" priority="68">
      <formula>5</formula>
    </cfRule>
    <cfRule type="cellIs" dxfId="90" priority="69" operator="lessThan">
      <formula>5</formula>
    </cfRule>
  </conditionalFormatting>
  <conditionalFormatting sqref="T74">
    <cfRule type="cellIs" dxfId="89" priority="66" operator="lessThan">
      <formula>50</formula>
    </cfRule>
  </conditionalFormatting>
  <conditionalFormatting sqref="H75:R75">
    <cfRule type="cellIs" dxfId="88" priority="63" operator="lessThan">
      <formula>50</formula>
    </cfRule>
    <cfRule type="expression" dxfId="87" priority="64">
      <formula>5</formula>
    </cfRule>
    <cfRule type="cellIs" dxfId="86" priority="65" operator="lessThan">
      <formula>5</formula>
    </cfRule>
  </conditionalFormatting>
  <conditionalFormatting sqref="T75">
    <cfRule type="cellIs" dxfId="85" priority="62" operator="lessThan">
      <formula>50</formula>
    </cfRule>
  </conditionalFormatting>
  <conditionalFormatting sqref="H76:R76">
    <cfRule type="cellIs" dxfId="84" priority="59" operator="lessThan">
      <formula>50</formula>
    </cfRule>
    <cfRule type="expression" dxfId="83" priority="60">
      <formula>5</formula>
    </cfRule>
    <cfRule type="cellIs" dxfId="82" priority="61" operator="lessThan">
      <formula>5</formula>
    </cfRule>
  </conditionalFormatting>
  <conditionalFormatting sqref="T76">
    <cfRule type="cellIs" dxfId="81" priority="58" operator="lessThan">
      <formula>50</formula>
    </cfRule>
  </conditionalFormatting>
  <conditionalFormatting sqref="H77:R77">
    <cfRule type="cellIs" dxfId="80" priority="55" operator="lessThan">
      <formula>50</formula>
    </cfRule>
    <cfRule type="expression" dxfId="79" priority="56">
      <formula>5</formula>
    </cfRule>
    <cfRule type="cellIs" dxfId="78" priority="57" operator="lessThan">
      <formula>5</formula>
    </cfRule>
  </conditionalFormatting>
  <conditionalFormatting sqref="T77">
    <cfRule type="cellIs" dxfId="77" priority="54" operator="lessThan">
      <formula>50</formula>
    </cfRule>
  </conditionalFormatting>
  <conditionalFormatting sqref="H78:R78">
    <cfRule type="cellIs" dxfId="76" priority="51" operator="lessThan">
      <formula>50</formula>
    </cfRule>
    <cfRule type="expression" dxfId="75" priority="52">
      <formula>5</formula>
    </cfRule>
    <cfRule type="cellIs" dxfId="74" priority="53" operator="lessThan">
      <formula>5</formula>
    </cfRule>
  </conditionalFormatting>
  <conditionalFormatting sqref="T78">
    <cfRule type="cellIs" dxfId="73" priority="50" operator="lessThan">
      <formula>50</formula>
    </cfRule>
  </conditionalFormatting>
  <conditionalFormatting sqref="H79:R79">
    <cfRule type="cellIs" dxfId="72" priority="47" operator="lessThan">
      <formula>50</formula>
    </cfRule>
    <cfRule type="expression" dxfId="71" priority="48">
      <formula>5</formula>
    </cfRule>
    <cfRule type="cellIs" dxfId="70" priority="49" operator="lessThan">
      <formula>5</formula>
    </cfRule>
  </conditionalFormatting>
  <conditionalFormatting sqref="T79">
    <cfRule type="cellIs" dxfId="69" priority="46" operator="lessThan">
      <formula>50</formula>
    </cfRule>
  </conditionalFormatting>
  <conditionalFormatting sqref="H80:R80">
    <cfRule type="cellIs" dxfId="68" priority="43" operator="lessThan">
      <formula>50</formula>
    </cfRule>
    <cfRule type="expression" dxfId="67" priority="44">
      <formula>5</formula>
    </cfRule>
    <cfRule type="cellIs" dxfId="66" priority="45" operator="lessThan">
      <formula>5</formula>
    </cfRule>
  </conditionalFormatting>
  <conditionalFormatting sqref="T80">
    <cfRule type="cellIs" dxfId="65" priority="42" operator="lessThan">
      <formula>50</formula>
    </cfRule>
  </conditionalFormatting>
  <conditionalFormatting sqref="H81:R81">
    <cfRule type="cellIs" dxfId="64" priority="39" operator="lessThan">
      <formula>50</formula>
    </cfRule>
    <cfRule type="expression" dxfId="63" priority="40">
      <formula>5</formula>
    </cfRule>
    <cfRule type="cellIs" dxfId="62" priority="41" operator="lessThan">
      <formula>5</formula>
    </cfRule>
  </conditionalFormatting>
  <conditionalFormatting sqref="T81">
    <cfRule type="cellIs" dxfId="61" priority="38" operator="lessThan">
      <formula>50</formula>
    </cfRule>
  </conditionalFormatting>
  <conditionalFormatting sqref="H82:R82">
    <cfRule type="cellIs" dxfId="60" priority="35" operator="lessThan">
      <formula>50</formula>
    </cfRule>
    <cfRule type="expression" dxfId="59" priority="36">
      <formula>5</formula>
    </cfRule>
    <cfRule type="cellIs" dxfId="58" priority="37" operator="lessThan">
      <formula>5</formula>
    </cfRule>
  </conditionalFormatting>
  <conditionalFormatting sqref="T82">
    <cfRule type="cellIs" dxfId="57" priority="34" operator="lessThan">
      <formula>50</formula>
    </cfRule>
  </conditionalFormatting>
  <conditionalFormatting sqref="H83:R83">
    <cfRule type="cellIs" dxfId="56" priority="31" operator="lessThan">
      <formula>50</formula>
    </cfRule>
    <cfRule type="expression" dxfId="55" priority="32">
      <formula>5</formula>
    </cfRule>
    <cfRule type="cellIs" dxfId="54" priority="33" operator="lessThan">
      <formula>5</formula>
    </cfRule>
  </conditionalFormatting>
  <conditionalFormatting sqref="T83">
    <cfRule type="cellIs" dxfId="53" priority="30" operator="lessThan">
      <formula>50</formula>
    </cfRule>
  </conditionalFormatting>
  <conditionalFormatting sqref="H84:R84">
    <cfRule type="cellIs" dxfId="52" priority="27" operator="lessThan">
      <formula>50</formula>
    </cfRule>
    <cfRule type="expression" dxfId="51" priority="28">
      <formula>5</formula>
    </cfRule>
    <cfRule type="cellIs" dxfId="50" priority="29" operator="lessThan">
      <formula>5</formula>
    </cfRule>
  </conditionalFormatting>
  <conditionalFormatting sqref="T84">
    <cfRule type="cellIs" dxfId="49" priority="26" operator="lessThan">
      <formula>50</formula>
    </cfRule>
  </conditionalFormatting>
  <conditionalFormatting sqref="H85:R85">
    <cfRule type="cellIs" dxfId="48" priority="22" operator="lessThan">
      <formula>50</formula>
    </cfRule>
    <cfRule type="expression" dxfId="47" priority="23">
      <formula>5</formula>
    </cfRule>
    <cfRule type="cellIs" dxfId="46" priority="25" operator="lessThan">
      <formula>5</formula>
    </cfRule>
  </conditionalFormatting>
  <conditionalFormatting sqref="N85">
    <cfRule type="cellIs" dxfId="45" priority="24" operator="lessThan">
      <formula>5</formula>
    </cfRule>
  </conditionalFormatting>
  <conditionalFormatting sqref="T85">
    <cfRule type="cellIs" dxfId="44" priority="21" operator="lessThan">
      <formula>50</formula>
    </cfRule>
  </conditionalFormatting>
  <conditionalFormatting sqref="H86:R86">
    <cfRule type="cellIs" dxfId="43" priority="17" operator="lessThan">
      <formula>50</formula>
    </cfRule>
    <cfRule type="expression" dxfId="42" priority="18">
      <formula>5</formula>
    </cfRule>
    <cfRule type="cellIs" dxfId="41" priority="20" operator="lessThan">
      <formula>5</formula>
    </cfRule>
  </conditionalFormatting>
  <conditionalFormatting sqref="N86">
    <cfRule type="cellIs" dxfId="40" priority="19" operator="lessThan">
      <formula>5</formula>
    </cfRule>
  </conditionalFormatting>
  <conditionalFormatting sqref="T86">
    <cfRule type="cellIs" dxfId="39" priority="16" operator="lessThan">
      <formula>50</formula>
    </cfRule>
  </conditionalFormatting>
  <conditionalFormatting sqref="N87">
    <cfRule type="cellIs" dxfId="38" priority="14" operator="lessThan">
      <formula>5</formula>
    </cfRule>
  </conditionalFormatting>
  <conditionalFormatting sqref="H87:R87">
    <cfRule type="cellIs" dxfId="37" priority="12" operator="lessThan">
      <formula>50</formula>
    </cfRule>
    <cfRule type="expression" dxfId="36" priority="13">
      <formula>5</formula>
    </cfRule>
    <cfRule type="cellIs" dxfId="35" priority="15" operator="lessThan">
      <formula>5</formula>
    </cfRule>
  </conditionalFormatting>
  <conditionalFormatting sqref="T87">
    <cfRule type="cellIs" dxfId="34" priority="11" operator="lessThan">
      <formula>50</formula>
    </cfRule>
  </conditionalFormatting>
  <conditionalFormatting sqref="N88">
    <cfRule type="cellIs" dxfId="33" priority="9" operator="lessThan">
      <formula>5</formula>
    </cfRule>
  </conditionalFormatting>
  <conditionalFormatting sqref="H88:R88">
    <cfRule type="cellIs" dxfId="32" priority="7" operator="lessThan">
      <formula>50</formula>
    </cfRule>
    <cfRule type="expression" dxfId="31" priority="8">
      <formula>5</formula>
    </cfRule>
    <cfRule type="cellIs" dxfId="30" priority="10" operator="lessThan">
      <formula>5</formula>
    </cfRule>
  </conditionalFormatting>
  <conditionalFormatting sqref="T88">
    <cfRule type="cellIs" dxfId="29" priority="6" operator="lessThan">
      <formula>50</formula>
    </cfRule>
  </conditionalFormatting>
  <conditionalFormatting sqref="N89">
    <cfRule type="cellIs" dxfId="28" priority="4" operator="lessThan">
      <formula>5</formula>
    </cfRule>
  </conditionalFormatting>
  <conditionalFormatting sqref="H89:R89">
    <cfRule type="cellIs" dxfId="27" priority="2" operator="lessThan">
      <formula>50</formula>
    </cfRule>
    <cfRule type="expression" dxfId="26" priority="3">
      <formula>5</formula>
    </cfRule>
    <cfRule type="cellIs" dxfId="25" priority="5" operator="lessThan">
      <formula>5</formula>
    </cfRule>
  </conditionalFormatting>
  <conditionalFormatting sqref="T89">
    <cfRule type="cellIs" dxfId="24" priority="1" operator="lessThan">
      <formula>50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21:E21 D23:E23 D31:E31 D33:E34 D36:E36 D38:E38 D41:E46 D50:E51 D53:E58 D64:E65 D83:E83" xr:uid="{070F47BC-8F66-4471-B8C2-5EDB65BD377D}"/>
  </dataValidations>
  <printOptions horizontalCentered="1"/>
  <pageMargins left="0" right="0" top="0.35433070866141736" bottom="0.35433070866141736" header="0.31496062992125984" footer="0.31496062992125984"/>
  <pageSetup paperSize="9" orientation="landscape" horizontalDpi="0" verticalDpi="0" copies="2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36</vt:i4>
      </vt:variant>
    </vt:vector>
  </HeadingPairs>
  <TitlesOfParts>
    <vt:vector size="72" baseType="lpstr">
      <vt:lpstr>KLS - SIFIR F</vt:lpstr>
      <vt:lpstr>KLS - SIFIR G</vt:lpstr>
      <vt:lpstr>KLS - I M MDTA</vt:lpstr>
      <vt:lpstr>KLS - I i MDTA</vt:lpstr>
      <vt:lpstr>KLS - I J MDTA</vt:lpstr>
      <vt:lpstr>KLS - I K MDTA</vt:lpstr>
      <vt:lpstr>KLS - I L MDTA</vt:lpstr>
      <vt:lpstr>KLS - II J MDTA</vt:lpstr>
      <vt:lpstr>KLS - II K MDTA</vt:lpstr>
      <vt:lpstr>KLS - II L MDTA</vt:lpstr>
      <vt:lpstr>KLS - II M MDTA</vt:lpstr>
      <vt:lpstr>KLS - II N MDTA</vt:lpstr>
      <vt:lpstr>KLS - III P MDTA</vt:lpstr>
      <vt:lpstr>KLS - III M MDTA</vt:lpstr>
      <vt:lpstr>KLS - III L MDTA</vt:lpstr>
      <vt:lpstr>KLS - III N MDTA</vt:lpstr>
      <vt:lpstr>KLS - III O MDTA</vt:lpstr>
      <vt:lpstr>KLS - IV J MDTA</vt:lpstr>
      <vt:lpstr>KLS - IV K MDTA</vt:lpstr>
      <vt:lpstr>KLS - IV N MDTA</vt:lpstr>
      <vt:lpstr>KLS - IV L MDTA</vt:lpstr>
      <vt:lpstr>KLS - IV M MDTA</vt:lpstr>
      <vt:lpstr>KLS - V G MDTA</vt:lpstr>
      <vt:lpstr>KLS - V H MDTA</vt:lpstr>
      <vt:lpstr>KLS - V i MDTA</vt:lpstr>
      <vt:lpstr>KLS - V J MDTA</vt:lpstr>
      <vt:lpstr>KLS - VI G MDTA</vt:lpstr>
      <vt:lpstr>KLS - VI H MDTA</vt:lpstr>
      <vt:lpstr>KLS - VI i MDTA</vt:lpstr>
      <vt:lpstr>KLS - VI J MDTA</vt:lpstr>
      <vt:lpstr>KLS - I D MDTW</vt:lpstr>
      <vt:lpstr>KLS - I E MDTW</vt:lpstr>
      <vt:lpstr>KLS - I F MDTW</vt:lpstr>
      <vt:lpstr>KLS - II D MDTW</vt:lpstr>
      <vt:lpstr>KLS - II E MDTW</vt:lpstr>
      <vt:lpstr>KLS - III C MDTW</vt:lpstr>
      <vt:lpstr>'KLS - I D MDTW'!Print_Titles</vt:lpstr>
      <vt:lpstr>'KLS - I E MDTW'!Print_Titles</vt:lpstr>
      <vt:lpstr>'KLS - I F MDTW'!Print_Titles</vt:lpstr>
      <vt:lpstr>'KLS - I i MDTA'!Print_Titles</vt:lpstr>
      <vt:lpstr>'KLS - I J MDTA'!Print_Titles</vt:lpstr>
      <vt:lpstr>'KLS - I K MDTA'!Print_Titles</vt:lpstr>
      <vt:lpstr>'KLS - I L MDTA'!Print_Titles</vt:lpstr>
      <vt:lpstr>'KLS - I M MDTA'!Print_Titles</vt:lpstr>
      <vt:lpstr>'KLS - II D MDTW'!Print_Titles</vt:lpstr>
      <vt:lpstr>'KLS - II E MDTW'!Print_Titles</vt:lpstr>
      <vt:lpstr>'KLS - II J MDTA'!Print_Titles</vt:lpstr>
      <vt:lpstr>'KLS - II K MDTA'!Print_Titles</vt:lpstr>
      <vt:lpstr>'KLS - II L MDTA'!Print_Titles</vt:lpstr>
      <vt:lpstr>'KLS - II M MDTA'!Print_Titles</vt:lpstr>
      <vt:lpstr>'KLS - II N MDTA'!Print_Titles</vt:lpstr>
      <vt:lpstr>'KLS - III C MDTW'!Print_Titles</vt:lpstr>
      <vt:lpstr>'KLS - III L MDTA'!Print_Titles</vt:lpstr>
      <vt:lpstr>'KLS - III M MDTA'!Print_Titles</vt:lpstr>
      <vt:lpstr>'KLS - III N MDTA'!Print_Titles</vt:lpstr>
      <vt:lpstr>'KLS - III O MDTA'!Print_Titles</vt:lpstr>
      <vt:lpstr>'KLS - III P MDTA'!Print_Titles</vt:lpstr>
      <vt:lpstr>'KLS - IV J MDTA'!Print_Titles</vt:lpstr>
      <vt:lpstr>'KLS - IV K MDTA'!Print_Titles</vt:lpstr>
      <vt:lpstr>'KLS - IV L MDTA'!Print_Titles</vt:lpstr>
      <vt:lpstr>'KLS - IV M MDTA'!Print_Titles</vt:lpstr>
      <vt:lpstr>'KLS - IV N MDTA'!Print_Titles</vt:lpstr>
      <vt:lpstr>'KLS - SIFIR F'!Print_Titles</vt:lpstr>
      <vt:lpstr>'KLS - SIFIR G'!Print_Titles</vt:lpstr>
      <vt:lpstr>'KLS - V G MDTA'!Print_Titles</vt:lpstr>
      <vt:lpstr>'KLS - V H MDTA'!Print_Titles</vt:lpstr>
      <vt:lpstr>'KLS - V i MDTA'!Print_Titles</vt:lpstr>
      <vt:lpstr>'KLS - V J MDTA'!Print_Titles</vt:lpstr>
      <vt:lpstr>'KLS - VI G MDTA'!Print_Titles</vt:lpstr>
      <vt:lpstr>'KLS - VI H MDTA'!Print_Titles</vt:lpstr>
      <vt:lpstr>'KLS - VI i MDTA'!Print_Titles</vt:lpstr>
      <vt:lpstr>'KLS - VI J MDTA'!Print_Titles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</dc:creator>
  <cp:lastModifiedBy>USER</cp:lastModifiedBy>
  <cp:lastPrinted>2026-10-16T16:51:57Z</cp:lastPrinted>
  <dcterms:created xsi:type="dcterms:W3CDTF">2020-09-14T12:50:00Z</dcterms:created>
  <dcterms:modified xsi:type="dcterms:W3CDTF">2026-10-16T17:21:07Z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1D9E309E2481446DB2A17D40934DEA27_12</vt:lpwstr>
  </property>
  <property fmtid="{D5CDD505-2E9C-101B-9397-08002B2CF9AE}" pid="3" name="KSOProductBuildVer">
    <vt:lpwstr>1033-12.2.0.23131</vt:lpwstr>
  </property>
</Properties>
</file>